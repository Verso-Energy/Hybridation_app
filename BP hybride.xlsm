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versoenergy.sharepoint.com/sites/versoenergy/Shared Documents/VERSO/08-Technique/03 - Modélisation/01 - Etudes amonts/01 - Dimensionnement batterie + PV/"/>
    </mc:Choice>
  </mc:AlternateContent>
  <xr:revisionPtr revIDLastSave="17331" documentId="8_{9DF5838D-38AD-44D4-919B-F448950855E8}" xr6:coauthVersionLast="47" xr6:coauthVersionMax="47" xr10:uidLastSave="{C138AB4A-255A-4C60-9950-7844270ADAE2}"/>
  <bookViews>
    <workbookView xWindow="-110" yWindow="-110" windowWidth="22780" windowHeight="14540" tabRatio="748" activeTab="5" xr2:uid="{00000000-000D-0000-FFFF-FFFF00000000}"/>
  </bookViews>
  <sheets>
    <sheet name="Hypothèses" sheetId="29" r:id="rId1"/>
    <sheet name="BP" sheetId="14" r:id="rId2"/>
    <sheet name="Dimensionnement" sheetId="38" r:id="rId3"/>
    <sheet name="Figures" sheetId="31" r:id="rId4"/>
    <sheet name="Sensibilité" sheetId="40" r:id="rId5"/>
    <sheet name="versys" sheetId="30" r:id="rId6"/>
    <sheet name="aux" sheetId="39" r:id="rId7"/>
  </sheets>
  <definedNames>
    <definedName name="_AtRisk_SimSetting_AutomaticallyGenerateReports" hidden="1">FALSE</definedName>
    <definedName name="_AtRisk_SimSetting_AutomaticResultsDisplayMode" hidden="1">3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41565.6457407406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8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1" i="14" l="1"/>
  <c r="E27" i="38" l="1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D43" i="29"/>
  <c r="F105" i="14" l="1"/>
  <c r="G105" i="14" s="1"/>
  <c r="H105" i="14" s="1"/>
  <c r="I105" i="14" s="1"/>
  <c r="J105" i="14" s="1"/>
  <c r="K105" i="14" s="1"/>
  <c r="L105" i="14" s="1"/>
  <c r="M105" i="14" s="1"/>
  <c r="N105" i="14" s="1"/>
  <c r="O105" i="14" s="1"/>
  <c r="P105" i="14" s="1"/>
  <c r="Q105" i="14" s="1"/>
  <c r="R105" i="14" s="1"/>
  <c r="S105" i="14" s="1"/>
  <c r="T105" i="14" s="1"/>
  <c r="E105" i="14"/>
  <c r="E57" i="14" l="1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D77" i="14"/>
  <c r="D75" i="14"/>
  <c r="D73" i="14"/>
  <c r="D72" i="14"/>
  <c r="D70" i="14"/>
  <c r="D68" i="14"/>
  <c r="D66" i="14"/>
  <c r="D64" i="14"/>
  <c r="D62" i="14"/>
  <c r="D61" i="14"/>
  <c r="D59" i="14"/>
  <c r="D57" i="14"/>
  <c r="AE58" i="14" l="1"/>
  <c r="G58" i="14"/>
  <c r="AA69" i="14"/>
  <c r="S69" i="14"/>
  <c r="K69" i="14"/>
  <c r="Z63" i="14"/>
  <c r="AG58" i="14"/>
  <c r="Y58" i="14"/>
  <c r="Q58" i="14"/>
  <c r="I58" i="14"/>
  <c r="AD60" i="14"/>
  <c r="V60" i="14"/>
  <c r="N60" i="14"/>
  <c r="F60" i="14"/>
  <c r="N69" i="14"/>
  <c r="AC58" i="14"/>
  <c r="T58" i="14"/>
  <c r="L58" i="14"/>
  <c r="AB65" i="14"/>
  <c r="T65" i="14"/>
  <c r="L65" i="14"/>
  <c r="AD58" i="14"/>
  <c r="V58" i="14"/>
  <c r="N58" i="14"/>
  <c r="F58" i="14"/>
  <c r="U63" i="14"/>
  <c r="AD63" i="14"/>
  <c r="F63" i="14"/>
  <c r="AA65" i="14"/>
  <c r="AF63" i="14"/>
  <c r="X63" i="14"/>
  <c r="P63" i="14"/>
  <c r="H63" i="14"/>
  <c r="Z60" i="14"/>
  <c r="R60" i="14"/>
  <c r="J60" i="14"/>
  <c r="AA58" i="14"/>
  <c r="S58" i="14"/>
  <c r="K58" i="14"/>
  <c r="AG65" i="14"/>
  <c r="Y65" i="14"/>
  <c r="Q65" i="14"/>
  <c r="I65" i="14"/>
  <c r="Z58" i="14"/>
  <c r="R58" i="14"/>
  <c r="J58" i="14"/>
  <c r="AD74" i="14"/>
  <c r="V74" i="14"/>
  <c r="N74" i="14"/>
  <c r="F74" i="14"/>
  <c r="AE65" i="14"/>
  <c r="W65" i="14"/>
  <c r="O65" i="14"/>
  <c r="G65" i="14"/>
  <c r="AC63" i="14"/>
  <c r="M63" i="14"/>
  <c r="AE60" i="14"/>
  <c r="W60" i="14"/>
  <c r="O60" i="14"/>
  <c r="G60" i="14"/>
  <c r="AF58" i="14"/>
  <c r="X58" i="14"/>
  <c r="P58" i="14"/>
  <c r="H58" i="14"/>
  <c r="R63" i="14"/>
  <c r="J63" i="14"/>
  <c r="AB60" i="14"/>
  <c r="T60" i="14"/>
  <c r="L60" i="14"/>
  <c r="AC65" i="14"/>
  <c r="U65" i="14"/>
  <c r="M65" i="14"/>
  <c r="E65" i="14"/>
  <c r="AA63" i="14"/>
  <c r="S63" i="14"/>
  <c r="AC60" i="14"/>
  <c r="U60" i="14"/>
  <c r="M60" i="14"/>
  <c r="W58" i="14"/>
  <c r="O58" i="14"/>
  <c r="AA76" i="14"/>
  <c r="S76" i="14"/>
  <c r="AE69" i="14"/>
  <c r="W69" i="14"/>
  <c r="O69" i="14"/>
  <c r="G69" i="14"/>
  <c r="S65" i="14"/>
  <c r="K65" i="14"/>
  <c r="AG63" i="14"/>
  <c r="Y63" i="14"/>
  <c r="Q63" i="14"/>
  <c r="I63" i="14"/>
  <c r="E60" i="14"/>
  <c r="AF65" i="14"/>
  <c r="X65" i="14"/>
  <c r="P65" i="14"/>
  <c r="H65" i="14"/>
  <c r="V63" i="14"/>
  <c r="N63" i="14"/>
  <c r="E63" i="14"/>
  <c r="AD65" i="14"/>
  <c r="V65" i="14"/>
  <c r="N65" i="14"/>
  <c r="F65" i="14"/>
  <c r="AG60" i="14"/>
  <c r="Y60" i="14"/>
  <c r="Q60" i="14"/>
  <c r="I60" i="14"/>
  <c r="L63" i="14"/>
  <c r="AE63" i="14"/>
  <c r="W63" i="14"/>
  <c r="O63" i="14"/>
  <c r="G63" i="14"/>
  <c r="AF60" i="14"/>
  <c r="X60" i="14"/>
  <c r="P60" i="14"/>
  <c r="H60" i="14"/>
  <c r="R65" i="14"/>
  <c r="AB63" i="14"/>
  <c r="S60" i="14"/>
  <c r="U58" i="14"/>
  <c r="K63" i="14"/>
  <c r="AB58" i="14"/>
  <c r="Z65" i="14"/>
  <c r="AA60" i="14"/>
  <c r="M58" i="14"/>
  <c r="J65" i="14"/>
  <c r="T63" i="14"/>
  <c r="K60" i="14"/>
  <c r="E58" i="14"/>
  <c r="AB76" i="14"/>
  <c r="T76" i="14"/>
  <c r="L76" i="14"/>
  <c r="AF69" i="14"/>
  <c r="X69" i="14"/>
  <c r="P69" i="14"/>
  <c r="H69" i="14"/>
  <c r="AD69" i="14"/>
  <c r="F69" i="14"/>
  <c r="AF74" i="14"/>
  <c r="X74" i="14"/>
  <c r="P74" i="14"/>
  <c r="H74" i="14"/>
  <c r="AA74" i="14"/>
  <c r="S74" i="14"/>
  <c r="K74" i="14"/>
  <c r="AC71" i="14"/>
  <c r="U71" i="14"/>
  <c r="M71" i="14"/>
  <c r="AE76" i="14"/>
  <c r="W76" i="14"/>
  <c r="O76" i="14"/>
  <c r="G76" i="14"/>
  <c r="AB69" i="14"/>
  <c r="U69" i="14"/>
  <c r="L69" i="14"/>
  <c r="AF76" i="14"/>
  <c r="X76" i="14"/>
  <c r="P76" i="14"/>
  <c r="H76" i="14"/>
  <c r="U74" i="14"/>
  <c r="AE71" i="14"/>
  <c r="W71" i="14"/>
  <c r="O71" i="14"/>
  <c r="G71" i="14"/>
  <c r="AG69" i="14"/>
  <c r="Y69" i="14"/>
  <c r="Q69" i="14"/>
  <c r="I69" i="14"/>
  <c r="AC76" i="14"/>
  <c r="U76" i="14"/>
  <c r="M76" i="14"/>
  <c r="Z74" i="14"/>
  <c r="R74" i="14"/>
  <c r="J74" i="14"/>
  <c r="AB71" i="14"/>
  <c r="T71" i="14"/>
  <c r="L71" i="14"/>
  <c r="V69" i="14"/>
  <c r="E71" i="14"/>
  <c r="K76" i="14"/>
  <c r="AG74" i="14"/>
  <c r="Y74" i="14"/>
  <c r="Q74" i="14"/>
  <c r="I74" i="14"/>
  <c r="AD71" i="14"/>
  <c r="V71" i="14"/>
  <c r="N71" i="14"/>
  <c r="F71" i="14"/>
  <c r="Z69" i="14"/>
  <c r="R69" i="14"/>
  <c r="J69" i="14"/>
  <c r="AG76" i="14"/>
  <c r="Y76" i="14"/>
  <c r="Q76" i="14"/>
  <c r="J76" i="14"/>
  <c r="AC74" i="14"/>
  <c r="M74" i="14"/>
  <c r="E74" i="14"/>
  <c r="Z71" i="14"/>
  <c r="R71" i="14"/>
  <c r="J71" i="14"/>
  <c r="AD76" i="14"/>
  <c r="V76" i="14"/>
  <c r="N76" i="14"/>
  <c r="F76" i="14"/>
  <c r="AG71" i="14"/>
  <c r="Y71" i="14"/>
  <c r="Q71" i="14"/>
  <c r="I71" i="14"/>
  <c r="E76" i="14"/>
  <c r="AE74" i="14"/>
  <c r="W74" i="14"/>
  <c r="O74" i="14"/>
  <c r="G74" i="14"/>
  <c r="AF71" i="14"/>
  <c r="X71" i="14"/>
  <c r="P71" i="14"/>
  <c r="H71" i="14"/>
  <c r="R76" i="14"/>
  <c r="T74" i="14"/>
  <c r="S71" i="14"/>
  <c r="AC69" i="14"/>
  <c r="M69" i="14"/>
  <c r="I76" i="14"/>
  <c r="T69" i="14"/>
  <c r="Z76" i="14"/>
  <c r="AB74" i="14"/>
  <c r="L74" i="14"/>
  <c r="AA71" i="14"/>
  <c r="K71" i="14"/>
  <c r="E69" i="14"/>
  <c r="F17" i="40" l="1"/>
  <c r="D17" i="40"/>
  <c r="E17" i="40"/>
  <c r="C17" i="40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2" i="30"/>
  <c r="D106" i="14"/>
  <c r="D26" i="29" l="1"/>
  <c r="D19" i="29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V104" i="14"/>
  <c r="W104" i="14"/>
  <c r="X104" i="14"/>
  <c r="Y104" i="14"/>
  <c r="Z104" i="14"/>
  <c r="AA104" i="14"/>
  <c r="AB104" i="14"/>
  <c r="AC104" i="14"/>
  <c r="AD104" i="14"/>
  <c r="AE104" i="14"/>
  <c r="AF104" i="14"/>
  <c r="AG104" i="14"/>
  <c r="D104" i="14"/>
  <c r="C36" i="14"/>
  <c r="F101" i="14" s="1"/>
  <c r="C22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V110" i="14"/>
  <c r="W110" i="14"/>
  <c r="X110" i="14"/>
  <c r="Y110" i="14"/>
  <c r="Z110" i="14"/>
  <c r="AA110" i="14"/>
  <c r="AB110" i="14"/>
  <c r="AC110" i="14"/>
  <c r="AD110" i="14"/>
  <c r="AE110" i="14"/>
  <c r="AF110" i="14"/>
  <c r="AG110" i="14"/>
  <c r="D110" i="14"/>
  <c r="E87" i="14" l="1"/>
  <c r="M87" i="14"/>
  <c r="U87" i="14"/>
  <c r="AC87" i="14"/>
  <c r="Q87" i="14"/>
  <c r="J87" i="14"/>
  <c r="F87" i="14"/>
  <c r="N87" i="14"/>
  <c r="V87" i="14"/>
  <c r="AD87" i="14"/>
  <c r="AG87" i="14"/>
  <c r="D87" i="14"/>
  <c r="G87" i="14"/>
  <c r="O87" i="14"/>
  <c r="W87" i="14"/>
  <c r="AE87" i="14"/>
  <c r="I87" i="14"/>
  <c r="Z87" i="14"/>
  <c r="H87" i="14"/>
  <c r="P87" i="14"/>
  <c r="X87" i="14"/>
  <c r="AF87" i="14"/>
  <c r="Y87" i="14"/>
  <c r="R87" i="14"/>
  <c r="K87" i="14"/>
  <c r="S87" i="14"/>
  <c r="AA87" i="14"/>
  <c r="L87" i="14"/>
  <c r="T87" i="14"/>
  <c r="AB87" i="14"/>
  <c r="S101" i="14"/>
  <c r="E101" i="14"/>
  <c r="AG101" i="14"/>
  <c r="AD100" i="14"/>
  <c r="AC100" i="14"/>
  <c r="AC101" i="14"/>
  <c r="R101" i="14"/>
  <c r="AB100" i="14"/>
  <c r="AB101" i="14"/>
  <c r="Q101" i="14"/>
  <c r="AA100" i="14"/>
  <c r="AA101" i="14"/>
  <c r="M101" i="14"/>
  <c r="Z101" i="14"/>
  <c r="L101" i="14"/>
  <c r="Y101" i="14"/>
  <c r="K101" i="14"/>
  <c r="U101" i="14"/>
  <c r="J101" i="14"/>
  <c r="AE100" i="14"/>
  <c r="D101" i="14"/>
  <c r="T101" i="14"/>
  <c r="I101" i="14"/>
  <c r="D21" i="29"/>
  <c r="D25" i="29" s="1"/>
  <c r="U100" i="14" s="1"/>
  <c r="Z100" i="14"/>
  <c r="AF101" i="14"/>
  <c r="X101" i="14"/>
  <c r="P101" i="14"/>
  <c r="H101" i="14"/>
  <c r="AG100" i="14"/>
  <c r="Y100" i="14"/>
  <c r="AE101" i="14"/>
  <c r="W101" i="14"/>
  <c r="O101" i="14"/>
  <c r="G101" i="14"/>
  <c r="AF100" i="14"/>
  <c r="X100" i="14"/>
  <c r="AD101" i="14"/>
  <c r="V101" i="14"/>
  <c r="N101" i="14"/>
  <c r="W100" i="14" l="1"/>
  <c r="V100" i="14"/>
  <c r="C13" i="14"/>
  <c r="D100" i="14"/>
  <c r="N100" i="14"/>
  <c r="F100" i="14"/>
  <c r="M100" i="14"/>
  <c r="J100" i="14"/>
  <c r="L100" i="14"/>
  <c r="O100" i="14"/>
  <c r="G100" i="14"/>
  <c r="R100" i="14"/>
  <c r="T100" i="14"/>
  <c r="Q100" i="14"/>
  <c r="S100" i="14"/>
  <c r="P100" i="14"/>
  <c r="E100" i="14"/>
  <c r="K100" i="14"/>
  <c r="H100" i="14"/>
  <c r="I100" i="14"/>
  <c r="J44" i="14" l="1"/>
  <c r="D18" i="14"/>
  <c r="H7" i="31" l="1"/>
  <c r="AF44" i="14"/>
  <c r="I44" i="14"/>
  <c r="AC44" i="14"/>
  <c r="T44" i="14"/>
  <c r="Q44" i="14"/>
  <c r="AG44" i="14"/>
  <c r="K44" i="14"/>
  <c r="AE44" i="14"/>
  <c r="H44" i="14"/>
  <c r="X44" i="14"/>
  <c r="U44" i="14"/>
  <c r="AD44" i="14"/>
  <c r="S44" i="14"/>
  <c r="E44" i="14"/>
  <c r="AB44" i="14"/>
  <c r="P44" i="14"/>
  <c r="AA44" i="14"/>
  <c r="M44" i="14"/>
  <c r="D44" i="14"/>
  <c r="Y44" i="14"/>
  <c r="L44" i="14"/>
  <c r="W44" i="14"/>
  <c r="O44" i="14"/>
  <c r="G44" i="14"/>
  <c r="V44" i="14"/>
  <c r="N44" i="14"/>
  <c r="F44" i="14"/>
  <c r="Z44" i="14"/>
  <c r="R44" i="14"/>
  <c r="D81" i="14"/>
  <c r="D55" i="14"/>
  <c r="D79" i="14"/>
  <c r="D50" i="14"/>
  <c r="D53" i="14"/>
  <c r="D83" i="14"/>
  <c r="D85" i="14"/>
  <c r="D48" i="14"/>
  <c r="D51" i="14"/>
  <c r="D46" i="14"/>
  <c r="D97" i="14" l="1"/>
  <c r="D96" i="14"/>
  <c r="C7" i="31"/>
  <c r="P7" i="31"/>
  <c r="J7" i="31"/>
  <c r="Q7" i="31"/>
  <c r="O7" i="31"/>
  <c r="R7" i="31"/>
  <c r="D7" i="31"/>
  <c r="B7" i="31"/>
  <c r="L7" i="31"/>
  <c r="K7" i="31"/>
  <c r="G7" i="31"/>
  <c r="F7" i="31"/>
  <c r="E7" i="31"/>
  <c r="N7" i="31"/>
  <c r="M7" i="31"/>
  <c r="I7" i="31"/>
  <c r="B5" i="31"/>
  <c r="B6" i="31"/>
  <c r="C11" i="14"/>
  <c r="B4" i="31" l="1"/>
  <c r="AG91" i="14" l="1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C35" i="14" l="1"/>
  <c r="E119" i="14" l="1"/>
  <c r="M119" i="14"/>
  <c r="U119" i="14"/>
  <c r="U118" i="14" s="1"/>
  <c r="AC119" i="14"/>
  <c r="AC118" i="14" s="1"/>
  <c r="Z119" i="14"/>
  <c r="Z118" i="14" s="1"/>
  <c r="F119" i="14"/>
  <c r="N119" i="14"/>
  <c r="V119" i="14"/>
  <c r="V118" i="14" s="1"/>
  <c r="AD119" i="14"/>
  <c r="AD118" i="14" s="1"/>
  <c r="G119" i="14"/>
  <c r="G118" i="14" s="1"/>
  <c r="O119" i="14"/>
  <c r="W119" i="14"/>
  <c r="W118" i="14" s="1"/>
  <c r="AE119" i="14"/>
  <c r="AE118" i="14" s="1"/>
  <c r="H119" i="14"/>
  <c r="P119" i="14"/>
  <c r="X119" i="14"/>
  <c r="X118" i="14" s="1"/>
  <c r="AF119" i="14"/>
  <c r="AF118" i="14" s="1"/>
  <c r="I119" i="14"/>
  <c r="I118" i="14" s="1"/>
  <c r="Q119" i="14"/>
  <c r="Y119" i="14"/>
  <c r="Y118" i="14" s="1"/>
  <c r="AG119" i="14"/>
  <c r="AG118" i="14" s="1"/>
  <c r="K119" i="14"/>
  <c r="S119" i="14"/>
  <c r="S118" i="14" s="1"/>
  <c r="AA119" i="14"/>
  <c r="AA118" i="14" s="1"/>
  <c r="J119" i="14"/>
  <c r="L119" i="14"/>
  <c r="T119" i="14"/>
  <c r="T118" i="14" s="1"/>
  <c r="AB119" i="14"/>
  <c r="AB118" i="14" s="1"/>
  <c r="R119" i="14"/>
  <c r="D119" i="14"/>
  <c r="D118" i="14" s="1"/>
  <c r="C20" i="14" l="1"/>
  <c r="C153" i="14" s="1"/>
  <c r="C155" i="14" s="1"/>
  <c r="F118" i="14"/>
  <c r="O118" i="14"/>
  <c r="R118" i="14"/>
  <c r="H118" i="14"/>
  <c r="Q118" i="14"/>
  <c r="P118" i="14"/>
  <c r="N118" i="14"/>
  <c r="J118" i="14"/>
  <c r="K118" i="14"/>
  <c r="L118" i="14"/>
  <c r="E118" i="14"/>
  <c r="M118" i="14"/>
  <c r="AG160" i="14" l="1"/>
  <c r="AF160" i="14"/>
  <c r="AE160" i="14"/>
  <c r="AD160" i="14"/>
  <c r="AC160" i="14"/>
  <c r="AB160" i="14"/>
  <c r="AA160" i="14"/>
  <c r="Z160" i="14"/>
  <c r="Y160" i="14"/>
  <c r="X160" i="14"/>
  <c r="D150" i="14" l="1"/>
  <c r="B3" i="31" l="1"/>
  <c r="E39" i="14"/>
  <c r="E55" i="14"/>
  <c r="E79" i="14"/>
  <c r="E83" i="14"/>
  <c r="E51" i="14"/>
  <c r="E46" i="14"/>
  <c r="E81" i="14"/>
  <c r="E48" i="14"/>
  <c r="E85" i="14"/>
  <c r="E106" i="14"/>
  <c r="E50" i="14"/>
  <c r="E53" i="14"/>
  <c r="E96" i="14" l="1"/>
  <c r="E97" i="14"/>
  <c r="C6" i="31"/>
  <c r="C5" i="31"/>
  <c r="C3" i="31"/>
  <c r="F39" i="14"/>
  <c r="F106" i="14"/>
  <c r="F79" i="14"/>
  <c r="F50" i="14"/>
  <c r="F83" i="14"/>
  <c r="F53" i="14"/>
  <c r="F48" i="14"/>
  <c r="F85" i="14"/>
  <c r="F51" i="14"/>
  <c r="F46" i="14"/>
  <c r="F55" i="14"/>
  <c r="F81" i="14"/>
  <c r="F96" i="14" l="1"/>
  <c r="F97" i="14"/>
  <c r="C4" i="31"/>
  <c r="D6" i="31"/>
  <c r="D5" i="31"/>
  <c r="D3" i="31"/>
  <c r="E84" i="14"/>
  <c r="D95" i="14"/>
  <c r="E80" i="14"/>
  <c r="G39" i="14"/>
  <c r="G55" i="14"/>
  <c r="G83" i="14"/>
  <c r="G48" i="14"/>
  <c r="G46" i="14"/>
  <c r="G51" i="14"/>
  <c r="G106" i="14"/>
  <c r="G85" i="14"/>
  <c r="G79" i="14"/>
  <c r="G53" i="14"/>
  <c r="G81" i="14"/>
  <c r="G50" i="14"/>
  <c r="D103" i="14" l="1"/>
  <c r="D99" i="14" s="1"/>
  <c r="G96" i="14"/>
  <c r="G97" i="14"/>
  <c r="D4" i="31"/>
  <c r="E6" i="31"/>
  <c r="E5" i="31"/>
  <c r="D164" i="14"/>
  <c r="E3" i="31"/>
  <c r="F80" i="14"/>
  <c r="F84" i="14"/>
  <c r="H39" i="14"/>
  <c r="H55" i="14"/>
  <c r="H53" i="14"/>
  <c r="H79" i="14"/>
  <c r="H85" i="14"/>
  <c r="H50" i="14"/>
  <c r="H81" i="14"/>
  <c r="H51" i="14"/>
  <c r="H48" i="14"/>
  <c r="H46" i="14"/>
  <c r="H83" i="14"/>
  <c r="H106" i="14"/>
  <c r="H96" i="14" l="1"/>
  <c r="H97" i="14"/>
  <c r="D108" i="14"/>
  <c r="E4" i="31"/>
  <c r="F6" i="31"/>
  <c r="F5" i="31"/>
  <c r="F3" i="31"/>
  <c r="G84" i="14"/>
  <c r="G80" i="14"/>
  <c r="I39" i="14"/>
  <c r="I51" i="14"/>
  <c r="I50" i="14"/>
  <c r="I48" i="14"/>
  <c r="I79" i="14"/>
  <c r="I106" i="14"/>
  <c r="I83" i="14"/>
  <c r="I55" i="14"/>
  <c r="I81" i="14"/>
  <c r="I85" i="14"/>
  <c r="I53" i="14"/>
  <c r="I46" i="14"/>
  <c r="I96" i="14" l="1"/>
  <c r="I97" i="14"/>
  <c r="F4" i="31"/>
  <c r="G6" i="31"/>
  <c r="G5" i="31"/>
  <c r="G3" i="31"/>
  <c r="H80" i="14"/>
  <c r="H84" i="14"/>
  <c r="J39" i="14"/>
  <c r="J106" i="14"/>
  <c r="J50" i="14"/>
  <c r="J46" i="14"/>
  <c r="J48" i="14"/>
  <c r="J53" i="14"/>
  <c r="J85" i="14"/>
  <c r="J55" i="14"/>
  <c r="J83" i="14"/>
  <c r="J79" i="14"/>
  <c r="J51" i="14"/>
  <c r="J81" i="14"/>
  <c r="J96" i="14" l="1"/>
  <c r="J97" i="14"/>
  <c r="G4" i="31"/>
  <c r="H5" i="31"/>
  <c r="H6" i="31"/>
  <c r="H3" i="31"/>
  <c r="I80" i="14"/>
  <c r="I84" i="14"/>
  <c r="K39" i="14"/>
  <c r="K106" i="14"/>
  <c r="K79" i="14"/>
  <c r="K55" i="14"/>
  <c r="K81" i="14"/>
  <c r="K85" i="14"/>
  <c r="K53" i="14"/>
  <c r="K46" i="14"/>
  <c r="K50" i="14"/>
  <c r="K51" i="14"/>
  <c r="K83" i="14"/>
  <c r="K48" i="14"/>
  <c r="K96" i="14" l="1"/>
  <c r="K97" i="14"/>
  <c r="H4" i="31"/>
  <c r="I5" i="31"/>
  <c r="I6" i="31"/>
  <c r="I3" i="31"/>
  <c r="J84" i="14"/>
  <c r="J80" i="14"/>
  <c r="L39" i="14"/>
  <c r="L106" i="14"/>
  <c r="L51" i="14"/>
  <c r="L55" i="14"/>
  <c r="L83" i="14"/>
  <c r="L48" i="14"/>
  <c r="L81" i="14"/>
  <c r="L79" i="14"/>
  <c r="L53" i="14"/>
  <c r="L85" i="14"/>
  <c r="L50" i="14"/>
  <c r="L46" i="14"/>
  <c r="L96" i="14" l="1"/>
  <c r="L97" i="14"/>
  <c r="I4" i="31"/>
  <c r="J5" i="31"/>
  <c r="J6" i="31"/>
  <c r="J3" i="31"/>
  <c r="K84" i="14"/>
  <c r="K80" i="14"/>
  <c r="G95" i="14"/>
  <c r="G103" i="14" s="1"/>
  <c r="J95" i="14"/>
  <c r="J103" i="14" s="1"/>
  <c r="F95" i="14"/>
  <c r="F103" i="14" s="1"/>
  <c r="I95" i="14"/>
  <c r="I103" i="14" s="1"/>
  <c r="E95" i="14"/>
  <c r="H95" i="14"/>
  <c r="H103" i="14" s="1"/>
  <c r="M39" i="14"/>
  <c r="E47" i="14"/>
  <c r="D113" i="14"/>
  <c r="D109" i="14" s="1"/>
  <c r="M53" i="14"/>
  <c r="M55" i="14"/>
  <c r="M48" i="14"/>
  <c r="M79" i="14"/>
  <c r="M81" i="14"/>
  <c r="M51" i="14"/>
  <c r="M85" i="14"/>
  <c r="M106" i="14"/>
  <c r="M46" i="14"/>
  <c r="M50" i="14"/>
  <c r="M83" i="14"/>
  <c r="E103" i="14" l="1"/>
  <c r="M96" i="14"/>
  <c r="M97" i="14"/>
  <c r="J4" i="31"/>
  <c r="K6" i="31"/>
  <c r="K5" i="31"/>
  <c r="I164" i="14"/>
  <c r="J164" i="14"/>
  <c r="E164" i="14"/>
  <c r="H164" i="14"/>
  <c r="F164" i="14"/>
  <c r="G164" i="14"/>
  <c r="K3" i="31"/>
  <c r="K95" i="14"/>
  <c r="K103" i="14" s="1"/>
  <c r="L80" i="14"/>
  <c r="L84" i="14"/>
  <c r="N39" i="14"/>
  <c r="E52" i="14"/>
  <c r="F47" i="14"/>
  <c r="L47" i="14"/>
  <c r="J47" i="14"/>
  <c r="N85" i="14"/>
  <c r="N83" i="14"/>
  <c r="N51" i="14"/>
  <c r="N55" i="14"/>
  <c r="N46" i="14"/>
  <c r="N81" i="14"/>
  <c r="N48" i="14"/>
  <c r="N106" i="14"/>
  <c r="N53" i="14"/>
  <c r="N50" i="14"/>
  <c r="N79" i="14"/>
  <c r="N96" i="14" l="1"/>
  <c r="N97" i="14"/>
  <c r="K4" i="31"/>
  <c r="L6" i="31"/>
  <c r="L5" i="31"/>
  <c r="K164" i="14"/>
  <c r="L3" i="31"/>
  <c r="M84" i="14"/>
  <c r="L95" i="14"/>
  <c r="L103" i="14" s="1"/>
  <c r="M80" i="14"/>
  <c r="O39" i="14"/>
  <c r="M47" i="14"/>
  <c r="G47" i="14"/>
  <c r="H47" i="14"/>
  <c r="I47" i="14"/>
  <c r="K47" i="14"/>
  <c r="M49" i="14"/>
  <c r="J49" i="14"/>
  <c r="E49" i="14"/>
  <c r="H49" i="14"/>
  <c r="F49" i="14"/>
  <c r="G49" i="14"/>
  <c r="K49" i="14"/>
  <c r="I49" i="14"/>
  <c r="L49" i="14"/>
  <c r="O81" i="14"/>
  <c r="O79" i="14"/>
  <c r="O50" i="14"/>
  <c r="O53" i="14"/>
  <c r="O83" i="14"/>
  <c r="O85" i="14"/>
  <c r="O48" i="14"/>
  <c r="O51" i="14"/>
  <c r="O106" i="14"/>
  <c r="O55" i="14"/>
  <c r="O46" i="14"/>
  <c r="O96" i="14" l="1"/>
  <c r="O97" i="14"/>
  <c r="L4" i="31"/>
  <c r="M6" i="31"/>
  <c r="M5" i="31"/>
  <c r="L164" i="14"/>
  <c r="N49" i="14"/>
  <c r="M3" i="31"/>
  <c r="M95" i="14"/>
  <c r="M103" i="14" s="1"/>
  <c r="N84" i="14"/>
  <c r="N80" i="14"/>
  <c r="N47" i="14"/>
  <c r="P39" i="14"/>
  <c r="F52" i="14"/>
  <c r="E54" i="14"/>
  <c r="P48" i="14"/>
  <c r="P83" i="14"/>
  <c r="P46" i="14"/>
  <c r="P79" i="14"/>
  <c r="P51" i="14"/>
  <c r="P55" i="14"/>
  <c r="P50" i="14"/>
  <c r="P85" i="14"/>
  <c r="P106" i="14"/>
  <c r="P81" i="14"/>
  <c r="P53" i="14"/>
  <c r="P96" i="14" l="1"/>
  <c r="P97" i="14"/>
  <c r="M4" i="31"/>
  <c r="N6" i="31"/>
  <c r="P52" i="14"/>
  <c r="N5" i="31"/>
  <c r="M164" i="14"/>
  <c r="O49" i="14"/>
  <c r="N3" i="31"/>
  <c r="O84" i="14"/>
  <c r="N95" i="14"/>
  <c r="N103" i="14" s="1"/>
  <c r="O80" i="14"/>
  <c r="O47" i="14"/>
  <c r="Q39" i="14"/>
  <c r="J52" i="14"/>
  <c r="M52" i="14"/>
  <c r="N54" i="14"/>
  <c r="F54" i="14"/>
  <c r="I54" i="14"/>
  <c r="L52" i="14"/>
  <c r="N52" i="14"/>
  <c r="G52" i="14"/>
  <c r="O52" i="14"/>
  <c r="L54" i="14"/>
  <c r="H52" i="14"/>
  <c r="K54" i="14"/>
  <c r="G54" i="14"/>
  <c r="M54" i="14"/>
  <c r="K52" i="14"/>
  <c r="I52" i="14"/>
  <c r="J54" i="14"/>
  <c r="H54" i="14"/>
  <c r="O54" i="14"/>
  <c r="Q51" i="14"/>
  <c r="Q53" i="14"/>
  <c r="Q48" i="14"/>
  <c r="Q46" i="14"/>
  <c r="Q50" i="14"/>
  <c r="Q79" i="14"/>
  <c r="Q85" i="14"/>
  <c r="Q81" i="14"/>
  <c r="Q55" i="14"/>
  <c r="Q83" i="14"/>
  <c r="Q106" i="14"/>
  <c r="Q96" i="14" l="1"/>
  <c r="Q97" i="14"/>
  <c r="N4" i="31"/>
  <c r="O6" i="31"/>
  <c r="Q52" i="14"/>
  <c r="O5" i="31"/>
  <c r="N164" i="14"/>
  <c r="P54" i="14"/>
  <c r="P49" i="14"/>
  <c r="O3" i="31"/>
  <c r="O95" i="14"/>
  <c r="O103" i="14" s="1"/>
  <c r="P80" i="14"/>
  <c r="P84" i="14"/>
  <c r="P47" i="14"/>
  <c r="R39" i="14"/>
  <c r="R51" i="14"/>
  <c r="R81" i="14"/>
  <c r="R50" i="14"/>
  <c r="R106" i="14"/>
  <c r="R53" i="14"/>
  <c r="R85" i="14"/>
  <c r="R83" i="14"/>
  <c r="R46" i="14"/>
  <c r="R48" i="14"/>
  <c r="R79" i="14"/>
  <c r="R55" i="14"/>
  <c r="R96" i="14" l="1"/>
  <c r="R97" i="14"/>
  <c r="O4" i="31"/>
  <c r="P5" i="31"/>
  <c r="P6" i="31"/>
  <c r="R52" i="14"/>
  <c r="O164" i="14"/>
  <c r="Q54" i="14"/>
  <c r="Q49" i="14"/>
  <c r="P3" i="31"/>
  <c r="P95" i="14"/>
  <c r="P103" i="14" s="1"/>
  <c r="Q80" i="14"/>
  <c r="Q47" i="14"/>
  <c r="Q84" i="14"/>
  <c r="S39" i="14"/>
  <c r="C18" i="14"/>
  <c r="C17" i="14" s="1"/>
  <c r="C25" i="14" s="1"/>
  <c r="S50" i="14"/>
  <c r="S85" i="14"/>
  <c r="S48" i="14"/>
  <c r="S106" i="14"/>
  <c r="S81" i="14"/>
  <c r="S79" i="14"/>
  <c r="S53" i="14"/>
  <c r="S46" i="14"/>
  <c r="S51" i="14"/>
  <c r="S55" i="14"/>
  <c r="S83" i="14"/>
  <c r="S96" i="14" l="1"/>
  <c r="S97" i="14"/>
  <c r="P4" i="31"/>
  <c r="Q5" i="31"/>
  <c r="S52" i="14"/>
  <c r="Q6" i="31"/>
  <c r="P164" i="14"/>
  <c r="R54" i="14"/>
  <c r="R49" i="14"/>
  <c r="Q3" i="31"/>
  <c r="Q95" i="14"/>
  <c r="Q103" i="14" s="1"/>
  <c r="R84" i="14"/>
  <c r="R47" i="14"/>
  <c r="R80" i="14"/>
  <c r="T39" i="14"/>
  <c r="T55" i="14"/>
  <c r="T46" i="14"/>
  <c r="T51" i="14"/>
  <c r="T79" i="14"/>
  <c r="T50" i="14"/>
  <c r="T48" i="14"/>
  <c r="T81" i="14"/>
  <c r="T85" i="14"/>
  <c r="T83" i="14"/>
  <c r="T106" i="14"/>
  <c r="T53" i="14"/>
  <c r="T96" i="14" l="1"/>
  <c r="T97" i="14"/>
  <c r="Q4" i="31"/>
  <c r="T52" i="14"/>
  <c r="R5" i="31"/>
  <c r="R6" i="31"/>
  <c r="Q164" i="14"/>
  <c r="S49" i="14"/>
  <c r="S54" i="14"/>
  <c r="R3" i="31"/>
  <c r="R95" i="14"/>
  <c r="R103" i="14" s="1"/>
  <c r="S47" i="14"/>
  <c r="S84" i="14"/>
  <c r="S80" i="14"/>
  <c r="U39" i="14"/>
  <c r="U79" i="14"/>
  <c r="U53" i="14"/>
  <c r="U85" i="14"/>
  <c r="U46" i="14"/>
  <c r="U51" i="14"/>
  <c r="U81" i="14"/>
  <c r="U83" i="14"/>
  <c r="U50" i="14"/>
  <c r="U106" i="14"/>
  <c r="U55" i="14"/>
  <c r="U48" i="14"/>
  <c r="U96" i="14" l="1"/>
  <c r="U97" i="14"/>
  <c r="R4" i="31"/>
  <c r="U52" i="14"/>
  <c r="U49" i="14"/>
  <c r="U54" i="14"/>
  <c r="R164" i="14"/>
  <c r="T54" i="14"/>
  <c r="T49" i="14"/>
  <c r="T80" i="14"/>
  <c r="T47" i="14"/>
  <c r="T84" i="14"/>
  <c r="S95" i="14"/>
  <c r="S103" i="14" s="1"/>
  <c r="V39" i="14"/>
  <c r="D19" i="14"/>
  <c r="V79" i="14"/>
  <c r="V48" i="14"/>
  <c r="V51" i="14"/>
  <c r="V55" i="14"/>
  <c r="V106" i="14"/>
  <c r="V46" i="14"/>
  <c r="V81" i="14"/>
  <c r="V83" i="14"/>
  <c r="V85" i="14"/>
  <c r="V50" i="14"/>
  <c r="V53" i="14"/>
  <c r="V96" i="14" l="1"/>
  <c r="V97" i="14"/>
  <c r="V54" i="14"/>
  <c r="V49" i="14"/>
  <c r="V52" i="14"/>
  <c r="S164" i="14"/>
  <c r="U84" i="14"/>
  <c r="U80" i="14"/>
  <c r="U47" i="14"/>
  <c r="T95" i="14"/>
  <c r="W39" i="14"/>
  <c r="W53" i="14"/>
  <c r="W81" i="14"/>
  <c r="W83" i="14"/>
  <c r="W51" i="14"/>
  <c r="W106" i="14"/>
  <c r="W55" i="14"/>
  <c r="W79" i="14"/>
  <c r="W85" i="14"/>
  <c r="W50" i="14"/>
  <c r="W48" i="14"/>
  <c r="W46" i="14"/>
  <c r="T103" i="14" l="1"/>
  <c r="W96" i="14"/>
  <c r="W97" i="14"/>
  <c r="S99" i="14"/>
  <c r="S108" i="14" s="1"/>
  <c r="W49" i="14"/>
  <c r="W54" i="14"/>
  <c r="W52" i="14"/>
  <c r="U95" i="14"/>
  <c r="U103" i="14" s="1"/>
  <c r="T164" i="14"/>
  <c r="V80" i="14"/>
  <c r="V84" i="14"/>
  <c r="V47" i="14"/>
  <c r="X39" i="14"/>
  <c r="X53" i="14"/>
  <c r="X81" i="14"/>
  <c r="X51" i="14"/>
  <c r="X50" i="14"/>
  <c r="X85" i="14"/>
  <c r="X55" i="14"/>
  <c r="X83" i="14"/>
  <c r="X79" i="14"/>
  <c r="X106" i="14"/>
  <c r="X46" i="14"/>
  <c r="X48" i="14"/>
  <c r="X96" i="14" l="1"/>
  <c r="X97" i="14"/>
  <c r="T99" i="14"/>
  <c r="T108" i="14" s="1"/>
  <c r="X49" i="14"/>
  <c r="X54" i="14"/>
  <c r="X52" i="14"/>
  <c r="V95" i="14"/>
  <c r="V103" i="14" s="1"/>
  <c r="U164" i="14"/>
  <c r="W84" i="14"/>
  <c r="W47" i="14"/>
  <c r="W80" i="14"/>
  <c r="Y39" i="14"/>
  <c r="Y46" i="14"/>
  <c r="Y79" i="14"/>
  <c r="Y48" i="14"/>
  <c r="Y106" i="14"/>
  <c r="Y51" i="14"/>
  <c r="Y53" i="14"/>
  <c r="Y81" i="14"/>
  <c r="Y55" i="14"/>
  <c r="Y85" i="14"/>
  <c r="Y50" i="14"/>
  <c r="Y83" i="14"/>
  <c r="Y96" i="14" l="1"/>
  <c r="Y97" i="14"/>
  <c r="U99" i="14"/>
  <c r="U108" i="14" s="1"/>
  <c r="Y49" i="14"/>
  <c r="Y54" i="14"/>
  <c r="Y52" i="14"/>
  <c r="W95" i="14"/>
  <c r="W103" i="14" s="1"/>
  <c r="V164" i="14"/>
  <c r="X80" i="14"/>
  <c r="X47" i="14"/>
  <c r="X84" i="14"/>
  <c r="Z39" i="14"/>
  <c r="D163" i="14"/>
  <c r="Z48" i="14"/>
  <c r="Z51" i="14"/>
  <c r="Z46" i="14"/>
  <c r="Z106" i="14"/>
  <c r="Z85" i="14"/>
  <c r="Z53" i="14"/>
  <c r="Z50" i="14"/>
  <c r="Z81" i="14"/>
  <c r="Z55" i="14"/>
  <c r="Z83" i="14"/>
  <c r="Z79" i="14"/>
  <c r="Z96" i="14" l="1"/>
  <c r="Z97" i="14"/>
  <c r="V99" i="14"/>
  <c r="V108" i="14" s="1"/>
  <c r="Z49" i="14"/>
  <c r="Z54" i="14"/>
  <c r="W99" i="14"/>
  <c r="W108" i="14" s="1"/>
  <c r="W164" i="14"/>
  <c r="X95" i="14"/>
  <c r="X103" i="14" s="1"/>
  <c r="D117" i="14"/>
  <c r="Y47" i="14"/>
  <c r="Y84" i="14"/>
  <c r="Y80" i="14"/>
  <c r="AA39" i="14"/>
  <c r="AA46" i="14"/>
  <c r="AA81" i="14"/>
  <c r="AA51" i="14"/>
  <c r="AA48" i="14"/>
  <c r="AA85" i="14"/>
  <c r="AA83" i="14"/>
  <c r="AA53" i="14"/>
  <c r="AA106" i="14"/>
  <c r="AA55" i="14"/>
  <c r="AA79" i="14"/>
  <c r="AA50" i="14"/>
  <c r="AA96" i="14" l="1"/>
  <c r="AA97" i="14"/>
  <c r="AA52" i="14"/>
  <c r="AA49" i="14"/>
  <c r="AA54" i="14"/>
  <c r="Y95" i="14"/>
  <c r="Y103" i="14" s="1"/>
  <c r="X164" i="14"/>
  <c r="D122" i="14"/>
  <c r="D153" i="14"/>
  <c r="D155" i="14" s="1"/>
  <c r="Z84" i="14"/>
  <c r="X113" i="14"/>
  <c r="Z80" i="14"/>
  <c r="Z47" i="14"/>
  <c r="Z52" i="14"/>
  <c r="AB39" i="14"/>
  <c r="E113" i="14"/>
  <c r="F113" i="14"/>
  <c r="G113" i="14"/>
  <c r="H113" i="14"/>
  <c r="I113" i="14"/>
  <c r="J113" i="14"/>
  <c r="K113" i="14"/>
  <c r="L113" i="14"/>
  <c r="L99" i="14"/>
  <c r="K99" i="14"/>
  <c r="J99" i="14"/>
  <c r="I99" i="14"/>
  <c r="H99" i="14"/>
  <c r="G99" i="14"/>
  <c r="F99" i="14"/>
  <c r="E99" i="14"/>
  <c r="AB81" i="14"/>
  <c r="AB51" i="14"/>
  <c r="AB55" i="14"/>
  <c r="AB79" i="14"/>
  <c r="AB106" i="14"/>
  <c r="AB48" i="14"/>
  <c r="AB50" i="14"/>
  <c r="AB53" i="14"/>
  <c r="AB85" i="14"/>
  <c r="AB83" i="14"/>
  <c r="AB46" i="14"/>
  <c r="AB96" i="14" l="1"/>
  <c r="AB97" i="14"/>
  <c r="X99" i="14"/>
  <c r="X108" i="14" s="1"/>
  <c r="AB49" i="14"/>
  <c r="AB54" i="14"/>
  <c r="Z95" i="14"/>
  <c r="Z103" i="14" s="1"/>
  <c r="Y164" i="14"/>
  <c r="E108" i="14"/>
  <c r="F108" i="14"/>
  <c r="F163" i="14" s="1"/>
  <c r="I108" i="14"/>
  <c r="I163" i="14" s="1"/>
  <c r="L108" i="14"/>
  <c r="L163" i="14" s="1"/>
  <c r="J108" i="14"/>
  <c r="J163" i="14" s="1"/>
  <c r="K108" i="14"/>
  <c r="K163" i="14" s="1"/>
  <c r="G108" i="14"/>
  <c r="G163" i="14" s="1"/>
  <c r="H108" i="14"/>
  <c r="H163" i="14" s="1"/>
  <c r="D156" i="14"/>
  <c r="AA80" i="14"/>
  <c r="Y113" i="14"/>
  <c r="AA84" i="14"/>
  <c r="AA47" i="14"/>
  <c r="AC39" i="14"/>
  <c r="D154" i="14"/>
  <c r="M99" i="14"/>
  <c r="M113" i="14"/>
  <c r="AC81" i="14"/>
  <c r="AC55" i="14"/>
  <c r="AC53" i="14"/>
  <c r="AC51" i="14"/>
  <c r="AC48" i="14"/>
  <c r="AC79" i="14"/>
  <c r="AC106" i="14"/>
  <c r="AC46" i="14"/>
  <c r="AC83" i="14"/>
  <c r="AC50" i="14"/>
  <c r="AC85" i="14"/>
  <c r="AC96" i="14" l="1"/>
  <c r="AC97" i="14"/>
  <c r="Y99" i="14"/>
  <c r="Y108" i="14" s="1"/>
  <c r="AC54" i="14"/>
  <c r="AC49" i="14"/>
  <c r="Z99" i="14"/>
  <c r="Z108" i="14" s="1"/>
  <c r="Z113" i="14"/>
  <c r="Z109" i="14" s="1"/>
  <c r="Z164" i="14"/>
  <c r="AA95" i="14"/>
  <c r="AA103" i="14" s="1"/>
  <c r="M108" i="14"/>
  <c r="M163" i="14" s="1"/>
  <c r="AB84" i="14"/>
  <c r="AB47" i="14"/>
  <c r="AB80" i="14"/>
  <c r="AB52" i="14"/>
  <c r="AD39" i="14"/>
  <c r="H109" i="14"/>
  <c r="K109" i="14"/>
  <c r="J109" i="14"/>
  <c r="L109" i="14"/>
  <c r="E109" i="14"/>
  <c r="I109" i="14"/>
  <c r="F109" i="14"/>
  <c r="F117" i="14" s="1"/>
  <c r="F122" i="14" s="1"/>
  <c r="E163" i="14"/>
  <c r="N99" i="14"/>
  <c r="N113" i="14"/>
  <c r="AD55" i="14"/>
  <c r="AD83" i="14"/>
  <c r="AD48" i="14"/>
  <c r="AD81" i="14"/>
  <c r="AD53" i="14"/>
  <c r="AD106" i="14"/>
  <c r="AD50" i="14"/>
  <c r="AD51" i="14"/>
  <c r="AD79" i="14"/>
  <c r="AD85" i="14"/>
  <c r="AD46" i="14"/>
  <c r="AD96" i="14" l="1"/>
  <c r="AD97" i="14"/>
  <c r="AD54" i="14"/>
  <c r="AD52" i="14"/>
  <c r="AD49" i="14"/>
  <c r="Z117" i="14"/>
  <c r="Z163" i="14" s="1"/>
  <c r="AB95" i="14"/>
  <c r="AB103" i="14" s="1"/>
  <c r="AA164" i="14"/>
  <c r="N108" i="14"/>
  <c r="N163" i="14" s="1"/>
  <c r="AC84" i="14"/>
  <c r="AC80" i="14"/>
  <c r="AC47" i="14"/>
  <c r="AA113" i="14"/>
  <c r="AC52" i="14"/>
  <c r="AE39" i="14"/>
  <c r="K117" i="14"/>
  <c r="K122" i="14" s="1"/>
  <c r="H117" i="14"/>
  <c r="I117" i="14"/>
  <c r="I122" i="14" s="1"/>
  <c r="E117" i="14"/>
  <c r="E122" i="14" s="1"/>
  <c r="L117" i="14"/>
  <c r="L122" i="14" s="1"/>
  <c r="J117" i="14"/>
  <c r="J122" i="14" s="1"/>
  <c r="M109" i="14"/>
  <c r="O113" i="14"/>
  <c r="O99" i="14"/>
  <c r="AE46" i="14"/>
  <c r="AE85" i="14"/>
  <c r="AE55" i="14"/>
  <c r="AE83" i="14"/>
  <c r="AE50" i="14"/>
  <c r="AE81" i="14"/>
  <c r="AE106" i="14"/>
  <c r="AE51" i="14"/>
  <c r="AE53" i="14"/>
  <c r="AE48" i="14"/>
  <c r="AE79" i="14"/>
  <c r="AE96" i="14" l="1"/>
  <c r="AE97" i="14"/>
  <c r="AA99" i="14"/>
  <c r="AA108" i="14" s="1"/>
  <c r="AE49" i="14"/>
  <c r="AE54" i="14"/>
  <c r="Z153" i="14"/>
  <c r="Z122" i="14"/>
  <c r="AC95" i="14"/>
  <c r="AC103" i="14" s="1"/>
  <c r="O108" i="14"/>
  <c r="O163" i="14" s="1"/>
  <c r="AB113" i="14"/>
  <c r="AA109" i="14"/>
  <c r="AD80" i="14"/>
  <c r="AD47" i="14"/>
  <c r="AD84" i="14"/>
  <c r="AF39" i="14"/>
  <c r="H153" i="14"/>
  <c r="H122" i="14"/>
  <c r="L153" i="14"/>
  <c r="J153" i="14"/>
  <c r="F153" i="14"/>
  <c r="K153" i="14"/>
  <c r="M117" i="14"/>
  <c r="I153" i="14"/>
  <c r="E153" i="14"/>
  <c r="E154" i="14" s="1"/>
  <c r="N109" i="14"/>
  <c r="P113" i="14"/>
  <c r="P99" i="14"/>
  <c r="AF85" i="14"/>
  <c r="AF81" i="14"/>
  <c r="AF48" i="14"/>
  <c r="AF51" i="14"/>
  <c r="AF106" i="14"/>
  <c r="AF83" i="14"/>
  <c r="AF46" i="14"/>
  <c r="AF55" i="14"/>
  <c r="AF53" i="14"/>
  <c r="AF79" i="14"/>
  <c r="AF50" i="14"/>
  <c r="AF96" i="14" l="1"/>
  <c r="AF97" i="14"/>
  <c r="AA117" i="14"/>
  <c r="AA153" i="14" s="1"/>
  <c r="AB99" i="14"/>
  <c r="AB108" i="14" s="1"/>
  <c r="AF49" i="14"/>
  <c r="AF54" i="14"/>
  <c r="AF52" i="14"/>
  <c r="AD95" i="14"/>
  <c r="AD103" i="14" s="1"/>
  <c r="P108" i="14"/>
  <c r="P163" i="14" s="1"/>
  <c r="AB109" i="14"/>
  <c r="AC113" i="14"/>
  <c r="AE47" i="14"/>
  <c r="AE80" i="14"/>
  <c r="AE84" i="14"/>
  <c r="AG39" i="14"/>
  <c r="AE52" i="14"/>
  <c r="M153" i="14"/>
  <c r="M122" i="14"/>
  <c r="F154" i="14"/>
  <c r="N117" i="14"/>
  <c r="N122" i="14" s="1"/>
  <c r="O109" i="14"/>
  <c r="Q113" i="14"/>
  <c r="Q99" i="14"/>
  <c r="AG53" i="14"/>
  <c r="AG46" i="14"/>
  <c r="AG83" i="14"/>
  <c r="AG106" i="14"/>
  <c r="AG50" i="14"/>
  <c r="AG81" i="14"/>
  <c r="AG79" i="14"/>
  <c r="AG85" i="14"/>
  <c r="AG51" i="14"/>
  <c r="AG48" i="14"/>
  <c r="AG55" i="14"/>
  <c r="AG96" i="14" l="1"/>
  <c r="AG97" i="14"/>
  <c r="AA163" i="14"/>
  <c r="AA122" i="14"/>
  <c r="AB117" i="14"/>
  <c r="AB122" i="14" s="1"/>
  <c r="AC99" i="14"/>
  <c r="AC108" i="14" s="1"/>
  <c r="AG49" i="14"/>
  <c r="AG54" i="14"/>
  <c r="AG52" i="14"/>
  <c r="AD99" i="14"/>
  <c r="AD108" i="14" s="1"/>
  <c r="AE95" i="14"/>
  <c r="AE103" i="14" s="1"/>
  <c r="AC109" i="14"/>
  <c r="Q108" i="14"/>
  <c r="Q163" i="14" s="1"/>
  <c r="AD113" i="14"/>
  <c r="AF80" i="14"/>
  <c r="AF84" i="14"/>
  <c r="AF47" i="14"/>
  <c r="N153" i="14"/>
  <c r="O117" i="14"/>
  <c r="P109" i="14"/>
  <c r="R113" i="14"/>
  <c r="R99" i="14"/>
  <c r="C99" i="14" s="1"/>
  <c r="AC117" i="14" l="1"/>
  <c r="AC122" i="14" s="1"/>
  <c r="AB153" i="14"/>
  <c r="AE99" i="14"/>
  <c r="AE108" i="14" s="1"/>
  <c r="AF95" i="14"/>
  <c r="AF103" i="14" s="1"/>
  <c r="R108" i="14"/>
  <c r="R163" i="14" s="1"/>
  <c r="AD109" i="14"/>
  <c r="AD117" i="14" s="1"/>
  <c r="AD122" i="14" s="1"/>
  <c r="AG84" i="14"/>
  <c r="AG47" i="14"/>
  <c r="AG80" i="14"/>
  <c r="AE113" i="14"/>
  <c r="O153" i="14"/>
  <c r="O122" i="14"/>
  <c r="P117" i="14"/>
  <c r="P122" i="14" s="1"/>
  <c r="Q109" i="14"/>
  <c r="S113" i="14"/>
  <c r="AC153" i="14" l="1"/>
  <c r="AF99" i="14"/>
  <c r="AF108" i="14" s="1"/>
  <c r="AG95" i="14"/>
  <c r="AG103" i="14" s="1"/>
  <c r="AF113" i="14"/>
  <c r="AE109" i="14"/>
  <c r="AE117" i="14" s="1"/>
  <c r="AE153" i="14" s="1"/>
  <c r="AD153" i="14"/>
  <c r="P153" i="14"/>
  <c r="Q117" i="14"/>
  <c r="Q122" i="14" s="1"/>
  <c r="R109" i="14"/>
  <c r="S163" i="14"/>
  <c r="T113" i="14"/>
  <c r="AG99" i="14" l="1"/>
  <c r="AG108" i="14" s="1"/>
  <c r="AG113" i="14"/>
  <c r="AE122" i="14"/>
  <c r="AF109" i="14"/>
  <c r="AF117" i="14" s="1"/>
  <c r="AF122" i="14" s="1"/>
  <c r="Q153" i="14"/>
  <c r="R117" i="14"/>
  <c r="R122" i="14" s="1"/>
  <c r="S109" i="14"/>
  <c r="T163" i="14"/>
  <c r="U113" i="14"/>
  <c r="AG109" i="14" l="1"/>
  <c r="AG117" i="14" s="1"/>
  <c r="AG122" i="14" s="1"/>
  <c r="AF153" i="14"/>
  <c r="R153" i="14"/>
  <c r="S117" i="14"/>
  <c r="S122" i="14" s="1"/>
  <c r="T109" i="14"/>
  <c r="U163" i="14"/>
  <c r="V113" i="14"/>
  <c r="AG153" i="14" l="1"/>
  <c r="S153" i="14"/>
  <c r="T117" i="14"/>
  <c r="T122" i="14" s="1"/>
  <c r="U109" i="14"/>
  <c r="X109" i="14"/>
  <c r="V163" i="14"/>
  <c r="W113" i="14"/>
  <c r="T153" i="14" l="1"/>
  <c r="X117" i="14"/>
  <c r="U117" i="14"/>
  <c r="U122" i="14" s="1"/>
  <c r="V109" i="14"/>
  <c r="Y109" i="14"/>
  <c r="W163" i="14"/>
  <c r="X163" i="14" l="1"/>
  <c r="X122" i="14"/>
  <c r="U153" i="14"/>
  <c r="X153" i="14"/>
  <c r="Y117" i="14"/>
  <c r="V117" i="14"/>
  <c r="W109" i="14"/>
  <c r="V153" i="14" l="1"/>
  <c r="V122" i="14"/>
  <c r="Y163" i="14"/>
  <c r="Y122" i="14"/>
  <c r="Y153" i="14"/>
  <c r="W117" i="14"/>
  <c r="W122" i="14" s="1"/>
  <c r="W153" i="14" l="1"/>
  <c r="G109" i="14"/>
  <c r="G117" i="14" l="1"/>
  <c r="G153" i="14" l="1"/>
  <c r="AA154" i="14" s="1"/>
  <c r="G122" i="14"/>
  <c r="Z154" i="14" l="1"/>
  <c r="Q154" i="14"/>
  <c r="M154" i="14"/>
  <c r="O154" i="14"/>
  <c r="G154" i="14"/>
  <c r="V154" i="14"/>
  <c r="AF154" i="14"/>
  <c r="AC154" i="14"/>
  <c r="AG154" i="14"/>
  <c r="Y154" i="14"/>
  <c r="R154" i="14"/>
  <c r="T154" i="14"/>
  <c r="W154" i="14"/>
  <c r="J154" i="14"/>
  <c r="U154" i="14"/>
  <c r="P154" i="14"/>
  <c r="K154" i="14"/>
  <c r="S154" i="14"/>
  <c r="I154" i="14"/>
  <c r="L154" i="14"/>
  <c r="X154" i="14"/>
  <c r="AE154" i="14"/>
  <c r="AD154" i="14"/>
  <c r="H154" i="14"/>
  <c r="AB154" i="14"/>
  <c r="N154" i="14"/>
  <c r="D20" i="14"/>
  <c r="C157" i="14"/>
  <c r="D144" i="14"/>
  <c r="U138" i="14"/>
  <c r="U146" i="14" s="1"/>
  <c r="J138" i="14"/>
  <c r="J146" i="14" s="1"/>
  <c r="N138" i="14"/>
  <c r="N146" i="14" s="1"/>
  <c r="O138" i="14"/>
  <c r="O146" i="14" s="1"/>
  <c r="AB138" i="14"/>
  <c r="AB146" i="14" s="1"/>
  <c r="P138" i="14"/>
  <c r="P146" i="14" s="1"/>
  <c r="E138" i="14"/>
  <c r="E146" i="14" s="1"/>
  <c r="I138" i="14"/>
  <c r="I146" i="14" s="1"/>
  <c r="G138" i="14"/>
  <c r="G146" i="14" s="1"/>
  <c r="L138" i="14"/>
  <c r="L146" i="14" s="1"/>
  <c r="Q138" i="14"/>
  <c r="Q146" i="14" s="1"/>
  <c r="T138" i="14"/>
  <c r="T146" i="14" s="1"/>
  <c r="AA138" i="14"/>
  <c r="AA146" i="14" s="1"/>
  <c r="Y138" i="14"/>
  <c r="Y146" i="14" s="1"/>
  <c r="AG138" i="14"/>
  <c r="AG146" i="14" s="1"/>
  <c r="W138" i="14"/>
  <c r="W146" i="14" s="1"/>
  <c r="S138" i="14"/>
  <c r="S146" i="14" s="1"/>
  <c r="AF138" i="14"/>
  <c r="AF146" i="14" s="1"/>
  <c r="M138" i="14"/>
  <c r="M146" i="14" s="1"/>
  <c r="H138" i="14"/>
  <c r="H146" i="14" s="1"/>
  <c r="X138" i="14"/>
  <c r="X146" i="14" s="1"/>
  <c r="AD138" i="14"/>
  <c r="AD146" i="14" s="1"/>
  <c r="AC138" i="14"/>
  <c r="AC146" i="14" s="1"/>
  <c r="R138" i="14"/>
  <c r="R146" i="14" s="1"/>
  <c r="Z138" i="14"/>
  <c r="Z146" i="14" s="1"/>
  <c r="K138" i="14"/>
  <c r="K146" i="14" s="1"/>
  <c r="D138" i="14"/>
  <c r="D146" i="14" s="1"/>
  <c r="V138" i="14"/>
  <c r="V146" i="14" s="1"/>
  <c r="AE138" i="14"/>
  <c r="AE146" i="14" s="1"/>
  <c r="F138" i="14"/>
  <c r="F146" i="14" s="1"/>
  <c r="D124" i="14" l="1"/>
  <c r="D157" i="14" s="1"/>
  <c r="D148" i="14"/>
  <c r="E144" i="14" s="1"/>
  <c r="D127" i="14" l="1"/>
  <c r="E124" i="14"/>
  <c r="E148" i="14"/>
  <c r="F144" i="14" s="1"/>
  <c r="D165" i="14"/>
  <c r="D145" i="14"/>
  <c r="D147" i="14" s="1"/>
  <c r="D151" i="14" l="1"/>
  <c r="E150" i="14"/>
  <c r="D158" i="14"/>
  <c r="F148" i="14"/>
  <c r="G144" i="14" s="1"/>
  <c r="F124" i="14"/>
  <c r="E127" i="14"/>
  <c r="E145" i="14"/>
  <c r="E147" i="14" s="1"/>
  <c r="E165" i="14"/>
  <c r="D128" i="14" l="1"/>
  <c r="G124" i="14"/>
  <c r="G148" i="14"/>
  <c r="H144" i="14" s="1"/>
  <c r="E151" i="14"/>
  <c r="F150" i="14"/>
  <c r="F145" i="14"/>
  <c r="F147" i="14" s="1"/>
  <c r="F127" i="14"/>
  <c r="F165" i="14"/>
  <c r="E128" i="14" l="1"/>
  <c r="D129" i="14"/>
  <c r="E155" i="14"/>
  <c r="E157" i="14"/>
  <c r="E158" i="14" s="1"/>
  <c r="D160" i="14"/>
  <c r="D131" i="14"/>
  <c r="G150" i="14"/>
  <c r="F151" i="14"/>
  <c r="H124" i="14"/>
  <c r="H148" i="14"/>
  <c r="I144" i="14" s="1"/>
  <c r="G165" i="14"/>
  <c r="G145" i="14"/>
  <c r="G147" i="14" s="1"/>
  <c r="G127" i="14"/>
  <c r="E131" i="14" l="1"/>
  <c r="E160" i="14"/>
  <c r="F155" i="14"/>
  <c r="F157" i="14"/>
  <c r="F158" i="14" s="1"/>
  <c r="E129" i="14"/>
  <c r="E156" i="14"/>
  <c r="F128" i="14"/>
  <c r="G155" i="14" s="1"/>
  <c r="H150" i="14"/>
  <c r="G151" i="14"/>
  <c r="I148" i="14"/>
  <c r="J144" i="14" s="1"/>
  <c r="I124" i="14"/>
  <c r="H127" i="14"/>
  <c r="H165" i="14"/>
  <c r="H145" i="14"/>
  <c r="H147" i="14" s="1"/>
  <c r="F156" i="14" l="1"/>
  <c r="G157" i="14"/>
  <c r="G158" i="14" s="1"/>
  <c r="F129" i="14"/>
  <c r="F160" i="14"/>
  <c r="G128" i="14"/>
  <c r="G129" i="14" s="1"/>
  <c r="F131" i="14"/>
  <c r="J148" i="14"/>
  <c r="K144" i="14" s="1"/>
  <c r="J124" i="14"/>
  <c r="H151" i="14"/>
  <c r="I150" i="14"/>
  <c r="G156" i="14"/>
  <c r="I127" i="14"/>
  <c r="I145" i="14"/>
  <c r="I147" i="14" s="1"/>
  <c r="I165" i="14"/>
  <c r="H128" i="14" l="1"/>
  <c r="H129" i="14" s="1"/>
  <c r="G131" i="14"/>
  <c r="H155" i="14"/>
  <c r="H157" i="14"/>
  <c r="H158" i="14" s="1"/>
  <c r="G160" i="14"/>
  <c r="J127" i="14"/>
  <c r="J165" i="14"/>
  <c r="J145" i="14"/>
  <c r="J147" i="14" s="1"/>
  <c r="K148" i="14"/>
  <c r="L144" i="14" s="1"/>
  <c r="K124" i="14"/>
  <c r="I151" i="14"/>
  <c r="J150" i="14"/>
  <c r="I157" i="14" l="1"/>
  <c r="I158" i="14" s="1"/>
  <c r="I155" i="14"/>
  <c r="H156" i="14"/>
  <c r="H160" i="14"/>
  <c r="I128" i="14"/>
  <c r="H131" i="14"/>
  <c r="L148" i="14"/>
  <c r="M144" i="14" s="1"/>
  <c r="L124" i="14"/>
  <c r="J151" i="14"/>
  <c r="K150" i="14"/>
  <c r="K145" i="14"/>
  <c r="K147" i="14" s="1"/>
  <c r="K165" i="14"/>
  <c r="K127" i="14"/>
  <c r="I156" i="14" l="1"/>
  <c r="J157" i="14"/>
  <c r="J158" i="14" s="1"/>
  <c r="I160" i="14"/>
  <c r="J155" i="14"/>
  <c r="I131" i="14"/>
  <c r="I129" i="14"/>
  <c r="J128" i="14"/>
  <c r="K151" i="14"/>
  <c r="L150" i="14"/>
  <c r="L145" i="14"/>
  <c r="L147" i="14" s="1"/>
  <c r="L165" i="14"/>
  <c r="L127" i="14"/>
  <c r="M148" i="14"/>
  <c r="N144" i="14" s="1"/>
  <c r="M124" i="14"/>
  <c r="J156" i="14" l="1"/>
  <c r="K157" i="14"/>
  <c r="K158" i="14" s="1"/>
  <c r="J129" i="14"/>
  <c r="K155" i="14"/>
  <c r="J160" i="14"/>
  <c r="J131" i="14"/>
  <c r="K128" i="14"/>
  <c r="L157" i="14" s="1"/>
  <c r="M150" i="14"/>
  <c r="L151" i="14"/>
  <c r="M127" i="14"/>
  <c r="M165" i="14"/>
  <c r="M145" i="14"/>
  <c r="M147" i="14" s="1"/>
  <c r="N148" i="14"/>
  <c r="O144" i="14" s="1"/>
  <c r="N124" i="14"/>
  <c r="K160" i="14" l="1"/>
  <c r="L158" i="14"/>
  <c r="L155" i="14"/>
  <c r="K156" i="14"/>
  <c r="K129" i="14"/>
  <c r="L128" i="14"/>
  <c r="K131" i="14"/>
  <c r="O148" i="14"/>
  <c r="P144" i="14" s="1"/>
  <c r="O124" i="14"/>
  <c r="N127" i="14"/>
  <c r="N165" i="14"/>
  <c r="N145" i="14"/>
  <c r="N147" i="14" s="1"/>
  <c r="M151" i="14"/>
  <c r="N150" i="14"/>
  <c r="L156" i="14" l="1"/>
  <c r="M157" i="14"/>
  <c r="M158" i="14" s="1"/>
  <c r="L131" i="14"/>
  <c r="L129" i="14"/>
  <c r="L160" i="14"/>
  <c r="M155" i="14"/>
  <c r="M128" i="14"/>
  <c r="M160" i="14" s="1"/>
  <c r="N151" i="14"/>
  <c r="O150" i="14"/>
  <c r="P124" i="14"/>
  <c r="P148" i="14"/>
  <c r="Q144" i="14" s="1"/>
  <c r="O127" i="14"/>
  <c r="O165" i="14"/>
  <c r="O145" i="14"/>
  <c r="O147" i="14" s="1"/>
  <c r="N155" i="14" l="1"/>
  <c r="N157" i="14"/>
  <c r="N158" i="14" s="1"/>
  <c r="M129" i="14"/>
  <c r="M156" i="14"/>
  <c r="N128" i="14"/>
  <c r="M131" i="14"/>
  <c r="O151" i="14"/>
  <c r="P150" i="14"/>
  <c r="P127" i="14"/>
  <c r="P145" i="14"/>
  <c r="P147" i="14" s="1"/>
  <c r="P165" i="14"/>
  <c r="Q148" i="14"/>
  <c r="R144" i="14" s="1"/>
  <c r="Q124" i="14"/>
  <c r="N156" i="14" l="1"/>
  <c r="N160" i="14"/>
  <c r="O157" i="14"/>
  <c r="O158" i="14" s="1"/>
  <c r="O155" i="14"/>
  <c r="O156" i="14" s="1"/>
  <c r="O128" i="14"/>
  <c r="N131" i="14"/>
  <c r="N129" i="14"/>
  <c r="Q145" i="14"/>
  <c r="Q147" i="14" s="1"/>
  <c r="Q165" i="14"/>
  <c r="Q127" i="14"/>
  <c r="P151" i="14"/>
  <c r="Q150" i="14"/>
  <c r="R148" i="14"/>
  <c r="S144" i="14" s="1"/>
  <c r="R124" i="14"/>
  <c r="P155" i="14" l="1"/>
  <c r="O129" i="14"/>
  <c r="O160" i="14"/>
  <c r="P157" i="14"/>
  <c r="P158" i="14" s="1"/>
  <c r="O131" i="14"/>
  <c r="P128" i="14"/>
  <c r="P160" i="14" s="1"/>
  <c r="R145" i="14"/>
  <c r="R147" i="14" s="1"/>
  <c r="R127" i="14"/>
  <c r="R165" i="14"/>
  <c r="S124" i="14"/>
  <c r="S148" i="14"/>
  <c r="T144" i="14" s="1"/>
  <c r="R150" i="14"/>
  <c r="Q151" i="14"/>
  <c r="P156" i="14" l="1"/>
  <c r="Q157" i="14"/>
  <c r="Q158" i="14" s="1"/>
  <c r="P129" i="14"/>
  <c r="Q155" i="14"/>
  <c r="Q156" i="14" s="1"/>
  <c r="Q128" i="14"/>
  <c r="R157" i="14" s="1"/>
  <c r="P131" i="14"/>
  <c r="S165" i="14"/>
  <c r="S145" i="14"/>
  <c r="S147" i="14" s="1"/>
  <c r="S127" i="14"/>
  <c r="R151" i="14"/>
  <c r="S150" i="14"/>
  <c r="T148" i="14"/>
  <c r="U144" i="14" s="1"/>
  <c r="T124" i="14"/>
  <c r="R158" i="14" l="1"/>
  <c r="H15" i="14" s="1"/>
  <c r="R155" i="14"/>
  <c r="Q129" i="14"/>
  <c r="Q160" i="14"/>
  <c r="R128" i="14"/>
  <c r="R129" i="14" s="1"/>
  <c r="Q131" i="14"/>
  <c r="U124" i="14"/>
  <c r="U148" i="14"/>
  <c r="V144" i="14" s="1"/>
  <c r="T127" i="14"/>
  <c r="T145" i="14"/>
  <c r="T147" i="14" s="1"/>
  <c r="T165" i="14"/>
  <c r="T150" i="14"/>
  <c r="S151" i="14"/>
  <c r="R156" i="14" l="1"/>
  <c r="H11" i="14" s="1"/>
  <c r="S155" i="14"/>
  <c r="S156" i="14" s="1"/>
  <c r="R160" i="14"/>
  <c r="S157" i="14"/>
  <c r="S158" i="14" s="1"/>
  <c r="S128" i="14"/>
  <c r="S160" i="14" s="1"/>
  <c r="R131" i="14"/>
  <c r="T151" i="14"/>
  <c r="U150" i="14"/>
  <c r="V124" i="14"/>
  <c r="V148" i="14"/>
  <c r="W144" i="14" s="1"/>
  <c r="U165" i="14"/>
  <c r="U145" i="14"/>
  <c r="U147" i="14" s="1"/>
  <c r="U127" i="14"/>
  <c r="T128" i="14" l="1"/>
  <c r="T129" i="14" s="1"/>
  <c r="S131" i="14"/>
  <c r="T157" i="14"/>
  <c r="T158" i="14" s="1"/>
  <c r="I15" i="14" s="1"/>
  <c r="T155" i="14"/>
  <c r="S129" i="14"/>
  <c r="V150" i="14"/>
  <c r="U151" i="14"/>
  <c r="V165" i="14"/>
  <c r="V127" i="14"/>
  <c r="V145" i="14"/>
  <c r="V147" i="14" s="1"/>
  <c r="W148" i="14"/>
  <c r="X144" i="14" s="1"/>
  <c r="W124" i="14"/>
  <c r="T160" i="14" l="1"/>
  <c r="U155" i="14"/>
  <c r="U156" i="14" s="1"/>
  <c r="U157" i="14"/>
  <c r="U158" i="14" s="1"/>
  <c r="T156" i="14"/>
  <c r="U128" i="14"/>
  <c r="U129" i="14" s="1"/>
  <c r="T131" i="14"/>
  <c r="X148" i="14"/>
  <c r="Y144" i="14" s="1"/>
  <c r="X124" i="14"/>
  <c r="W127" i="14"/>
  <c r="W165" i="14"/>
  <c r="W145" i="14"/>
  <c r="W147" i="14" s="1"/>
  <c r="V151" i="14"/>
  <c r="W150" i="14"/>
  <c r="U160" i="14" l="1"/>
  <c r="V157" i="14"/>
  <c r="V158" i="14" s="1"/>
  <c r="U131" i="14"/>
  <c r="V155" i="14"/>
  <c r="V156" i="14" s="1"/>
  <c r="V128" i="14"/>
  <c r="W155" i="14" s="1"/>
  <c r="W156" i="14" s="1"/>
  <c r="I11" i="14"/>
  <c r="W151" i="14"/>
  <c r="X150" i="14"/>
  <c r="X127" i="14"/>
  <c r="X145" i="14"/>
  <c r="X147" i="14" s="1"/>
  <c r="Y148" i="14"/>
  <c r="Z144" i="14" s="1"/>
  <c r="Y124" i="14"/>
  <c r="V160" i="14" l="1"/>
  <c r="W157" i="14"/>
  <c r="W158" i="14" s="1"/>
  <c r="V131" i="14"/>
  <c r="V129" i="14"/>
  <c r="W128" i="14"/>
  <c r="X157" i="14" s="1"/>
  <c r="X158" i="14" s="1"/>
  <c r="Y145" i="14"/>
  <c r="Y147" i="14" s="1"/>
  <c r="Y127" i="14"/>
  <c r="Z148" i="14"/>
  <c r="AA144" i="14" s="1"/>
  <c r="Z124" i="14"/>
  <c r="X151" i="14"/>
  <c r="X128" i="14" s="1"/>
  <c r="X131" i="14" s="1"/>
  <c r="Y150" i="14"/>
  <c r="W160" i="14" l="1"/>
  <c r="W131" i="14"/>
  <c r="W129" i="14"/>
  <c r="X155" i="14"/>
  <c r="X156" i="14" s="1"/>
  <c r="Z127" i="14"/>
  <c r="Z145" i="14"/>
  <c r="Z147" i="14" s="1"/>
  <c r="AA148" i="14"/>
  <c r="AB144" i="14" s="1"/>
  <c r="AA124" i="14"/>
  <c r="Y151" i="14"/>
  <c r="Y128" i="14" s="1"/>
  <c r="Z150" i="14"/>
  <c r="Y157" i="14"/>
  <c r="Y158" i="14" s="1"/>
  <c r="X129" i="14"/>
  <c r="Y155" i="14"/>
  <c r="Y156" i="14" s="1"/>
  <c r="AA127" i="14" l="1"/>
  <c r="AA145" i="14"/>
  <c r="AA147" i="14" s="1"/>
  <c r="AB148" i="14"/>
  <c r="AC144" i="14" s="1"/>
  <c r="AB124" i="14"/>
  <c r="Y129" i="14"/>
  <c r="Z155" i="14"/>
  <c r="Z156" i="14" s="1"/>
  <c r="Z157" i="14"/>
  <c r="Z158" i="14" s="1"/>
  <c r="Y131" i="14"/>
  <c r="Z151" i="14"/>
  <c r="Z128" i="14" s="1"/>
  <c r="AA150" i="14"/>
  <c r="AB145" i="14" l="1"/>
  <c r="AB147" i="14" s="1"/>
  <c r="AB127" i="14"/>
  <c r="AC148" i="14"/>
  <c r="AD144" i="14" s="1"/>
  <c r="AC124" i="14"/>
  <c r="Z129" i="14"/>
  <c r="AA157" i="14"/>
  <c r="AA158" i="14" s="1"/>
  <c r="AA155" i="14"/>
  <c r="AA156" i="14" s="1"/>
  <c r="Z131" i="14"/>
  <c r="AA151" i="14"/>
  <c r="AA128" i="14" s="1"/>
  <c r="AB150" i="14"/>
  <c r="AC145" i="14" l="1"/>
  <c r="AC147" i="14" s="1"/>
  <c r="AC127" i="14"/>
  <c r="AD124" i="14"/>
  <c r="AD148" i="14"/>
  <c r="AE144" i="14" s="1"/>
  <c r="AB155" i="14"/>
  <c r="AB156" i="14" s="1"/>
  <c r="AB157" i="14"/>
  <c r="AB158" i="14" s="1"/>
  <c r="AA129" i="14"/>
  <c r="AB151" i="14"/>
  <c r="AB128" i="14" s="1"/>
  <c r="AB131" i="14" s="1"/>
  <c r="AC150" i="14"/>
  <c r="AA131" i="14"/>
  <c r="AE124" i="14" l="1"/>
  <c r="AE148" i="14"/>
  <c r="AF144" i="14" s="1"/>
  <c r="AD145" i="14"/>
  <c r="AD147" i="14" s="1"/>
  <c r="AD127" i="14"/>
  <c r="AC151" i="14"/>
  <c r="AC128" i="14" s="1"/>
  <c r="AD150" i="14"/>
  <c r="AB129" i="14"/>
  <c r="AC157" i="14"/>
  <c r="AC158" i="14" s="1"/>
  <c r="AC155" i="14"/>
  <c r="AC156" i="14" s="1"/>
  <c r="AC129" i="14" l="1"/>
  <c r="AD155" i="14"/>
  <c r="AD156" i="14" s="1"/>
  <c r="AD157" i="14"/>
  <c r="AD158" i="14" s="1"/>
  <c r="AF148" i="14"/>
  <c r="AG144" i="14" s="1"/>
  <c r="AF124" i="14"/>
  <c r="AE150" i="14"/>
  <c r="AD151" i="14"/>
  <c r="AD128" i="14" s="1"/>
  <c r="AD131" i="14" s="1"/>
  <c r="AC131" i="14"/>
  <c r="AE145" i="14"/>
  <c r="AE147" i="14" s="1"/>
  <c r="AE127" i="14"/>
  <c r="AG148" i="14" l="1"/>
  <c r="AG124" i="14"/>
  <c r="AE151" i="14"/>
  <c r="AE128" i="14" s="1"/>
  <c r="AE131" i="14" s="1"/>
  <c r="AF150" i="14"/>
  <c r="AD129" i="14"/>
  <c r="AE155" i="14"/>
  <c r="AE156" i="14" s="1"/>
  <c r="AE157" i="14"/>
  <c r="AE158" i="14" s="1"/>
  <c r="AF145" i="14"/>
  <c r="AF147" i="14" s="1"/>
  <c r="AF127" i="14"/>
  <c r="AF155" i="14" l="1"/>
  <c r="AF156" i="14" s="1"/>
  <c r="AE129" i="14"/>
  <c r="AF157" i="14"/>
  <c r="AF158" i="14" s="1"/>
  <c r="AG150" i="14"/>
  <c r="AF151" i="14"/>
  <c r="AF128" i="14" s="1"/>
  <c r="AF131" i="14" s="1"/>
  <c r="AG127" i="14"/>
  <c r="AG145" i="14"/>
  <c r="AG147" i="14" s="1"/>
  <c r="AG151" i="14" l="1"/>
  <c r="AG128" i="14" s="1"/>
  <c r="AG129" i="14" s="1"/>
  <c r="AG155" i="14"/>
  <c r="AG156" i="14" s="1"/>
  <c r="AG157" i="14"/>
  <c r="AG158" i="14" s="1"/>
  <c r="AF129" i="14"/>
  <c r="AG131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Radet</author>
  </authors>
  <commentList>
    <comment ref="C43" authorId="0" shapeId="0" xr:uid="{8870F28A-277B-4E4E-B3A0-E34729268A09}">
      <text>
        <r>
          <rPr>
            <sz val="9"/>
            <color indexed="81"/>
            <rFont val="Tahoma"/>
            <family val="2"/>
          </rPr>
          <t>L'exercice "0" désigne la période pré-exploitation, peu importe sa durée réelle</t>
        </r>
      </text>
    </comment>
    <comment ref="B133" authorId="0" shapeId="0" xr:uid="{50C69576-834E-403B-A21E-A89721CCBF51}">
      <text>
        <r>
          <rPr>
            <sz val="9"/>
            <color indexed="81"/>
            <rFont val="Tahoma"/>
            <family val="2"/>
          </rPr>
          <t>Flux entrant en (+) et flux sortants en (-)</t>
        </r>
      </text>
    </comment>
  </commentList>
</comments>
</file>

<file path=xl/sharedStrings.xml><?xml version="1.0" encoding="utf-8"?>
<sst xmlns="http://schemas.openxmlformats.org/spreadsheetml/2006/main" count="11406" uniqueCount="207">
  <si>
    <t>Légende :</t>
  </si>
  <si>
    <t>Cellules à compléter</t>
  </si>
  <si>
    <t>Cellules à ne pas modifier</t>
  </si>
  <si>
    <t>Investissement</t>
  </si>
  <si>
    <t>EUR</t>
  </si>
  <si>
    <t>Montant total brut de l'investissement</t>
  </si>
  <si>
    <t>TRI projet (AI)</t>
  </si>
  <si>
    <t>Montant total brut de l'investissement en EUR/W</t>
  </si>
  <si>
    <t>Montant brut de l'investissement hors raccordement</t>
  </si>
  <si>
    <t>%</t>
  </si>
  <si>
    <t>Financement</t>
  </si>
  <si>
    <t>Montant de l'apport en fonds propres</t>
  </si>
  <si>
    <t>Montant de l'apport en dette</t>
  </si>
  <si>
    <t>Montant des avantages et subventions à l'investissement</t>
  </si>
  <si>
    <t>Montant total de l'investissement net des avantages et subventions</t>
  </si>
  <si>
    <t>Taux d'intérêt de l'emprunt</t>
  </si>
  <si>
    <t>Durée de l'emprunt (en années)</t>
  </si>
  <si>
    <t>Charges</t>
  </si>
  <si>
    <t>Montant à amortir (= investissement net)</t>
  </si>
  <si>
    <t>Durée d'amortissement (en années)</t>
  </si>
  <si>
    <t>Linéaire</t>
  </si>
  <si>
    <t>Hypothèse d'inflation</t>
  </si>
  <si>
    <t>Pré-exploitation</t>
  </si>
  <si>
    <t>Exploitation sous contrat de complément de rémunération</t>
  </si>
  <si>
    <t>Exploitation hors soutien public</t>
  </si>
  <si>
    <r>
      <rPr>
        <b/>
        <sz val="11"/>
        <color theme="1"/>
        <rFont val="Arial"/>
        <family val="2"/>
      </rPr>
      <t>Exercices</t>
    </r>
    <r>
      <rPr>
        <sz val="11"/>
        <color theme="1"/>
        <rFont val="Arial"/>
        <family val="2"/>
      </rPr>
      <t xml:space="preserve"> (calendaires - 12 mois)</t>
    </r>
  </si>
  <si>
    <t>Variation annuelle</t>
  </si>
  <si>
    <t>Revenus du marché de capacité (EUR/an)</t>
  </si>
  <si>
    <t>Compte de Résultat (EUR)</t>
  </si>
  <si>
    <t>Produits d'exploitation (PEX)</t>
  </si>
  <si>
    <t>Revenus de la vente d'électricité</t>
  </si>
  <si>
    <t>Autres revenus d'exploitation*</t>
  </si>
  <si>
    <t>Charges d'exploitation (CEX)</t>
  </si>
  <si>
    <t>Charges d'exploitation et de maintenance</t>
  </si>
  <si>
    <t>Assurances</t>
  </si>
  <si>
    <t>Charges de location</t>
  </si>
  <si>
    <t>Frais de gestion (administrative, comptable…)</t>
  </si>
  <si>
    <t>Impôts, taxes et versements assimilés (ITVA)</t>
  </si>
  <si>
    <t>IFER</t>
  </si>
  <si>
    <t>CFE</t>
  </si>
  <si>
    <t>CVAE</t>
  </si>
  <si>
    <t>C3S</t>
  </si>
  <si>
    <t>Taxe foncière</t>
  </si>
  <si>
    <t>Autres taxes</t>
  </si>
  <si>
    <t>Excédent brut d'exploitation (EBE) = VA - ITVA</t>
  </si>
  <si>
    <t>Dotation aux provisions (DP)</t>
  </si>
  <si>
    <t>Résultat d'exploitation (REX) = EBE - DA - DP</t>
  </si>
  <si>
    <t>Produits financiers</t>
  </si>
  <si>
    <t>Intérêts bancaires sur l'emprunt bancaire (INT)</t>
  </si>
  <si>
    <t>Autres charges financières</t>
  </si>
  <si>
    <t>Résultat courant avant impôt (RCAI) = REX - INT</t>
  </si>
  <si>
    <t>Impôt sur les sociétés (IS)</t>
  </si>
  <si>
    <t>Taux effectif d'IS</t>
  </si>
  <si>
    <t>Résultat net de l'exercice (RN) = RCAI - IS</t>
  </si>
  <si>
    <t>Tableau de flux</t>
  </si>
  <si>
    <t>Flux d'investissement</t>
  </si>
  <si>
    <t>Tirage de la subvention et avantages</t>
  </si>
  <si>
    <t>Tirage sur facilité d'emprunt</t>
  </si>
  <si>
    <t>Remboursement du capital de l'emprunt</t>
  </si>
  <si>
    <t>Tirage des fonds propres</t>
  </si>
  <si>
    <t>Paiement de dividendes</t>
  </si>
  <si>
    <t>Tableau d'amortissement de l'emprunt</t>
  </si>
  <si>
    <t>Montant du capital emprunté restant en début de période</t>
  </si>
  <si>
    <t>Intérêts payés</t>
  </si>
  <si>
    <t>Capital remboursé</t>
  </si>
  <si>
    <t>Annuité</t>
  </si>
  <si>
    <t>Montant du capital emprunté restant en fin de période</t>
  </si>
  <si>
    <t>Report d'imposition</t>
  </si>
  <si>
    <t>Résultat imposable</t>
  </si>
  <si>
    <t>TRI projet avant impot</t>
  </si>
  <si>
    <t>TRI projet après impot</t>
  </si>
  <si>
    <t>TRI investisseurs</t>
  </si>
  <si>
    <t>DSCR</t>
  </si>
  <si>
    <t>EBITDA/CA</t>
  </si>
  <si>
    <t>Amortissement/CA</t>
  </si>
  <si>
    <t>Intérêts sur CA</t>
  </si>
  <si>
    <t>Location</t>
  </si>
  <si>
    <t>Puissance stockage</t>
  </si>
  <si>
    <t>Energie utile</t>
  </si>
  <si>
    <t>Energie installée</t>
  </si>
  <si>
    <t>Coût de développement stokage</t>
  </si>
  <si>
    <t>Réserve primaire</t>
  </si>
  <si>
    <t>Revenus liés à la réserve primaire (EUR/an)</t>
  </si>
  <si>
    <t>Réserve secondaire</t>
  </si>
  <si>
    <t>Revenus liés à la réserve secondaire (EUR/an)</t>
  </si>
  <si>
    <t>Mécanisme de capacité</t>
  </si>
  <si>
    <t>Investissement système PV</t>
  </si>
  <si>
    <t>Investissement initial système de stokage</t>
  </si>
  <si>
    <t>Dotation aux amortissements (DA) pour le système de stockage - initial</t>
  </si>
  <si>
    <t>Dotation aux amortissements (DA) totale</t>
  </si>
  <si>
    <t>Asset</t>
  </si>
  <si>
    <t>Parameter</t>
  </si>
  <si>
    <t>Value</t>
  </si>
  <si>
    <t>Scenario</t>
  </si>
  <si>
    <t>Year</t>
  </si>
  <si>
    <t>node</t>
  </si>
  <si>
    <t>network</t>
  </si>
  <si>
    <t>turpe_power_cost</t>
  </si>
  <si>
    <t>turpe_energy_cost</t>
  </si>
  <si>
    <t>DA</t>
  </si>
  <si>
    <t>cost</t>
  </si>
  <si>
    <t>income</t>
  </si>
  <si>
    <t>fcr</t>
  </si>
  <si>
    <t>afrr</t>
  </si>
  <si>
    <t>Facteur de de-rating</t>
  </si>
  <si>
    <t>Day-ahead (net)</t>
  </si>
  <si>
    <t>Reserve primaire</t>
  </si>
  <si>
    <t>Reserve secondaire</t>
  </si>
  <si>
    <t>Années</t>
  </si>
  <si>
    <t>Puissance crête (MWc)</t>
  </si>
  <si>
    <t>S1</t>
  </si>
  <si>
    <t>energy_bought</t>
  </si>
  <si>
    <t>energy_sold</t>
  </si>
  <si>
    <t>hours_bought</t>
  </si>
  <si>
    <t>hours_sold</t>
  </si>
  <si>
    <t>activation_hours</t>
  </si>
  <si>
    <t xml:space="preserve">TRI investisseur </t>
  </si>
  <si>
    <t xml:space="preserve">SPV </t>
  </si>
  <si>
    <t xml:space="preserve">Année </t>
  </si>
  <si>
    <t xml:space="preserve">Nombre d'heures de vente d'énergie </t>
  </si>
  <si>
    <t xml:space="preserve">Nombre d'heures d'achat d'énergie </t>
  </si>
  <si>
    <t>Nombre d'heure 'd'activation aFRR</t>
  </si>
  <si>
    <t>Nombre d'heure 'd'activation fcr</t>
  </si>
  <si>
    <t>YALD</t>
  </si>
  <si>
    <t xml:space="preserve">Valeur ajoutée (VA) = PEX - CEX </t>
  </si>
  <si>
    <t xml:space="preserve">Frais de comptage et de gestion </t>
  </si>
  <si>
    <t>Montant respectif investi</t>
  </si>
  <si>
    <t>Marché J-1</t>
  </si>
  <si>
    <t>Marché infra-journalier</t>
  </si>
  <si>
    <t>Revenus liés à la vente sur le marché infra-journalier (EUR/an)</t>
  </si>
  <si>
    <t>Energie vendue sur le marché infra-journalier (MWh/an)</t>
  </si>
  <si>
    <t>Charges liées à l'achat sur le marché infra-journalier - HORS TURPE (EUR/an)</t>
  </si>
  <si>
    <t>Energie achetée sur le marché infra-journalier (MWh/an)</t>
  </si>
  <si>
    <t>Revenus liés à la vente sur le marché J-1 (EUR/an)</t>
  </si>
  <si>
    <t>Energie vendue sur le marché J-1 (MWh/an)</t>
  </si>
  <si>
    <t>Charges liées à l'achat sur le marché J-1 - HORS TURPE (EUR/an)</t>
  </si>
  <si>
    <t>Energie achetée sur le marché J-1 (MWh/an)</t>
  </si>
  <si>
    <t>Marché d'ajustement</t>
  </si>
  <si>
    <t>Revenus liés à la vente sur le marché d'ajustement (EUR/an)</t>
  </si>
  <si>
    <t>Energie vendue sur le marché d'ajustement (MWh/an)</t>
  </si>
  <si>
    <t>Charges liées à l'achat sur le marché d'ajustement - HORS TURPE (EUR/an)</t>
  </si>
  <si>
    <t>Energie achetée sur le marché d'ajustement (MWh/an)</t>
  </si>
  <si>
    <t>Information générales</t>
  </si>
  <si>
    <t>Durée du projet (années)</t>
  </si>
  <si>
    <t>Puissance de raccordement (MWc)</t>
  </si>
  <si>
    <t>Stockage</t>
  </si>
  <si>
    <t>Raccordement</t>
  </si>
  <si>
    <t>Autres</t>
  </si>
  <si>
    <t>Hypothèses technico-économiques</t>
  </si>
  <si>
    <t>MW</t>
  </si>
  <si>
    <t>MWh</t>
  </si>
  <si>
    <t>DOD</t>
  </si>
  <si>
    <t>€/kW</t>
  </si>
  <si>
    <t>€</t>
  </si>
  <si>
    <t>CAPEX total</t>
  </si>
  <si>
    <t>CAPEX énergie</t>
  </si>
  <si>
    <t>CAPEX puissance</t>
  </si>
  <si>
    <t>OPEX Stockage</t>
  </si>
  <si>
    <t>% CAPEX</t>
  </si>
  <si>
    <t>Coût de raccordement</t>
  </si>
  <si>
    <t>Charge de location du terrain</t>
  </si>
  <si>
    <t>Nom du projet</t>
  </si>
  <si>
    <t xml:space="preserve">Assurance </t>
  </si>
  <si>
    <t>Power</t>
  </si>
  <si>
    <t>Durée de stockage</t>
  </si>
  <si>
    <t>h</t>
  </si>
  <si>
    <t>Puissances uniques</t>
  </si>
  <si>
    <t>Frais d'agrégation</t>
  </si>
  <si>
    <t>Duration</t>
  </si>
  <si>
    <t>-</t>
  </si>
  <si>
    <t>0 ou 1 si activé</t>
  </si>
  <si>
    <t>TRI projet (%)</t>
  </si>
  <si>
    <t>Durée (h)</t>
  </si>
  <si>
    <t>Puissance (MW)</t>
  </si>
  <si>
    <t>TRI investisseur (%)</t>
  </si>
  <si>
    <t>Dimensionnement</t>
  </si>
  <si>
    <t>optimiste</t>
  </si>
  <si>
    <t>pessimiste</t>
  </si>
  <si>
    <t>Durée de vie (années)</t>
  </si>
  <si>
    <t>CAPEX puissance (€/kW)</t>
  </si>
  <si>
    <t>CAPEX energie (€/kWh)</t>
  </si>
  <si>
    <t>OPEX</t>
  </si>
  <si>
    <t>Étiquettes de lignes</t>
  </si>
  <si>
    <t>Total général</t>
  </si>
  <si>
    <t>Étiquettes de colonnes</t>
  </si>
  <si>
    <t>Somme de TRI projet (%)</t>
  </si>
  <si>
    <t>€/kWh</t>
  </si>
  <si>
    <t>Facteur x prix MECAPA</t>
  </si>
  <si>
    <t>Facteur multiplicatif pour sensibilité sur le prix du méca capa</t>
  </si>
  <si>
    <t>Sensibilité aux CAPEX et prix du méca capa à dimensions fixées</t>
  </si>
  <si>
    <t>Prix moyen méca capa (€/MW)</t>
  </si>
  <si>
    <t>Paramètres sensibles</t>
  </si>
  <si>
    <t>Dimensions fixes</t>
  </si>
  <si>
    <t>Résultats</t>
  </si>
  <si>
    <t>Hypothèses batterie</t>
  </si>
  <si>
    <t>Scénario de prix</t>
  </si>
  <si>
    <t>Frais agrégation</t>
  </si>
  <si>
    <t>Compensation pour ecrêtement (méca capa)</t>
  </si>
  <si>
    <t xml:space="preserve">TURPE </t>
  </si>
  <si>
    <t>Prix mécanisme de capacité - COR-E (€/MW/an)</t>
  </si>
  <si>
    <t>Prix mécanisme de capacité - B1 (€/MW/an)</t>
  </si>
  <si>
    <t>Prix mécanisme de capacité - B3 (€/MW/an)</t>
  </si>
  <si>
    <t>Disponibilité pour méca capa et maintenance</t>
  </si>
  <si>
    <t>Colonne1</t>
  </si>
  <si>
    <t>co2_emission</t>
  </si>
  <si>
    <t>(vide)</t>
  </si>
  <si>
    <t>versys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</si>
</sst>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0.0%"/>
    <numFmt numFmtId="166" formatCode="#,##0_ ;\-#,##0\ "/>
    <numFmt numFmtId="167" formatCode="_-* #,##0\ &quot;€&quot;_-;\-* #,##0\ &quot;€&quot;_-;_-* &quot;-&quot;??\ &quot;€&quot;_-;_-@_-"/>
    <numFmt numFmtId="168" formatCode="_(&quot;€&quot;* #,##0.00_);_(&quot;€&quot;* \(#,##0.00\);_(&quot;€&quot;* &quot;-&quot;??_);_(@_)"/>
    <numFmt numFmtId="169" formatCode="#,##0.00\ &quot;€&quot;"/>
    <numFmt numFmtId="170" formatCode="0.0"/>
    <numFmt numFmtId="171" formatCode="#,##0\ &quot;€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i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499984740745262"/>
      <name val="Arial"/>
      <family val="2"/>
    </font>
    <font>
      <b/>
      <sz val="10"/>
      <color theme="1"/>
      <name val="Century Gothic"/>
      <family val="2"/>
    </font>
    <font>
      <b/>
      <sz val="9"/>
      <color rgb="FFC00000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9"/>
      <color theme="0"/>
      <name val="Century Gothic"/>
      <family val="2"/>
    </font>
    <font>
      <sz val="9"/>
      <color theme="1"/>
      <name val="Century Gothic"/>
      <family val="2"/>
    </font>
    <font>
      <i/>
      <sz val="9"/>
      <color theme="1"/>
      <name val="Century Gothic"/>
      <family val="2"/>
    </font>
    <font>
      <sz val="9"/>
      <color theme="0"/>
      <name val="Century Gothic"/>
      <family val="2"/>
    </font>
    <font>
      <b/>
      <sz val="11"/>
      <color theme="0"/>
      <name val="Century Gothic"/>
      <family val="2"/>
    </font>
    <font>
      <b/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sz val="11"/>
      <color theme="0"/>
      <name val="Century Gothic"/>
      <family val="2"/>
    </font>
    <font>
      <b/>
      <sz val="11"/>
      <color theme="0" tint="-0.34998626667073579"/>
      <name val="Century Gothic"/>
      <family val="2"/>
    </font>
    <font>
      <i/>
      <sz val="10"/>
      <color theme="1"/>
      <name val="Century Gothic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4" fillId="0" borderId="0"/>
  </cellStyleXfs>
  <cellXfs count="170">
    <xf numFmtId="0" fontId="0" fillId="0" borderId="0" xfId="0"/>
    <xf numFmtId="0" fontId="2" fillId="2" borderId="1" xfId="0" applyFont="1" applyFill="1" applyBorder="1"/>
    <xf numFmtId="164" fontId="2" fillId="3" borderId="1" xfId="1" applyFont="1" applyFill="1" applyBorder="1"/>
    <xf numFmtId="0" fontId="2" fillId="3" borderId="1" xfId="0" applyFont="1" applyFill="1" applyBorder="1"/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0" xfId="0" applyFont="1" applyAlignment="1">
      <alignment horizontal="left" indent="2"/>
    </xf>
    <xf numFmtId="0" fontId="6" fillId="4" borderId="1" xfId="0" applyFont="1" applyFill="1" applyBorder="1" applyAlignment="1">
      <alignment horizontal="center" vertical="center"/>
    </xf>
    <xf numFmtId="0" fontId="8" fillId="0" borderId="0" xfId="0" applyFont="1"/>
    <xf numFmtId="166" fontId="3" fillId="7" borderId="0" xfId="1" applyNumberFormat="1" applyFont="1" applyFill="1" applyProtection="1">
      <protection locked="0"/>
    </xf>
    <xf numFmtId="0" fontId="9" fillId="0" borderId="0" xfId="0" applyFont="1" applyAlignment="1">
      <alignment horizontal="left" indent="2"/>
    </xf>
    <xf numFmtId="166" fontId="9" fillId="0" borderId="0" xfId="0" applyNumberFormat="1" applyFont="1"/>
    <xf numFmtId="0" fontId="9" fillId="0" borderId="0" xfId="0" applyFont="1"/>
    <xf numFmtId="0" fontId="2" fillId="0" borderId="0" xfId="0" applyFont="1"/>
    <xf numFmtId="165" fontId="3" fillId="0" borderId="0" xfId="0" applyNumberFormat="1" applyFont="1"/>
    <xf numFmtId="9" fontId="9" fillId="0" borderId="0" xfId="2" applyFont="1" applyFill="1"/>
    <xf numFmtId="166" fontId="2" fillId="0" borderId="0" xfId="0" applyNumberFormat="1" applyFont="1"/>
    <xf numFmtId="166" fontId="2" fillId="0" borderId="0" xfId="1" applyNumberFormat="1" applyFont="1" applyFill="1"/>
    <xf numFmtId="0" fontId="3" fillId="0" borderId="0" xfId="0" applyFont="1"/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left" indent="4"/>
    </xf>
    <xf numFmtId="164" fontId="2" fillId="0" borderId="0" xfId="1" applyFont="1" applyFill="1"/>
    <xf numFmtId="0" fontId="5" fillId="0" borderId="0" xfId="0" applyFont="1" applyAlignment="1">
      <alignment horizontal="left" indent="3"/>
    </xf>
    <xf numFmtId="0" fontId="2" fillId="0" borderId="2" xfId="0" applyFont="1" applyBorder="1" applyAlignment="1">
      <alignment horizontal="center" vertical="center"/>
    </xf>
    <xf numFmtId="10" fontId="2" fillId="0" borderId="0" xfId="2" applyNumberFormat="1" applyFont="1" applyFill="1" applyProtection="1">
      <protection locked="0"/>
    </xf>
    <xf numFmtId="0" fontId="5" fillId="0" borderId="0" xfId="0" applyFont="1"/>
    <xf numFmtId="0" fontId="2" fillId="0" borderId="0" xfId="0" applyFont="1" applyAlignment="1" applyProtection="1">
      <alignment vertical="top"/>
      <protection locked="0"/>
    </xf>
    <xf numFmtId="166" fontId="2" fillId="0" borderId="0" xfId="1" applyNumberFormat="1" applyFont="1" applyFill="1" applyProtection="1">
      <protection locked="0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right" indent="2"/>
    </xf>
    <xf numFmtId="0" fontId="3" fillId="0" borderId="0" xfId="0" applyFont="1" applyAlignment="1">
      <alignment horizontal="right" indent="2"/>
    </xf>
    <xf numFmtId="165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left" wrapText="1"/>
    </xf>
    <xf numFmtId="166" fontId="2" fillId="9" borderId="0" xfId="1" applyNumberFormat="1" applyFont="1" applyFill="1"/>
    <xf numFmtId="165" fontId="6" fillId="6" borderId="3" xfId="0" applyNumberFormat="1" applyFont="1" applyFill="1" applyBorder="1" applyAlignment="1">
      <alignment horizontal="center" wrapText="1"/>
    </xf>
    <xf numFmtId="166" fontId="2" fillId="9" borderId="0" xfId="1" applyNumberFormat="1" applyFont="1" applyFill="1" applyProtection="1"/>
    <xf numFmtId="166" fontId="2" fillId="9" borderId="0" xfId="0" applyNumberFormat="1" applyFont="1" applyFill="1"/>
    <xf numFmtId="165" fontId="2" fillId="9" borderId="0" xfId="2" applyNumberFormat="1" applyFont="1" applyFill="1" applyAlignment="1">
      <alignment horizontal="center"/>
    </xf>
    <xf numFmtId="165" fontId="2" fillId="9" borderId="0" xfId="0" applyNumberFormat="1" applyFont="1" applyFill="1" applyAlignment="1">
      <alignment horizontal="center"/>
    </xf>
    <xf numFmtId="10" fontId="2" fillId="9" borderId="0" xfId="2" applyNumberFormat="1" applyFont="1" applyFill="1" applyProtection="1">
      <protection locked="0"/>
    </xf>
    <xf numFmtId="166" fontId="2" fillId="9" borderId="0" xfId="1" applyNumberFormat="1" applyFont="1" applyFill="1" applyProtection="1">
      <protection locked="0"/>
    </xf>
    <xf numFmtId="166" fontId="3" fillId="9" borderId="0" xfId="1" applyNumberFormat="1" applyFont="1" applyFill="1" applyAlignment="1">
      <alignment horizontal="right"/>
    </xf>
    <xf numFmtId="0" fontId="6" fillId="6" borderId="3" xfId="0" applyFont="1" applyFill="1" applyBorder="1"/>
    <xf numFmtId="165" fontId="6" fillId="6" borderId="3" xfId="0" applyNumberFormat="1" applyFont="1" applyFill="1" applyBorder="1"/>
    <xf numFmtId="0" fontId="2" fillId="2" borderId="0" xfId="0" applyFont="1" applyFill="1" applyAlignment="1">
      <alignment horizontal="left" indent="2"/>
    </xf>
    <xf numFmtId="0" fontId="2" fillId="2" borderId="0" xfId="0" applyFont="1" applyFill="1"/>
    <xf numFmtId="0" fontId="2" fillId="2" borderId="0" xfId="0" applyFont="1" applyFill="1" applyAlignment="1">
      <alignment horizontal="left" indent="4"/>
    </xf>
    <xf numFmtId="0" fontId="2" fillId="0" borderId="0" xfId="0" applyFont="1" applyAlignment="1" applyProtection="1">
      <alignment horizontal="right"/>
      <protection locked="0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8" fillId="0" borderId="3" xfId="0" applyFont="1" applyBorder="1" applyAlignment="1">
      <alignment horizontal="center" vertical="top"/>
    </xf>
    <xf numFmtId="9" fontId="0" fillId="0" borderId="0" xfId="2" applyFont="1"/>
    <xf numFmtId="0" fontId="8" fillId="0" borderId="0" xfId="0" applyFont="1" applyAlignment="1">
      <alignment horizontal="center" vertical="top"/>
    </xf>
    <xf numFmtId="0" fontId="2" fillId="0" borderId="0" xfId="0" quotePrefix="1" applyFont="1"/>
    <xf numFmtId="0" fontId="3" fillId="0" borderId="0" xfId="0" applyFont="1" applyAlignment="1">
      <alignment horizontal="center" wrapText="1"/>
    </xf>
    <xf numFmtId="165" fontId="2" fillId="0" borderId="0" xfId="0" applyNumberFormat="1" applyFont="1" applyAlignment="1" applyProtection="1">
      <alignment horizontal="center" vertical="top"/>
      <protection locked="0"/>
    </xf>
    <xf numFmtId="166" fontId="3" fillId="9" borderId="0" xfId="1" applyNumberFormat="1" applyFont="1" applyFill="1" applyProtection="1">
      <protection locked="0"/>
    </xf>
    <xf numFmtId="169" fontId="0" fillId="0" borderId="0" xfId="0" applyNumberFormat="1"/>
    <xf numFmtId="166" fontId="3" fillId="0" borderId="0" xfId="1" applyNumberFormat="1" applyFont="1" applyFill="1"/>
    <xf numFmtId="10" fontId="12" fillId="2" borderId="0" xfId="0" applyNumberFormat="1" applyFont="1" applyFill="1"/>
    <xf numFmtId="44" fontId="12" fillId="2" borderId="0" xfId="3" applyFont="1" applyFill="1" applyBorder="1" applyAlignment="1">
      <alignment horizontal="center" vertical="center"/>
    </xf>
    <xf numFmtId="0" fontId="15" fillId="2" borderId="0" xfId="0" applyFont="1" applyFill="1"/>
    <xf numFmtId="165" fontId="6" fillId="2" borderId="0" xfId="0" applyNumberFormat="1" applyFont="1" applyFill="1" applyProtection="1">
      <protection locked="0"/>
    </xf>
    <xf numFmtId="166" fontId="16" fillId="9" borderId="0" xfId="1" applyNumberFormat="1" applyFont="1" applyFill="1"/>
    <xf numFmtId="165" fontId="16" fillId="2" borderId="0" xfId="2" applyNumberFormat="1" applyFont="1" applyFill="1" applyAlignment="1">
      <alignment horizontal="right"/>
    </xf>
    <xf numFmtId="165" fontId="16" fillId="9" borderId="0" xfId="2" applyNumberFormat="1" applyFont="1" applyFill="1" applyAlignment="1">
      <alignment horizontal="right"/>
    </xf>
    <xf numFmtId="166" fontId="17" fillId="9" borderId="0" xfId="1" applyNumberFormat="1" applyFont="1" applyFill="1"/>
    <xf numFmtId="166" fontId="16" fillId="2" borderId="0" xfId="1" applyNumberFormat="1" applyFont="1" applyFill="1" applyProtection="1">
      <protection locked="0"/>
    </xf>
    <xf numFmtId="166" fontId="16" fillId="9" borderId="0" xfId="1" applyNumberFormat="1" applyFont="1" applyFill="1" applyProtection="1">
      <protection locked="0"/>
    </xf>
    <xf numFmtId="0" fontId="16" fillId="0" borderId="0" xfId="0" applyFont="1"/>
    <xf numFmtId="0" fontId="3" fillId="2" borderId="0" xfId="0" applyFont="1" applyFill="1"/>
    <xf numFmtId="166" fontId="16" fillId="2" borderId="0" xfId="1" applyNumberFormat="1" applyFont="1" applyFill="1"/>
    <xf numFmtId="0" fontId="16" fillId="0" borderId="0" xfId="0" applyFont="1" applyAlignment="1">
      <alignment horizontal="left" indent="2"/>
    </xf>
    <xf numFmtId="0" fontId="19" fillId="2" borderId="0" xfId="0" applyFont="1" applyFill="1"/>
    <xf numFmtId="0" fontId="16" fillId="0" borderId="0" xfId="0" applyFont="1" applyAlignment="1">
      <alignment horizontal="center" vertical="center"/>
    </xf>
    <xf numFmtId="0" fontId="16" fillId="2" borderId="0" xfId="0" applyFont="1" applyFill="1"/>
    <xf numFmtId="0" fontId="18" fillId="2" borderId="0" xfId="0" applyFont="1" applyFill="1" applyAlignment="1">
      <alignment horizontal="right" indent="2"/>
    </xf>
    <xf numFmtId="0" fontId="17" fillId="2" borderId="0" xfId="0" applyFont="1" applyFill="1"/>
    <xf numFmtId="0" fontId="20" fillId="2" borderId="0" xfId="0" applyFont="1" applyFill="1"/>
    <xf numFmtId="0" fontId="18" fillId="0" borderId="0" xfId="0" applyFont="1" applyAlignment="1">
      <alignment horizontal="left" indent="3"/>
    </xf>
    <xf numFmtId="0" fontId="11" fillId="10" borderId="0" xfId="0" applyFont="1" applyFill="1"/>
    <xf numFmtId="0" fontId="25" fillId="10" borderId="0" xfId="0" applyFont="1" applyFill="1"/>
    <xf numFmtId="0" fontId="25" fillId="2" borderId="0" xfId="0" applyFont="1" applyFill="1"/>
    <xf numFmtId="0" fontId="12" fillId="2" borderId="3" xfId="0" applyFont="1" applyFill="1" applyBorder="1"/>
    <xf numFmtId="0" fontId="10" fillId="2" borderId="3" xfId="0" applyFont="1" applyFill="1" applyBorder="1"/>
    <xf numFmtId="0" fontId="12" fillId="2" borderId="3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right"/>
    </xf>
    <xf numFmtId="0" fontId="12" fillId="11" borderId="0" xfId="0" applyFont="1" applyFill="1"/>
    <xf numFmtId="0" fontId="25" fillId="11" borderId="0" xfId="0" applyFont="1" applyFill="1"/>
    <xf numFmtId="0" fontId="13" fillId="11" borderId="0" xfId="0" applyFont="1" applyFill="1" applyAlignment="1">
      <alignment vertical="center"/>
    </xf>
    <xf numFmtId="0" fontId="25" fillId="11" borderId="0" xfId="0" applyFont="1" applyFill="1" applyAlignment="1">
      <alignment vertical="center"/>
    </xf>
    <xf numFmtId="0" fontId="21" fillId="11" borderId="0" xfId="0" applyFont="1" applyFill="1"/>
    <xf numFmtId="0" fontId="26" fillId="2" borderId="3" xfId="0" applyFont="1" applyFill="1" applyBorder="1"/>
    <xf numFmtId="167" fontId="12" fillId="2" borderId="0" xfId="3" applyNumberFormat="1" applyFont="1" applyFill="1" applyBorder="1" applyAlignment="1">
      <alignment horizontal="center" vertical="center"/>
    </xf>
    <xf numFmtId="0" fontId="24" fillId="11" borderId="0" xfId="0" applyFont="1" applyFill="1"/>
    <xf numFmtId="0" fontId="13" fillId="2" borderId="0" xfId="0" applyFont="1" applyFill="1" applyAlignment="1">
      <alignment vertical="center"/>
    </xf>
    <xf numFmtId="0" fontId="26" fillId="2" borderId="4" xfId="0" applyFont="1" applyFill="1" applyBorder="1"/>
    <xf numFmtId="167" fontId="12" fillId="2" borderId="4" xfId="3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left"/>
    </xf>
    <xf numFmtId="0" fontId="13" fillId="2" borderId="3" xfId="0" applyFont="1" applyFill="1" applyBorder="1" applyAlignment="1">
      <alignment horizontal="left"/>
    </xf>
    <xf numFmtId="0" fontId="27" fillId="2" borderId="4" xfId="0" applyFont="1" applyFill="1" applyBorder="1" applyAlignment="1">
      <alignment horizontal="right"/>
    </xf>
    <xf numFmtId="0" fontId="22" fillId="2" borderId="0" xfId="0" applyFont="1" applyFill="1"/>
    <xf numFmtId="0" fontId="12" fillId="9" borderId="3" xfId="0" applyFont="1" applyFill="1" applyBorder="1" applyAlignment="1">
      <alignment horizontal="center" vertical="center"/>
    </xf>
    <xf numFmtId="167" fontId="22" fillId="9" borderId="1" xfId="3" applyNumberFormat="1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9" fontId="22" fillId="8" borderId="1" xfId="2" applyFont="1" applyFill="1" applyBorder="1" applyAlignment="1">
      <alignment horizontal="center" vertical="center"/>
    </xf>
    <xf numFmtId="167" fontId="22" fillId="8" borderId="1" xfId="3" applyNumberFormat="1" applyFont="1" applyFill="1" applyBorder="1" applyAlignment="1">
      <alignment horizontal="center" vertical="center"/>
    </xf>
    <xf numFmtId="44" fontId="22" fillId="8" borderId="3" xfId="3" applyFont="1" applyFill="1" applyBorder="1" applyAlignment="1">
      <alignment horizontal="center" vertical="center"/>
    </xf>
    <xf numFmtId="44" fontId="12" fillId="8" borderId="3" xfId="3" applyFont="1" applyFill="1" applyBorder="1" applyAlignment="1">
      <alignment horizontal="center" vertical="center"/>
    </xf>
    <xf numFmtId="0" fontId="2" fillId="8" borderId="0" xfId="0" applyFont="1" applyFill="1"/>
    <xf numFmtId="165" fontId="2" fillId="8" borderId="0" xfId="2" applyNumberFormat="1" applyFont="1" applyFill="1" applyAlignment="1">
      <alignment horizontal="center"/>
    </xf>
    <xf numFmtId="9" fontId="2" fillId="8" borderId="0" xfId="2" applyFont="1" applyFill="1"/>
    <xf numFmtId="10" fontId="2" fillId="8" borderId="0" xfId="2" applyNumberFormat="1" applyFont="1" applyFill="1" applyProtection="1">
      <protection locked="0"/>
    </xf>
    <xf numFmtId="0" fontId="28" fillId="2" borderId="0" xfId="0" applyFont="1" applyFill="1"/>
    <xf numFmtId="0" fontId="22" fillId="11" borderId="0" xfId="0" applyFont="1" applyFill="1"/>
    <xf numFmtId="0" fontId="29" fillId="2" borderId="0" xfId="0" applyFont="1" applyFill="1"/>
    <xf numFmtId="0" fontId="17" fillId="2" borderId="0" xfId="0" applyFont="1" applyFill="1" applyAlignment="1">
      <alignment horizontal="right" indent="2"/>
    </xf>
    <xf numFmtId="0" fontId="16" fillId="2" borderId="0" xfId="0" applyFont="1" applyFill="1" applyAlignment="1">
      <alignment horizontal="right" indent="2"/>
    </xf>
    <xf numFmtId="0" fontId="11" fillId="8" borderId="5" xfId="0" applyFont="1" applyFill="1" applyBorder="1"/>
    <xf numFmtId="0" fontId="11" fillId="9" borderId="3" xfId="0" applyFont="1" applyFill="1" applyBorder="1"/>
    <xf numFmtId="0" fontId="16" fillId="3" borderId="1" xfId="0" applyFont="1" applyFill="1" applyBorder="1" applyAlignment="1">
      <alignment horizontal="center"/>
    </xf>
    <xf numFmtId="9" fontId="22" fillId="8" borderId="1" xfId="0" applyNumberFormat="1" applyFont="1" applyFill="1" applyBorder="1" applyAlignment="1">
      <alignment horizontal="center" vertical="center"/>
    </xf>
    <xf numFmtId="44" fontId="22" fillId="8" borderId="4" xfId="3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right"/>
    </xf>
    <xf numFmtId="9" fontId="22" fillId="8" borderId="4" xfId="2" applyFont="1" applyFill="1" applyBorder="1" applyAlignment="1">
      <alignment horizontal="center" vertical="center"/>
    </xf>
    <xf numFmtId="170" fontId="22" fillId="9" borderId="1" xfId="0" applyNumberFormat="1" applyFont="1" applyFill="1" applyBorder="1" applyAlignment="1">
      <alignment horizontal="center" vertical="center"/>
    </xf>
    <xf numFmtId="9" fontId="22" fillId="9" borderId="1" xfId="2" applyFont="1" applyFill="1" applyBorder="1" applyAlignment="1">
      <alignment horizontal="center" vertical="center"/>
    </xf>
    <xf numFmtId="9" fontId="16" fillId="9" borderId="0" xfId="2" applyFont="1" applyFill="1"/>
    <xf numFmtId="9" fontId="5" fillId="9" borderId="0" xfId="2" applyFont="1" applyFill="1"/>
    <xf numFmtId="0" fontId="12" fillId="2" borderId="3" xfId="0" applyFont="1" applyFill="1" applyBorder="1" applyAlignment="1">
      <alignment horizontal="left" vertical="center"/>
    </xf>
    <xf numFmtId="0" fontId="0" fillId="10" borderId="0" xfId="0" applyFill="1"/>
    <xf numFmtId="0" fontId="7" fillId="1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9" fontId="6" fillId="2" borderId="0" xfId="0" applyNumberFormat="1" applyFont="1" applyFill="1"/>
    <xf numFmtId="10" fontId="0" fillId="0" borderId="0" xfId="2" applyNumberFormat="1" applyFont="1"/>
    <xf numFmtId="165" fontId="0" fillId="0" borderId="0" xfId="0" applyNumberFormat="1"/>
    <xf numFmtId="171" fontId="32" fillId="9" borderId="0" xfId="0" applyNumberFormat="1" applyFont="1" applyFill="1"/>
    <xf numFmtId="0" fontId="33" fillId="0" borderId="3" xfId="0" applyFont="1" applyBorder="1" applyAlignment="1">
      <alignment horizontal="right"/>
    </xf>
    <xf numFmtId="0" fontId="8" fillId="0" borderId="3" xfId="0" applyFont="1" applyBorder="1"/>
    <xf numFmtId="0" fontId="8" fillId="0" borderId="3" xfId="0" applyFont="1" applyBorder="1" applyAlignment="1">
      <alignment horizontal="center" vertical="center"/>
    </xf>
    <xf numFmtId="0" fontId="8" fillId="0" borderId="4" xfId="0" applyFont="1" applyBorder="1"/>
    <xf numFmtId="0" fontId="0" fillId="8" borderId="3" xfId="0" applyFill="1" applyBorder="1" applyAlignment="1">
      <alignment horizontal="center" vertical="center"/>
    </xf>
    <xf numFmtId="9" fontId="0" fillId="8" borderId="3" xfId="2" applyFont="1" applyFill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22" fillId="0" borderId="0" xfId="0" applyFont="1"/>
    <xf numFmtId="0" fontId="25" fillId="0" borderId="0" xfId="0" applyFont="1"/>
    <xf numFmtId="0" fontId="1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10" borderId="0" xfId="0" applyFont="1" applyFill="1"/>
    <xf numFmtId="167" fontId="0" fillId="0" borderId="0" xfId="3" applyNumberFormat="1" applyFon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167" fontId="0" fillId="0" borderId="0" xfId="0" applyNumberFormat="1" applyAlignment="1">
      <alignment horizontal="left"/>
    </xf>
    <xf numFmtId="0" fontId="22" fillId="9" borderId="1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left" wrapText="1"/>
    </xf>
    <xf numFmtId="9" fontId="12" fillId="8" borderId="3" xfId="2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wrapText="1"/>
    </xf>
    <xf numFmtId="10" fontId="0" fillId="0" borderId="0" xfId="0" applyNumberFormat="1"/>
    <xf numFmtId="166" fontId="16" fillId="2" borderId="0" xfId="1" applyNumberFormat="1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</cellXfs>
  <cellStyles count="6">
    <cellStyle name="Milliers" xfId="1" builtinId="3"/>
    <cellStyle name="Monétaire" xfId="3" builtinId="4"/>
    <cellStyle name="Monétaire 2" xfId="4" xr:uid="{5324495E-E280-48E7-B06F-9E3E6959E76E}"/>
    <cellStyle name="Normal" xfId="0" builtinId="0"/>
    <cellStyle name="Normal 3" xfId="5" xr:uid="{325CA55B-2562-44A7-8F43-654449769146}"/>
    <cellStyle name="Pourcentage" xfId="2" builtinId="5"/>
  </cellStyles>
  <dxfs count="5">
    <dxf>
      <alignment horizontal="center" vertical="center" textRotation="0" wrapText="0" indent="0" justifyLastLine="0" shrinkToFit="0" readingOrder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hybride.xlsm]Dimensionnement!Tableau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TRI</a:t>
            </a:r>
            <a:r>
              <a:rPr lang="fr-FR" sz="1600" b="1" baseline="0"/>
              <a:t> du projet (%) en fonction des dimensions de la batterie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Dimensionnement!$J$9:$J$10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Dimensionnement!$I$11:$I$20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(vide)</c:v>
                </c:pt>
              </c:strCache>
            </c:strRef>
          </c:cat>
          <c:val>
            <c:numRef>
              <c:f>Dimensionnement!$J$11:$J$20</c:f>
              <c:numCache>
                <c:formatCode>General</c:formatCode>
                <c:ptCount val="9"/>
                <c:pt idx="0">
                  <c:v>-2.6941434930203512E-2</c:v>
                </c:pt>
                <c:pt idx="1">
                  <c:v>2.2426216155170264E-2</c:v>
                </c:pt>
                <c:pt idx="2">
                  <c:v>3.6460737035688195E-2</c:v>
                </c:pt>
                <c:pt idx="3">
                  <c:v>4.0940783651871815E-2</c:v>
                </c:pt>
                <c:pt idx="4">
                  <c:v>4.3056888490810907E-2</c:v>
                </c:pt>
                <c:pt idx="5">
                  <c:v>4.4323926074768538E-2</c:v>
                </c:pt>
                <c:pt idx="6">
                  <c:v>3.6709436671381823E-2</c:v>
                </c:pt>
                <c:pt idx="7">
                  <c:v>2.9537938254954987E-2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1-48B7-9FA0-5D7D165AD91B}"/>
            </c:ext>
          </c:extLst>
        </c:ser>
        <c:ser>
          <c:idx val="1"/>
          <c:order val="1"/>
          <c:tx>
            <c:strRef>
              <c:f>Dimensionnement!$K$9:$K$10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Dimensionnement!$I$11:$I$20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(vide)</c:v>
                </c:pt>
              </c:strCache>
            </c:strRef>
          </c:cat>
          <c:val>
            <c:numRef>
              <c:f>Dimensionnement!$K$11:$K$20</c:f>
              <c:numCache>
                <c:formatCode>General</c:formatCode>
                <c:ptCount val="9"/>
                <c:pt idx="0">
                  <c:v>-3.3566137866953838E-2</c:v>
                </c:pt>
                <c:pt idx="1">
                  <c:v>-1.4549847233652491E-3</c:v>
                </c:pt>
                <c:pt idx="2">
                  <c:v>5.7810949471410744E-3</c:v>
                </c:pt>
                <c:pt idx="3">
                  <c:v>7.8785850464353491E-3</c:v>
                </c:pt>
                <c:pt idx="4">
                  <c:v>8.7259207476881873E-3</c:v>
                </c:pt>
                <c:pt idx="5">
                  <c:v>8.956144663192056E-3</c:v>
                </c:pt>
                <c:pt idx="6">
                  <c:v>5.4813196363379113E-4</c:v>
                </c:pt>
                <c:pt idx="7">
                  <c:v>-6.4031155680859264E-3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01-48B7-9FA0-5D7D165AD91B}"/>
            </c:ext>
          </c:extLst>
        </c:ser>
        <c:ser>
          <c:idx val="2"/>
          <c:order val="2"/>
          <c:tx>
            <c:strRef>
              <c:f>Dimensionnement!$L$9:$L$10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Dimensionnement!$I$11:$I$20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(vide)</c:v>
                </c:pt>
              </c:strCache>
            </c:strRef>
          </c:cat>
          <c:val>
            <c:numRef>
              <c:f>Dimensionnement!$L$11:$L$20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2-4C12-A123-1C1E21144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6362719"/>
        <c:axId val="1818446463"/>
      </c:lineChart>
      <c:catAx>
        <c:axId val="1376362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Puissance de la batterie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8446463"/>
        <c:crosses val="autoZero"/>
        <c:auto val="1"/>
        <c:lblAlgn val="ctr"/>
        <c:lblOffset val="100"/>
        <c:noMultiLvlLbl val="0"/>
      </c:catAx>
      <c:valAx>
        <c:axId val="1818446463"/>
        <c:scaling>
          <c:orientation val="minMax"/>
          <c:min val="-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TRI du projet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6362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/>
              <a:t>Répartition des revenus sur la durée de vie du projet</a:t>
            </a:r>
          </a:p>
          <a:p>
            <a:pPr>
              <a:defRPr sz="2000" b="1"/>
            </a:pPr>
            <a:r>
              <a:rPr lang="fr-FR" sz="2000" b="1"/>
              <a:t>Sc B1</a:t>
            </a:r>
            <a:r>
              <a:rPr lang="fr-FR" sz="2000" b="1" baseline="0"/>
              <a:t> </a:t>
            </a:r>
            <a:r>
              <a:rPr lang="fr-FR" sz="2000" b="1"/>
              <a:t>Batterie 6MW,1h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9591359400448193E-2"/>
          <c:y val="0.10365234821114706"/>
          <c:w val="0.63805586510084378"/>
          <c:h val="0.8776778769231843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Figures!$A$4</c:f>
              <c:strCache>
                <c:ptCount val="1"/>
                <c:pt idx="0">
                  <c:v>Day-ahead (net)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Figures!$B$4:$R$4</c:f>
              <c:numCache>
                <c:formatCode>#\ ##0.00\ "€"</c:formatCode>
                <c:ptCount val="17"/>
                <c:pt idx="0">
                  <c:v>-1264.2798026747209</c:v>
                </c:pt>
                <c:pt idx="1">
                  <c:v>-1139.9607018166853</c:v>
                </c:pt>
                <c:pt idx="2">
                  <c:v>-856.735566385933</c:v>
                </c:pt>
                <c:pt idx="3">
                  <c:v>-772.62456087085457</c:v>
                </c:pt>
                <c:pt idx="4">
                  <c:v>-561.962457114166</c:v>
                </c:pt>
                <c:pt idx="5">
                  <c:v>592.19605122819894</c:v>
                </c:pt>
                <c:pt idx="6">
                  <c:v>1439.6932495998853</c:v>
                </c:pt>
                <c:pt idx="7">
                  <c:v>2894.5614042266511</c:v>
                </c:pt>
                <c:pt idx="8">
                  <c:v>1923.3493981741749</c:v>
                </c:pt>
                <c:pt idx="9">
                  <c:v>2008.0295989088427</c:v>
                </c:pt>
                <c:pt idx="10">
                  <c:v>1822.3041773878836</c:v>
                </c:pt>
                <c:pt idx="11">
                  <c:v>2544.0490974327136</c:v>
                </c:pt>
                <c:pt idx="12">
                  <c:v>1800.6264664740929</c:v>
                </c:pt>
                <c:pt idx="13">
                  <c:v>3509.2566833615929</c:v>
                </c:pt>
                <c:pt idx="14">
                  <c:v>2833.9676998170025</c:v>
                </c:pt>
                <c:pt idx="15">
                  <c:v>7831.3331270585168</c:v>
                </c:pt>
                <c:pt idx="16">
                  <c:v>11401.524697270801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42-402B-8BB7-9BADF2D19097}"/>
            </c:ext>
          </c:extLst>
        </c:ser>
        <c:ser>
          <c:idx val="3"/>
          <c:order val="1"/>
          <c:tx>
            <c:strRef>
              <c:f>Figures!$A$5</c:f>
              <c:strCache>
                <c:ptCount val="1"/>
                <c:pt idx="0">
                  <c:v>Reserve primaire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Figures!$B$5:$R$5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2.4840031406104929E-2</c:v>
                </c:pt>
                <c:pt idx="6">
                  <c:v>9.8732007774484602E-3</c:v>
                </c:pt>
                <c:pt idx="7">
                  <c:v>9.9118774653914415E-2</c:v>
                </c:pt>
                <c:pt idx="8">
                  <c:v>2.5092486430198058E-2</c:v>
                </c:pt>
                <c:pt idx="9">
                  <c:v>2.107470838047458E-2</c:v>
                </c:pt>
                <c:pt idx="10">
                  <c:v>0</c:v>
                </c:pt>
                <c:pt idx="11">
                  <c:v>0</c:v>
                </c:pt>
                <c:pt idx="12">
                  <c:v>2.458883657617161E-2</c:v>
                </c:pt>
                <c:pt idx="13">
                  <c:v>6.2502581734125147E-7</c:v>
                </c:pt>
                <c:pt idx="14">
                  <c:v>0</c:v>
                </c:pt>
                <c:pt idx="15">
                  <c:v>0.30918662728835211</c:v>
                </c:pt>
                <c:pt idx="16">
                  <c:v>1.5861595678044049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42-402B-8BB7-9BADF2D19097}"/>
            </c:ext>
          </c:extLst>
        </c:ser>
        <c:ser>
          <c:idx val="4"/>
          <c:order val="2"/>
          <c:tx>
            <c:strRef>
              <c:f>Figures!$A$6</c:f>
              <c:strCache>
                <c:ptCount val="1"/>
                <c:pt idx="0">
                  <c:v>Reserve secondaire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Figures!$B$6:$R$6</c:f>
              <c:numCache>
                <c:formatCode>#\ ##0.00\ "€"</c:formatCode>
                <c:ptCount val="17"/>
                <c:pt idx="0">
                  <c:v>154921.05689376919</c:v>
                </c:pt>
                <c:pt idx="1">
                  <c:v>148383.91542688632</c:v>
                </c:pt>
                <c:pt idx="2">
                  <c:v>127227.51054853651</c:v>
                </c:pt>
                <c:pt idx="3">
                  <c:v>126311.69675004597</c:v>
                </c:pt>
                <c:pt idx="4">
                  <c:v>131581.12189994095</c:v>
                </c:pt>
                <c:pt idx="5">
                  <c:v>78690.998414780872</c:v>
                </c:pt>
                <c:pt idx="6">
                  <c:v>77654.247571968692</c:v>
                </c:pt>
                <c:pt idx="7">
                  <c:v>75314.728154112803</c:v>
                </c:pt>
                <c:pt idx="8">
                  <c:v>76539.634003745232</c:v>
                </c:pt>
                <c:pt idx="9">
                  <c:v>79246.328491019754</c:v>
                </c:pt>
                <c:pt idx="10">
                  <c:v>77505.698003609374</c:v>
                </c:pt>
                <c:pt idx="11">
                  <c:v>72536.066593402749</c:v>
                </c:pt>
                <c:pt idx="12">
                  <c:v>73743.065575601271</c:v>
                </c:pt>
                <c:pt idx="13">
                  <c:v>72379.155327103712</c:v>
                </c:pt>
                <c:pt idx="14">
                  <c:v>73481.728322919385</c:v>
                </c:pt>
                <c:pt idx="15">
                  <c:v>51745.57672865194</c:v>
                </c:pt>
                <c:pt idx="16">
                  <c:v>46757.472881035166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42-402B-8BB7-9BADF2D19097}"/>
            </c:ext>
          </c:extLst>
        </c:ser>
        <c:ser>
          <c:idx val="5"/>
          <c:order val="3"/>
          <c:tx>
            <c:strRef>
              <c:f>Figures!$A$7</c:f>
              <c:strCache>
                <c:ptCount val="1"/>
                <c:pt idx="0">
                  <c:v>Mécanisme de capacité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Figures!$B$7:$R$7</c:f>
              <c:numCache>
                <c:formatCode>#\ ##0.00\ "€"</c:formatCode>
                <c:ptCount val="17"/>
                <c:pt idx="0">
                  <c:v>76089.799350000001</c:v>
                </c:pt>
                <c:pt idx="1">
                  <c:v>69505.533599999995</c:v>
                </c:pt>
                <c:pt idx="2">
                  <c:v>65961.230017320006</c:v>
                </c:pt>
                <c:pt idx="3">
                  <c:v>57967.116934092606</c:v>
                </c:pt>
                <c:pt idx="4">
                  <c:v>65473.711570929081</c:v>
                </c:pt>
                <c:pt idx="5">
                  <c:v>73544.20722833398</c:v>
                </c:pt>
                <c:pt idx="6">
                  <c:v>68249.113093439286</c:v>
                </c:pt>
                <c:pt idx="7">
                  <c:v>69867.40357509398</c:v>
                </c:pt>
                <c:pt idx="8">
                  <c:v>69388.047329931127</c:v>
                </c:pt>
                <c:pt idx="9">
                  <c:v>69912.357260758596</c:v>
                </c:pt>
                <c:pt idx="10">
                  <c:v>59245.603973371493</c:v>
                </c:pt>
                <c:pt idx="11">
                  <c:v>70751.822428195708</c:v>
                </c:pt>
                <c:pt idx="12">
                  <c:v>69482.114124981716</c:v>
                </c:pt>
                <c:pt idx="13">
                  <c:v>68005.825614381494</c:v>
                </c:pt>
                <c:pt idx="14">
                  <c:v>66360.137981611711</c:v>
                </c:pt>
                <c:pt idx="15">
                  <c:v>65612.722711952112</c:v>
                </c:pt>
                <c:pt idx="16">
                  <c:v>69177.389113602578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42-402B-8BB7-9BADF2D19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744960"/>
        <c:axId val="942745792"/>
      </c:barChart>
      <c:catAx>
        <c:axId val="94274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5792"/>
        <c:crosses val="autoZero"/>
        <c:auto val="1"/>
        <c:lblAlgn val="ctr"/>
        <c:lblOffset val="100"/>
        <c:noMultiLvlLbl val="0"/>
      </c:catAx>
      <c:valAx>
        <c:axId val="942745792"/>
        <c:scaling>
          <c:orientation val="minMax"/>
          <c:min val="-100000"/>
        </c:scaling>
        <c:delete val="0"/>
        <c:axPos val="l"/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43152790193603"/>
          <c:y val="0.34630385470032715"/>
          <c:w val="0.20503986009916789"/>
          <c:h val="0.492095482600194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/>
              <a:t>Répartition des revenus sur la durée de vie du projet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054828965592728E-2"/>
          <c:y val="0.10365234821114706"/>
          <c:w val="0.65610083575879541"/>
          <c:h val="0.87767787692318433"/>
        </c:manualLayout>
      </c:layout>
      <c:barChart>
        <c:barDir val="col"/>
        <c:grouping val="percentStacked"/>
        <c:varyColors val="0"/>
        <c:ser>
          <c:idx val="2"/>
          <c:order val="0"/>
          <c:tx>
            <c:strRef>
              <c:f>Figures!$A$4</c:f>
              <c:strCache>
                <c:ptCount val="1"/>
                <c:pt idx="0">
                  <c:v>Day-ahead (net)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Figures!$B$4:$R$4</c:f>
              <c:numCache>
                <c:formatCode>#\ ##0.00\ "€"</c:formatCode>
                <c:ptCount val="17"/>
                <c:pt idx="0">
                  <c:v>-1264.2798026747209</c:v>
                </c:pt>
                <c:pt idx="1">
                  <c:v>-1139.9607018166853</c:v>
                </c:pt>
                <c:pt idx="2">
                  <c:v>-856.735566385933</c:v>
                </c:pt>
                <c:pt idx="3">
                  <c:v>-772.62456087085457</c:v>
                </c:pt>
                <c:pt idx="4">
                  <c:v>-561.962457114166</c:v>
                </c:pt>
                <c:pt idx="5">
                  <c:v>592.19605122819894</c:v>
                </c:pt>
                <c:pt idx="6">
                  <c:v>1439.6932495998853</c:v>
                </c:pt>
                <c:pt idx="7">
                  <c:v>2894.5614042266511</c:v>
                </c:pt>
                <c:pt idx="8">
                  <c:v>1923.3493981741749</c:v>
                </c:pt>
                <c:pt idx="9">
                  <c:v>2008.0295989088427</c:v>
                </c:pt>
                <c:pt idx="10">
                  <c:v>1822.3041773878836</c:v>
                </c:pt>
                <c:pt idx="11">
                  <c:v>2544.0490974327136</c:v>
                </c:pt>
                <c:pt idx="12">
                  <c:v>1800.6264664740929</c:v>
                </c:pt>
                <c:pt idx="13">
                  <c:v>3509.2566833615929</c:v>
                </c:pt>
                <c:pt idx="14">
                  <c:v>2833.9676998170025</c:v>
                </c:pt>
                <c:pt idx="15">
                  <c:v>7831.3331270585168</c:v>
                </c:pt>
                <c:pt idx="16">
                  <c:v>11401.524697270801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17-4F0A-B6E7-895BF310BF19}"/>
            </c:ext>
          </c:extLst>
        </c:ser>
        <c:ser>
          <c:idx val="3"/>
          <c:order val="1"/>
          <c:tx>
            <c:strRef>
              <c:f>Figures!$A$5</c:f>
              <c:strCache>
                <c:ptCount val="1"/>
                <c:pt idx="0">
                  <c:v>Reserve primaire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Figures!$B$5:$R$5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2.4840031406104929E-2</c:v>
                </c:pt>
                <c:pt idx="6">
                  <c:v>9.8732007774484602E-3</c:v>
                </c:pt>
                <c:pt idx="7">
                  <c:v>9.9118774653914415E-2</c:v>
                </c:pt>
                <c:pt idx="8">
                  <c:v>2.5092486430198058E-2</c:v>
                </c:pt>
                <c:pt idx="9">
                  <c:v>2.107470838047458E-2</c:v>
                </c:pt>
                <c:pt idx="10">
                  <c:v>0</c:v>
                </c:pt>
                <c:pt idx="11">
                  <c:v>0</c:v>
                </c:pt>
                <c:pt idx="12">
                  <c:v>2.458883657617161E-2</c:v>
                </c:pt>
                <c:pt idx="13">
                  <c:v>6.2502581734125147E-7</c:v>
                </c:pt>
                <c:pt idx="14">
                  <c:v>0</c:v>
                </c:pt>
                <c:pt idx="15">
                  <c:v>0.30918662728835211</c:v>
                </c:pt>
                <c:pt idx="16">
                  <c:v>1.5861595678044049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17-4F0A-B6E7-895BF310BF19}"/>
            </c:ext>
          </c:extLst>
        </c:ser>
        <c:ser>
          <c:idx val="4"/>
          <c:order val="2"/>
          <c:tx>
            <c:strRef>
              <c:f>Figures!$A$6</c:f>
              <c:strCache>
                <c:ptCount val="1"/>
                <c:pt idx="0">
                  <c:v>Reserve secondaire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Figures!$B$6:$R$6</c:f>
              <c:numCache>
                <c:formatCode>#\ ##0.00\ "€"</c:formatCode>
                <c:ptCount val="17"/>
                <c:pt idx="0">
                  <c:v>154921.05689376919</c:v>
                </c:pt>
                <c:pt idx="1">
                  <c:v>148383.91542688632</c:v>
                </c:pt>
                <c:pt idx="2">
                  <c:v>127227.51054853651</c:v>
                </c:pt>
                <c:pt idx="3">
                  <c:v>126311.69675004597</c:v>
                </c:pt>
                <c:pt idx="4">
                  <c:v>131581.12189994095</c:v>
                </c:pt>
                <c:pt idx="5">
                  <c:v>78690.998414780872</c:v>
                </c:pt>
                <c:pt idx="6">
                  <c:v>77654.247571968692</c:v>
                </c:pt>
                <c:pt idx="7">
                  <c:v>75314.728154112803</c:v>
                </c:pt>
                <c:pt idx="8">
                  <c:v>76539.634003745232</c:v>
                </c:pt>
                <c:pt idx="9">
                  <c:v>79246.328491019754</c:v>
                </c:pt>
                <c:pt idx="10">
                  <c:v>77505.698003609374</c:v>
                </c:pt>
                <c:pt idx="11">
                  <c:v>72536.066593402749</c:v>
                </c:pt>
                <c:pt idx="12">
                  <c:v>73743.065575601271</c:v>
                </c:pt>
                <c:pt idx="13">
                  <c:v>72379.155327103712</c:v>
                </c:pt>
                <c:pt idx="14">
                  <c:v>73481.728322919385</c:v>
                </c:pt>
                <c:pt idx="15">
                  <c:v>51745.57672865194</c:v>
                </c:pt>
                <c:pt idx="16">
                  <c:v>46757.472881035166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17-4F0A-B6E7-895BF310BF19}"/>
            </c:ext>
          </c:extLst>
        </c:ser>
        <c:ser>
          <c:idx val="5"/>
          <c:order val="3"/>
          <c:tx>
            <c:strRef>
              <c:f>Figures!$A$7</c:f>
              <c:strCache>
                <c:ptCount val="1"/>
                <c:pt idx="0">
                  <c:v>Mécanisme de capacité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Figures!$B$7:$R$7</c:f>
              <c:numCache>
                <c:formatCode>#\ ##0.00\ "€"</c:formatCode>
                <c:ptCount val="17"/>
                <c:pt idx="0">
                  <c:v>76089.799350000001</c:v>
                </c:pt>
                <c:pt idx="1">
                  <c:v>69505.533599999995</c:v>
                </c:pt>
                <c:pt idx="2">
                  <c:v>65961.230017320006</c:v>
                </c:pt>
                <c:pt idx="3">
                  <c:v>57967.116934092606</c:v>
                </c:pt>
                <c:pt idx="4">
                  <c:v>65473.711570929081</c:v>
                </c:pt>
                <c:pt idx="5">
                  <c:v>73544.20722833398</c:v>
                </c:pt>
                <c:pt idx="6">
                  <c:v>68249.113093439286</c:v>
                </c:pt>
                <c:pt idx="7">
                  <c:v>69867.40357509398</c:v>
                </c:pt>
                <c:pt idx="8">
                  <c:v>69388.047329931127</c:v>
                </c:pt>
                <c:pt idx="9">
                  <c:v>69912.357260758596</c:v>
                </c:pt>
                <c:pt idx="10">
                  <c:v>59245.603973371493</c:v>
                </c:pt>
                <c:pt idx="11">
                  <c:v>70751.822428195708</c:v>
                </c:pt>
                <c:pt idx="12">
                  <c:v>69482.114124981716</c:v>
                </c:pt>
                <c:pt idx="13">
                  <c:v>68005.825614381494</c:v>
                </c:pt>
                <c:pt idx="14">
                  <c:v>66360.137981611711</c:v>
                </c:pt>
                <c:pt idx="15">
                  <c:v>65612.722711952112</c:v>
                </c:pt>
                <c:pt idx="16">
                  <c:v>69177.389113602578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17-4F0A-B6E7-895BF310B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744960"/>
        <c:axId val="942745792"/>
      </c:barChart>
      <c:catAx>
        <c:axId val="94274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5792"/>
        <c:crosses val="autoZero"/>
        <c:auto val="1"/>
        <c:lblAlgn val="ctr"/>
        <c:lblOffset val="100"/>
        <c:noMultiLvlLbl val="0"/>
      </c:catAx>
      <c:valAx>
        <c:axId val="94274579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593250128472333"/>
          <c:y val="0.32191755442334413"/>
          <c:w val="0.22390158977902996"/>
          <c:h val="0.545660972706280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hybride.xlsm]Sensibilité!Tableau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A</a:t>
            </a:r>
            <a:r>
              <a:rPr lang="fr-FR" sz="1600" b="1" baseline="0"/>
              <a:t> dimension fixée, évolution du TRI projet en fonction du prix moyen sur le marché de capa pour 2 scénarii d'hypothèses batterie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Sensibilité!$J$21:$J$22</c:f>
              <c:strCache>
                <c:ptCount val="1"/>
                <c:pt idx="0">
                  <c:v>optimiste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Sensibilité!$I$23:$I$27</c:f>
              <c:strCache>
                <c:ptCount val="4"/>
                <c:pt idx="0">
                  <c:v> 24 390 € </c:v>
                </c:pt>
                <c:pt idx="1">
                  <c:v> 30 488 € </c:v>
                </c:pt>
                <c:pt idx="2">
                  <c:v> 36 586 € </c:v>
                </c:pt>
                <c:pt idx="3">
                  <c:v> 42 683 € </c:v>
                </c:pt>
              </c:strCache>
            </c:strRef>
          </c:cat>
          <c:val>
            <c:numRef>
              <c:f>Sensibilité!$J$23:$J$27</c:f>
              <c:numCache>
                <c:formatCode>0.0%</c:formatCode>
                <c:ptCount val="4"/>
                <c:pt idx="0">
                  <c:v>3.1709458527517276E-2</c:v>
                </c:pt>
                <c:pt idx="1">
                  <c:v>4.6387499372158469E-2</c:v>
                </c:pt>
                <c:pt idx="2">
                  <c:v>5.9947826563139905E-2</c:v>
                </c:pt>
                <c:pt idx="3">
                  <c:v>7.2920125457662577E-2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5-4CA4-BDCC-60543DB2F6FA}"/>
            </c:ext>
          </c:extLst>
        </c:ser>
        <c:ser>
          <c:idx val="1"/>
          <c:order val="1"/>
          <c:tx>
            <c:strRef>
              <c:f>Sensibilité!$K$21:$K$22</c:f>
              <c:strCache>
                <c:ptCount val="1"/>
                <c:pt idx="0">
                  <c:v>pessimiste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Sensibilité!$I$23:$I$27</c:f>
              <c:strCache>
                <c:ptCount val="4"/>
                <c:pt idx="0">
                  <c:v> 24 390 € </c:v>
                </c:pt>
                <c:pt idx="1">
                  <c:v> 30 488 € </c:v>
                </c:pt>
                <c:pt idx="2">
                  <c:v> 36 586 € </c:v>
                </c:pt>
                <c:pt idx="3">
                  <c:v> 42 683 € </c:v>
                </c:pt>
              </c:strCache>
            </c:strRef>
          </c:cat>
          <c:val>
            <c:numRef>
              <c:f>Sensibilité!$K$23:$K$27</c:f>
              <c:numCache>
                <c:formatCode>0.0%</c:formatCode>
                <c:ptCount val="4"/>
                <c:pt idx="0">
                  <c:v>-8.5635706717406279E-3</c:v>
                </c:pt>
                <c:pt idx="1">
                  <c:v>1.1732783704943683E-2</c:v>
                </c:pt>
                <c:pt idx="2">
                  <c:v>2.9349506855767871E-2</c:v>
                </c:pt>
                <c:pt idx="3">
                  <c:v>4.3640352433781615E-2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5-4CA4-BDCC-60543DB2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6187167"/>
        <c:axId val="1327730367"/>
      </c:lineChart>
      <c:catAx>
        <c:axId val="1876187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Prix moyen mécanisme de capacité (€/MW/an)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7730367"/>
        <c:crosses val="autoZero"/>
        <c:auto val="1"/>
        <c:lblAlgn val="ctr"/>
        <c:lblOffset val="100"/>
        <c:noMultiLvlLbl val="0"/>
      </c:catAx>
      <c:valAx>
        <c:axId val="132773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TRI projet</a:t>
                </a:r>
                <a:r>
                  <a:rPr lang="fr-FR" sz="1400" b="1" baseline="0"/>
                  <a:t> (%)</a:t>
                </a:r>
                <a:endParaRPr lang="fr-FR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618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2</xdr:row>
          <xdr:rowOff>139700</xdr:rowOff>
        </xdr:from>
        <xdr:to>
          <xdr:col>8</xdr:col>
          <xdr:colOff>431800</xdr:colOff>
          <xdr:row>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Lancer dimensionnement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742950</xdr:colOff>
      <xdr:row>19</xdr:row>
      <xdr:rowOff>165099</xdr:rowOff>
    </xdr:from>
    <xdr:to>
      <xdr:col>13</xdr:col>
      <xdr:colOff>180975</xdr:colOff>
      <xdr:row>38</xdr:row>
      <xdr:rowOff>9526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1090544</xdr:colOff>
      <xdr:row>11</xdr:row>
      <xdr:rowOff>162478</xdr:rowOff>
    </xdr:from>
    <xdr:to>
      <xdr:col>9</xdr:col>
      <xdr:colOff>690218</xdr:colOff>
      <xdr:row>34</xdr:row>
      <xdr:rowOff>142323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225425</xdr:colOff>
      <xdr:row>8</xdr:row>
      <xdr:rowOff>168276</xdr:rowOff>
    </xdr:from>
    <xdr:to>
      <xdr:col>23</xdr:col>
      <xdr:colOff>579783</xdr:colOff>
      <xdr:row>34</xdr:row>
      <xdr:rowOff>27608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171450</xdr:rowOff>
        </xdr:from>
        <xdr:to>
          <xdr:col>10</xdr:col>
          <xdr:colOff>755650</xdr:colOff>
          <xdr:row>14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Lancer analyse de sensibilité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749299</xdr:colOff>
      <xdr:row>28</xdr:row>
      <xdr:rowOff>11110</xdr:rowOff>
    </xdr:from>
    <xdr:to>
      <xdr:col>13</xdr:col>
      <xdr:colOff>468689</xdr:colOff>
      <xdr:row>50</xdr:row>
      <xdr:rowOff>105833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ffichage 1" id="{292DC005-0675-4E07-8F93-41A0C23F6F85}">
    <nsvFilter filterId="{9B9FB008-4857-413F-88A6-A1734C6EADCC}" ref="A3:E25" tableId="1">
      <sortRules>
        <sortRule colId="2" id="{1A55B35C-750D-4B5F-9545-6E95202D0E72}">
          <sortCondition descending="1" ref="C3:C25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nd Abdat" refreshedDate="45008.397479629632" createdVersion="8" refreshedVersion="8" minRefreshableVersion="3" recordCount="8" xr:uid="{0F8FCB49-D563-47D7-ACCA-48CE2BF2138B}">
  <cacheSource type="worksheet">
    <worksheetSource name="Tableau2"/>
  </cacheSource>
  <cacheFields count="4">
    <cacheField name="Hypothèses batterie" numFmtId="0">
      <sharedItems count="2">
        <s v="optimiste"/>
        <s v="pessimiste"/>
      </sharedItems>
    </cacheField>
    <cacheField name="Prix moyen méca capa (€/MW)" numFmtId="167">
      <sharedItems containsSemiMixedTypes="0" containsString="0" containsNumber="1" minValue="24390.388235294118" maxValue="42683.179411764708" count="4">
        <n v="24390.388235294118"/>
        <n v="30487.985294117647"/>
        <n v="36585.582352941179"/>
        <n v="42683.179411764708"/>
      </sharedItems>
    </cacheField>
    <cacheField name="TRI projet (%)" numFmtId="165">
      <sharedItems containsSemiMixedTypes="0" containsString="0" containsNumber="1" minValue="-8.5635706717406279E-3" maxValue="7.2920125457662577E-2"/>
    </cacheField>
    <cacheField name="TRI investisseur (%)" numFmtId="165">
      <sharedItems containsMixedTypes="1" containsNumber="1" minValue="-5.837176261692778E-2" maxValue="0.125781291991614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go Radet" refreshedDate="45086.61587199074" createdVersion="8" refreshedVersion="8" minRefreshableVersion="3" recordCount="22" xr:uid="{3A068D66-0E0B-4839-9F3A-1E2E7D41E6FC}">
  <cacheSource type="worksheet">
    <worksheetSource name="Tableau1"/>
  </cacheSource>
  <cacheFields count="5">
    <cacheField name="Puissance (MW)" numFmtId="0">
      <sharedItems containsString="0" containsBlank="1" containsNumber="1" minValue="0" maxValue="11" count="14">
        <n v="1"/>
        <n v="2"/>
        <n v="3"/>
        <n v="4"/>
        <n v="5"/>
        <n v="6"/>
        <n v="7"/>
        <n v="8"/>
        <m/>
        <n v="0" u="1"/>
        <n v="1.7" u="1"/>
        <n v="9" u="1"/>
        <n v="10" u="1"/>
        <n v="11" u="1"/>
      </sharedItems>
    </cacheField>
    <cacheField name="Durée (h)" numFmtId="0">
      <sharedItems containsString="0" containsBlank="1" containsNumber="1" containsInteger="1" minValue="1" maxValue="3" count="4">
        <n v="1"/>
        <n v="2"/>
        <m/>
        <n v="3" u="1"/>
      </sharedItems>
    </cacheField>
    <cacheField name="TRI projet (%)" numFmtId="0">
      <sharedItems containsString="0" containsBlank="1" containsNumber="1" minValue="-3.3566137866953838E-2" maxValue="4.4323926074768538E-2"/>
    </cacheField>
    <cacheField name="TRI investisseur (%)" numFmtId="0">
      <sharedItems containsBlank="1" containsMixedTypes="1" containsNumber="1" minValue="-0.18136873624687222" maxValue="5.2628118495498644E-2"/>
    </cacheField>
    <cacheField name="Colonne1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n v="3.1709458527517276E-2"/>
    <n v="1.4900514768186213E-2"/>
  </r>
  <r>
    <x v="1"/>
    <x v="0"/>
    <n v="-8.5635706717406279E-3"/>
    <e v="#NUM!"/>
  </r>
  <r>
    <x v="0"/>
    <x v="1"/>
    <n v="4.6387499372158469E-2"/>
    <n v="5.7956864633146088E-2"/>
  </r>
  <r>
    <x v="1"/>
    <x v="1"/>
    <n v="1.1732783704943683E-2"/>
    <n v="-5.837176261692778E-2"/>
  </r>
  <r>
    <x v="0"/>
    <x v="2"/>
    <n v="5.9947826563139905E-2"/>
    <n v="9.3590838062416193E-2"/>
  </r>
  <r>
    <x v="1"/>
    <x v="2"/>
    <n v="2.9349506855767871E-2"/>
    <n v="8.2949831069589752E-3"/>
  </r>
  <r>
    <x v="0"/>
    <x v="3"/>
    <n v="7.2920125457662577E-2"/>
    <n v="0.12578129199161459"/>
  </r>
  <r>
    <x v="1"/>
    <x v="3"/>
    <n v="4.3640352433781615E-2"/>
    <n v="5.015716550957338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n v="-2.6941434930203512E-2"/>
    <e v="#NUM!"/>
    <m/>
  </r>
  <r>
    <x v="0"/>
    <x v="1"/>
    <n v="-3.3566137866953838E-2"/>
    <e v="#NUM!"/>
    <m/>
  </r>
  <r>
    <x v="1"/>
    <x v="0"/>
    <n v="2.2426216155170264E-2"/>
    <n v="-1.8186200219464821E-2"/>
    <m/>
  </r>
  <r>
    <x v="1"/>
    <x v="1"/>
    <n v="-1.4549847233652491E-3"/>
    <n v="-0.10176383686205104"/>
    <m/>
  </r>
  <r>
    <x v="2"/>
    <x v="0"/>
    <n v="3.6460737035688195E-2"/>
    <n v="2.9489690719677109E-2"/>
    <m/>
  </r>
  <r>
    <x v="2"/>
    <x v="1"/>
    <n v="5.7810949471410744E-3"/>
    <n v="-7.016500464615949E-2"/>
    <m/>
  </r>
  <r>
    <x v="3"/>
    <x v="0"/>
    <n v="4.0940783651871815E-2"/>
    <n v="4.2750281163030035E-2"/>
    <m/>
  </r>
  <r>
    <x v="3"/>
    <x v="1"/>
    <n v="7.8785850464353491E-3"/>
    <n v="-6.3493799395272776E-2"/>
    <m/>
  </r>
  <r>
    <x v="4"/>
    <x v="0"/>
    <n v="4.3056888490810907E-2"/>
    <n v="4.8930630627259886E-2"/>
    <m/>
  </r>
  <r>
    <x v="4"/>
    <x v="1"/>
    <n v="8.7259207476881873E-3"/>
    <n v="-6.1250985252255585E-2"/>
    <m/>
  </r>
  <r>
    <x v="5"/>
    <x v="0"/>
    <n v="4.4323926074768538E-2"/>
    <n v="5.2628118495498644E-2"/>
    <m/>
  </r>
  <r>
    <x v="5"/>
    <x v="1"/>
    <n v="8.956144663192056E-3"/>
    <n v="-6.1182477542453984E-2"/>
    <m/>
  </r>
  <r>
    <x v="6"/>
    <x v="0"/>
    <n v="3.6709436671381823E-2"/>
    <n v="2.9958199040603484E-2"/>
    <m/>
  </r>
  <r>
    <x v="6"/>
    <x v="1"/>
    <n v="5.4813196363379113E-4"/>
    <n v="-0.10701896907488162"/>
    <m/>
  </r>
  <r>
    <x v="7"/>
    <x v="0"/>
    <n v="2.9537938254954987E-2"/>
    <n v="6.0707078873714071E-3"/>
    <m/>
  </r>
  <r>
    <x v="7"/>
    <x v="1"/>
    <n v="-6.4031155680859264E-3"/>
    <n v="-0.18136873624687222"/>
    <m/>
  </r>
  <r>
    <x v="8"/>
    <x v="2"/>
    <m/>
    <m/>
    <m/>
  </r>
  <r>
    <x v="8"/>
    <x v="2"/>
    <m/>
    <m/>
    <m/>
  </r>
  <r>
    <x v="8"/>
    <x v="2"/>
    <m/>
    <m/>
    <m/>
  </r>
  <r>
    <x v="8"/>
    <x v="2"/>
    <m/>
    <m/>
    <m/>
  </r>
  <r>
    <x v="8"/>
    <x v="2"/>
    <m/>
    <m/>
    <m/>
  </r>
  <r>
    <x v="8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324A05-9728-46FF-BFCC-5A6899720727}" name="Tableau croisé dynamique1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I9:M20" firstHeaderRow="1" firstDataRow="2" firstDataCol="1"/>
  <pivotFields count="5">
    <pivotField axis="axisRow" showAll="0" sortType="ascending">
      <items count="15">
        <item m="1" x="9"/>
        <item x="0"/>
        <item m="1" x="10"/>
        <item x="1"/>
        <item x="2"/>
        <item x="3"/>
        <item x="4"/>
        <item x="5"/>
        <item x="6"/>
        <item x="7"/>
        <item m="1" x="11"/>
        <item m="1" x="12"/>
        <item m="1" x="13"/>
        <item x="8"/>
        <item t="default"/>
      </items>
    </pivotField>
    <pivotField axis="axisCol" showAll="0">
      <items count="5">
        <item x="0"/>
        <item x="1"/>
        <item m="1" x="3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10"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3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Somme de TRI projet (%)" fld="2" baseField="0" baseItem="5"/>
  </dataFields>
  <formats count="3">
    <format dxfId="4">
      <pivotArea collapsedLevelsAreSubtotals="1" fieldPosition="0">
        <references count="1">
          <reference field="0" count="6">
            <x v="1"/>
            <x v="3"/>
            <x v="4"/>
            <x v="5"/>
            <x v="6"/>
            <x v="7"/>
          </reference>
        </references>
      </pivotArea>
    </format>
    <format dxfId="3">
      <pivotArea collapsedLevelsAreSubtotals="1" fieldPosition="0">
        <references count="1">
          <reference field="0" count="2">
            <x v="8"/>
            <x v="9"/>
          </reference>
        </references>
      </pivotArea>
    </format>
    <format dxfId="2">
      <pivotArea collapsedLevelsAreSubtotals="1" fieldPosition="0">
        <references count="1">
          <reference field="0" count="3">
            <x v="10"/>
            <x v="11"/>
            <x v="12"/>
          </reference>
        </references>
      </pivotArea>
    </format>
  </formats>
  <chartFormats count="4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8A2C9-EDD3-4EBB-9516-5FC7924D96CD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I21:L27" firstHeaderRow="1" firstDataRow="2" firstDataCol="1"/>
  <pivotFields count="4">
    <pivotField axis="axisCol" showAll="0">
      <items count="3">
        <item x="0"/>
        <item x="1"/>
        <item t="default"/>
      </items>
    </pivotField>
    <pivotField axis="axisRow" numFmtId="167" showAll="0">
      <items count="5">
        <item x="0"/>
        <item x="1"/>
        <item x="2"/>
        <item x="3"/>
        <item t="default"/>
      </items>
    </pivotField>
    <pivotField dataField="1" numFmtId="165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omme de TRI projet (%)" fld="2" baseField="0" baseItem="0"/>
  </dataFields>
  <formats count="1">
    <format dxfId="1">
      <pivotArea collapsedLevelsAreSubtotals="1" fieldPosition="0">
        <references count="1">
          <reference field="1" count="0"/>
        </references>
      </pivotArea>
    </format>
  </format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FB008-4857-413F-88A6-A1734C6EADCC}" name="Tableau1" displayName="Tableau1" ref="A3:E25" totalsRowShown="0">
  <autoFilter ref="A3:E25" xr:uid="{9B9FB008-4857-413F-88A6-A1734C6EADCC}"/>
  <sortState xmlns:xlrd2="http://schemas.microsoft.com/office/spreadsheetml/2017/richdata2" ref="A4:E24">
    <sortCondition descending="1" ref="C3:C25"/>
  </sortState>
  <tableColumns count="5">
    <tableColumn id="1" xr3:uid="{11BEAB19-BC80-4F11-A88A-9241CACE38CD}" name="Puissance (MW)"/>
    <tableColumn id="2" xr3:uid="{CD5D2964-2F5B-4A20-9E0A-BB897EA6CF35}" name="Durée (h)"/>
    <tableColumn id="3" xr3:uid="{1A55B35C-750D-4B5F-9545-6E95202D0E72}" name="TRI projet (%)"/>
    <tableColumn id="4" xr3:uid="{998147A8-00E1-46D1-816C-DAE51AA1660C}" name="TRI investisseur (%)"/>
    <tableColumn id="5" xr3:uid="{07F27F94-E883-47AD-BDFC-0D4DA5D71A55}" name="Colonne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A09D4D-C953-44B1-AA2C-2BA2C2448171}" name="Tableau2" displayName="Tableau2" ref="B21:E29" totalsRowShown="0" headerRowDxfId="0">
  <autoFilter ref="B21:E29" xr:uid="{A9A09D4D-C953-44B1-AA2C-2BA2C2448171}"/>
  <tableColumns count="4">
    <tableColumn id="1" xr3:uid="{5A6B81F5-E14D-4CFF-897C-DC5537E7A8B9}" name="Hypothèses batterie"/>
    <tableColumn id="2" xr3:uid="{8EF6A1E2-5117-46A7-BFAE-15AEC0ECCCA3}" name="Prix moyen méca capa (€/MW)"/>
    <tableColumn id="3" xr3:uid="{933EB1D1-710E-4BA9-A9AD-5EF9D4680BF0}" name="TRI projet (%)"/>
    <tableColumn id="4" xr3:uid="{79F5B23F-1BCF-4840-89C3-E123362472BB}" name="TRI investisseur (%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19/04/relationships/namedSheetView" Target="../namedSheetViews/namedSheetView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F593-9CF0-4721-ADAD-BADCF00D9B53}">
  <sheetPr codeName="Feuil1">
    <tabColor rgb="FFFFFF00"/>
  </sheetPr>
  <dimension ref="A1:K43"/>
  <sheetViews>
    <sheetView zoomScale="82" zoomScaleNormal="82" workbookViewId="0">
      <selection activeCell="H28" sqref="H28"/>
    </sheetView>
  </sheetViews>
  <sheetFormatPr baseColWidth="10" defaultColWidth="10.90625" defaultRowHeight="11.5" x14ac:dyDescent="0.25"/>
  <cols>
    <col min="1" max="1" width="4.08984375" style="53" customWidth="1"/>
    <col min="2" max="2" width="32.6328125" style="53" customWidth="1"/>
    <col min="3" max="3" width="14.08984375" style="53" bestFit="1" customWidth="1"/>
    <col min="4" max="4" width="13.54296875" style="53" bestFit="1" customWidth="1"/>
    <col min="5" max="5" width="76.81640625" style="53" bestFit="1" customWidth="1"/>
    <col min="6" max="16384" width="10.90625" style="53"/>
  </cols>
  <sheetData>
    <row r="1" spans="1:4" s="85" customFormat="1" ht="14" x14ac:dyDescent="0.3">
      <c r="A1" s="86" t="s">
        <v>148</v>
      </c>
    </row>
    <row r="2" spans="1:4" s="52" customFormat="1" ht="14" x14ac:dyDescent="0.3">
      <c r="A2" s="87"/>
    </row>
    <row r="3" spans="1:4" s="52" customFormat="1" ht="14" x14ac:dyDescent="0.3">
      <c r="A3" s="120"/>
      <c r="B3" s="123" t="s">
        <v>0</v>
      </c>
    </row>
    <row r="4" spans="1:4" s="52" customFormat="1" ht="14" x14ac:dyDescent="0.3">
      <c r="A4" s="120"/>
      <c r="B4" s="124" t="s">
        <v>1</v>
      </c>
      <c r="C4" s="125"/>
    </row>
    <row r="5" spans="1:4" s="52" customFormat="1" ht="14" x14ac:dyDescent="0.3">
      <c r="A5" s="120"/>
      <c r="B5" s="124" t="s">
        <v>2</v>
      </c>
      <c r="C5" s="126"/>
    </row>
    <row r="6" spans="1:4" s="52" customFormat="1" ht="14" x14ac:dyDescent="0.3">
      <c r="A6" s="122"/>
    </row>
    <row r="7" spans="1:4" x14ac:dyDescent="0.25">
      <c r="A7" s="107"/>
    </row>
    <row r="8" spans="1:4" s="92" customFormat="1" ht="14" x14ac:dyDescent="0.3">
      <c r="A8" s="121"/>
      <c r="B8" s="93" t="s">
        <v>142</v>
      </c>
    </row>
    <row r="10" spans="1:4" ht="12.5" x14ac:dyDescent="0.25">
      <c r="B10" s="89" t="s">
        <v>161</v>
      </c>
      <c r="C10" s="108" t="s">
        <v>123</v>
      </c>
    </row>
    <row r="11" spans="1:4" x14ac:dyDescent="0.25">
      <c r="B11" s="91" t="s">
        <v>109</v>
      </c>
      <c r="C11" s="108">
        <v>6.85</v>
      </c>
    </row>
    <row r="12" spans="1:4" x14ac:dyDescent="0.25">
      <c r="B12" s="91" t="s">
        <v>144</v>
      </c>
      <c r="C12" s="108">
        <v>6</v>
      </c>
    </row>
    <row r="13" spans="1:4" ht="12.5" x14ac:dyDescent="0.25">
      <c r="B13" s="89" t="s">
        <v>143</v>
      </c>
      <c r="C13" s="110">
        <v>17</v>
      </c>
    </row>
    <row r="14" spans="1:4" s="54" customFormat="1" x14ac:dyDescent="0.25">
      <c r="A14" s="53"/>
      <c r="B14" s="53"/>
      <c r="D14" s="64"/>
    </row>
    <row r="15" spans="1:4" s="96" customFormat="1" ht="14" x14ac:dyDescent="0.25">
      <c r="A15" s="94"/>
      <c r="B15" s="95" t="s">
        <v>145</v>
      </c>
    </row>
    <row r="16" spans="1:4" s="54" customFormat="1" x14ac:dyDescent="0.25"/>
    <row r="17" spans="2:11" ht="12.5" x14ac:dyDescent="0.25">
      <c r="B17" s="101" t="s">
        <v>77</v>
      </c>
      <c r="C17" s="90" t="s">
        <v>149</v>
      </c>
      <c r="D17" s="111">
        <v>3</v>
      </c>
      <c r="E17" s="104"/>
    </row>
    <row r="18" spans="2:11" ht="12.5" x14ac:dyDescent="0.25">
      <c r="B18" s="101" t="s">
        <v>164</v>
      </c>
      <c r="C18" s="90" t="s">
        <v>165</v>
      </c>
      <c r="D18" s="111">
        <v>1</v>
      </c>
      <c r="E18" s="104"/>
    </row>
    <row r="19" spans="2:11" ht="12.5" x14ac:dyDescent="0.25">
      <c r="B19" s="130" t="s">
        <v>78</v>
      </c>
      <c r="C19" s="90" t="s">
        <v>150</v>
      </c>
      <c r="D19" s="161">
        <f>D18*D17</f>
        <v>3</v>
      </c>
      <c r="E19" s="104"/>
      <c r="H19" s="107"/>
      <c r="I19" s="107"/>
      <c r="J19" s="107"/>
      <c r="K19" s="107"/>
    </row>
    <row r="20" spans="2:11" ht="12.5" x14ac:dyDescent="0.25">
      <c r="B20" s="97" t="s">
        <v>151</v>
      </c>
      <c r="C20" s="90" t="s">
        <v>9</v>
      </c>
      <c r="D20" s="112">
        <v>0.9</v>
      </c>
      <c r="E20" s="104"/>
    </row>
    <row r="21" spans="2:11" ht="12.5" x14ac:dyDescent="0.25">
      <c r="B21" s="106" t="s">
        <v>79</v>
      </c>
      <c r="C21" s="90" t="s">
        <v>150</v>
      </c>
      <c r="D21" s="132">
        <f>D19/D20</f>
        <v>3.333333333333333</v>
      </c>
      <c r="E21" s="104"/>
    </row>
    <row r="22" spans="2:11" ht="12.5" x14ac:dyDescent="0.25">
      <c r="B22" s="101" t="s">
        <v>156</v>
      </c>
      <c r="C22" s="90" t="s">
        <v>152</v>
      </c>
      <c r="D22" s="111">
        <v>250</v>
      </c>
      <c r="E22" s="104"/>
    </row>
    <row r="23" spans="2:11" ht="12.5" x14ac:dyDescent="0.25">
      <c r="B23" s="101" t="s">
        <v>155</v>
      </c>
      <c r="C23" s="90" t="s">
        <v>186</v>
      </c>
      <c r="D23" s="111">
        <v>200</v>
      </c>
      <c r="E23" s="104"/>
    </row>
    <row r="24" spans="2:11" ht="12.5" x14ac:dyDescent="0.25">
      <c r="B24" s="101" t="s">
        <v>80</v>
      </c>
      <c r="C24" s="90" t="s">
        <v>153</v>
      </c>
      <c r="D24" s="113">
        <v>120000</v>
      </c>
      <c r="E24" s="104"/>
    </row>
    <row r="25" spans="2:11" s="54" customFormat="1" ht="12.5" x14ac:dyDescent="0.25">
      <c r="B25" s="106" t="s">
        <v>154</v>
      </c>
      <c r="C25" s="90" t="s">
        <v>153</v>
      </c>
      <c r="D25" s="109">
        <f>D21*D22*1000+D23*D17*1000+D24</f>
        <v>1553333.3333333333</v>
      </c>
      <c r="E25" s="105"/>
    </row>
    <row r="26" spans="2:11" ht="12.5" x14ac:dyDescent="0.25">
      <c r="B26" s="101" t="s">
        <v>104</v>
      </c>
      <c r="C26" s="90" t="s">
        <v>9</v>
      </c>
      <c r="D26" s="133">
        <f>IF(D18=1,85%,IF(D18=2,91%,93%))</f>
        <v>0.85</v>
      </c>
      <c r="E26" s="104"/>
    </row>
    <row r="27" spans="2:11" s="54" customFormat="1" ht="12.5" x14ac:dyDescent="0.25">
      <c r="B27" s="101" t="s">
        <v>157</v>
      </c>
      <c r="C27" s="90" t="s">
        <v>158</v>
      </c>
      <c r="D27" s="128">
        <v>0.01</v>
      </c>
      <c r="E27" s="105"/>
    </row>
    <row r="29" spans="2:11" s="92" customFormat="1" ht="14" x14ac:dyDescent="0.3">
      <c r="B29" s="93" t="s">
        <v>146</v>
      </c>
    </row>
    <row r="30" spans="2:11" x14ac:dyDescent="0.25">
      <c r="D30" s="65"/>
    </row>
    <row r="31" spans="2:11" ht="12.5" x14ac:dyDescent="0.25">
      <c r="B31" s="89" t="s">
        <v>159</v>
      </c>
      <c r="C31" s="102" t="s">
        <v>153</v>
      </c>
      <c r="D31" s="114">
        <v>0</v>
      </c>
      <c r="E31" s="104"/>
    </row>
    <row r="32" spans="2:11" ht="14" x14ac:dyDescent="0.3">
      <c r="B32" s="66"/>
      <c r="C32" s="98"/>
    </row>
    <row r="33" spans="1:5" s="99" customFormat="1" ht="14" x14ac:dyDescent="0.25">
      <c r="B33" s="95" t="s">
        <v>147</v>
      </c>
    </row>
    <row r="34" spans="1:5" x14ac:dyDescent="0.25">
      <c r="A34" s="100"/>
      <c r="B34" s="100"/>
    </row>
    <row r="35" spans="1:5" ht="12.5" x14ac:dyDescent="0.25">
      <c r="B35" s="89" t="s">
        <v>160</v>
      </c>
      <c r="C35" s="103" t="s">
        <v>153</v>
      </c>
      <c r="D35" s="115">
        <v>0</v>
      </c>
      <c r="E35" s="104"/>
    </row>
    <row r="36" spans="1:5" ht="12.5" x14ac:dyDescent="0.25">
      <c r="B36" s="89" t="s">
        <v>125</v>
      </c>
      <c r="C36" s="103" t="s">
        <v>153</v>
      </c>
      <c r="D36" s="114">
        <v>0</v>
      </c>
      <c r="E36" s="104"/>
    </row>
    <row r="37" spans="1:5" ht="12.5" x14ac:dyDescent="0.25">
      <c r="B37" s="89" t="s">
        <v>162</v>
      </c>
      <c r="C37" s="103" t="s">
        <v>153</v>
      </c>
      <c r="D37" s="129">
        <v>0</v>
      </c>
      <c r="E37" s="88"/>
    </row>
    <row r="38" spans="1:5" ht="12.5" x14ac:dyDescent="0.25">
      <c r="B38" s="89" t="s">
        <v>167</v>
      </c>
      <c r="C38" s="103" t="s">
        <v>9</v>
      </c>
      <c r="D38" s="131">
        <v>0.05</v>
      </c>
      <c r="E38" s="88"/>
    </row>
    <row r="39" spans="1:5" ht="12.5" x14ac:dyDescent="0.25">
      <c r="B39" s="89" t="s">
        <v>128</v>
      </c>
      <c r="C39" s="103" t="s">
        <v>169</v>
      </c>
      <c r="D39" s="110">
        <v>0</v>
      </c>
      <c r="E39" s="136" t="s">
        <v>170</v>
      </c>
    </row>
    <row r="40" spans="1:5" ht="12.5" x14ac:dyDescent="0.25">
      <c r="B40" s="89" t="s">
        <v>137</v>
      </c>
      <c r="C40" s="103" t="s">
        <v>169</v>
      </c>
      <c r="D40" s="110">
        <v>0</v>
      </c>
      <c r="E40" s="136" t="s">
        <v>170</v>
      </c>
    </row>
    <row r="41" spans="1:5" ht="12.5" x14ac:dyDescent="0.25">
      <c r="B41" s="89" t="s">
        <v>187</v>
      </c>
      <c r="C41" s="103" t="s">
        <v>169</v>
      </c>
      <c r="D41" s="110">
        <v>1</v>
      </c>
      <c r="E41" s="136" t="s">
        <v>188</v>
      </c>
    </row>
    <row r="42" spans="1:5" ht="12.5" x14ac:dyDescent="0.25">
      <c r="B42" s="89" t="s">
        <v>195</v>
      </c>
      <c r="C42" s="103" t="s">
        <v>169</v>
      </c>
      <c r="D42" s="110" t="s">
        <v>206</v>
      </c>
      <c r="E42" s="136"/>
    </row>
    <row r="43" spans="1:5" ht="25" x14ac:dyDescent="0.25">
      <c r="B43" s="164" t="s">
        <v>202</v>
      </c>
      <c r="C43" s="103" t="s">
        <v>9</v>
      </c>
      <c r="D43" s="163">
        <f>98%</f>
        <v>0.98</v>
      </c>
      <c r="E43" s="136"/>
    </row>
  </sheetData>
  <dataValidations count="3">
    <dataValidation type="list" allowBlank="1" showInputMessage="1" showErrorMessage="1" sqref="D39:D40" xr:uid="{E97F68B4-604A-4FEC-9358-1A29C94EE990}">
      <formula1>"0,1"</formula1>
    </dataValidation>
    <dataValidation type="list" allowBlank="1" showInputMessage="1" showErrorMessage="1" sqref="D18" xr:uid="{E851EFEE-12BB-40FD-AAB8-F7268E2A752F}">
      <formula1>"1,2"</formula1>
    </dataValidation>
    <dataValidation type="list" allowBlank="1" showInputMessage="1" showErrorMessage="1" sqref="D42" xr:uid="{F27A77DC-4070-40D5-9456-AC2715A9CA91}">
      <formula1>"versys"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04B1C-5B64-47A6-90DA-91698863AB6F}">
          <x14:formula1>
            <xm:f>aux!$A$2:$A$12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9"/>
  </sheetPr>
  <dimension ref="B2:AH165"/>
  <sheetViews>
    <sheetView showGridLines="0" zoomScale="85" zoomScaleNormal="85" workbookViewId="0">
      <selection activeCell="N19" sqref="N19"/>
    </sheetView>
  </sheetViews>
  <sheetFormatPr baseColWidth="10" defaultColWidth="11.453125" defaultRowHeight="14" outlineLevelRow="1" x14ac:dyDescent="0.3"/>
  <cols>
    <col min="1" max="1" width="2.54296875" style="17" customWidth="1"/>
    <col min="2" max="2" width="100.81640625" style="17" bestFit="1" customWidth="1"/>
    <col min="3" max="3" width="27.81640625" style="17" customWidth="1"/>
    <col min="4" max="4" width="21.81640625" style="17" bestFit="1" customWidth="1"/>
    <col min="5" max="5" width="15.81640625" style="17" customWidth="1"/>
    <col min="6" max="6" width="15.54296875" style="17" customWidth="1"/>
    <col min="7" max="7" width="17.08984375" style="17" customWidth="1"/>
    <col min="8" max="10" width="15.54296875" style="17" customWidth="1"/>
    <col min="11" max="11" width="18.26953125" style="17" customWidth="1"/>
    <col min="12" max="22" width="15.54296875" style="17" customWidth="1"/>
    <col min="23" max="23" width="14.1796875" style="17" customWidth="1"/>
    <col min="24" max="33" width="15" style="17" customWidth="1"/>
    <col min="34" max="16384" width="11.453125" style="17"/>
  </cols>
  <sheetData>
    <row r="2" spans="2:11" ht="14.25" customHeight="1" x14ac:dyDescent="0.3">
      <c r="B2" s="34" t="s">
        <v>0</v>
      </c>
      <c r="F2" s="58"/>
    </row>
    <row r="3" spans="2:11" x14ac:dyDescent="0.3">
      <c r="B3" s="33" t="s">
        <v>1</v>
      </c>
      <c r="C3" s="116"/>
    </row>
    <row r="4" spans="2:11" x14ac:dyDescent="0.3">
      <c r="B4" s="33" t="s">
        <v>2</v>
      </c>
      <c r="C4" s="37"/>
    </row>
    <row r="6" spans="2:11" x14ac:dyDescent="0.3">
      <c r="B6" s="51"/>
      <c r="C6" s="67"/>
      <c r="F6" s="32"/>
      <c r="G6" s="32"/>
      <c r="H6" s="32"/>
      <c r="I6" s="32"/>
      <c r="J6" s="32"/>
      <c r="K6" s="32"/>
    </row>
    <row r="7" spans="2:11" x14ac:dyDescent="0.3">
      <c r="F7" s="32"/>
      <c r="G7" s="32"/>
      <c r="H7" s="32"/>
      <c r="I7" s="32"/>
      <c r="J7" s="32"/>
      <c r="K7" s="32"/>
    </row>
    <row r="8" spans="2:11" x14ac:dyDescent="0.3">
      <c r="B8" s="167"/>
      <c r="C8" s="167"/>
      <c r="F8" s="32"/>
      <c r="G8" s="32"/>
      <c r="H8" s="32"/>
      <c r="I8" s="32"/>
      <c r="J8" s="162"/>
      <c r="K8" s="32"/>
    </row>
    <row r="9" spans="2:11" x14ac:dyDescent="0.3">
      <c r="B9" s="5" t="s">
        <v>3</v>
      </c>
      <c r="C9" s="127" t="s">
        <v>4</v>
      </c>
      <c r="F9" s="32"/>
      <c r="G9" s="32"/>
      <c r="H9" s="32"/>
      <c r="I9" s="32"/>
      <c r="J9" s="32"/>
      <c r="K9" s="32"/>
    </row>
    <row r="10" spans="2:11" x14ac:dyDescent="0.3">
      <c r="F10" s="32"/>
      <c r="G10" s="32" t="s">
        <v>118</v>
      </c>
      <c r="H10" s="59">
        <v>15</v>
      </c>
      <c r="I10" s="59">
        <v>17</v>
      </c>
      <c r="J10" s="59"/>
      <c r="K10" s="59"/>
    </row>
    <row r="11" spans="2:11" ht="14.5" x14ac:dyDescent="0.35">
      <c r="B11" s="10" t="s">
        <v>5</v>
      </c>
      <c r="C11" s="39">
        <f>Hypothèses!D25</f>
        <v>1553333.3333333333</v>
      </c>
      <c r="D11" s="29"/>
      <c r="F11" s="32"/>
      <c r="G11" s="36" t="s">
        <v>6</v>
      </c>
      <c r="H11" s="35">
        <f ca="1">R156</f>
        <v>1.3322832916477845E-2</v>
      </c>
      <c r="I11" s="38">
        <f ca="1">T156</f>
        <v>2.3706032134118482E-2</v>
      </c>
      <c r="J11" s="35"/>
      <c r="K11" s="35"/>
    </row>
    <row r="12" spans="2:11" x14ac:dyDescent="0.3">
      <c r="B12" s="10" t="s">
        <v>7</v>
      </c>
      <c r="C12" s="39">
        <v>700000</v>
      </c>
      <c r="F12" s="32"/>
      <c r="G12" s="32"/>
      <c r="H12" s="32"/>
      <c r="I12" s="32"/>
      <c r="J12" s="32"/>
      <c r="K12" s="32"/>
    </row>
    <row r="13" spans="2:11" x14ac:dyDescent="0.3">
      <c r="B13" s="10" t="s">
        <v>8</v>
      </c>
      <c r="C13" s="39">
        <f>Hypothèses!D25+Hypothèses!D31</f>
        <v>1553333.3333333333</v>
      </c>
      <c r="F13" s="32"/>
      <c r="G13" s="32"/>
      <c r="H13" s="32"/>
      <c r="I13" s="32"/>
      <c r="J13" s="32"/>
      <c r="K13" s="32"/>
    </row>
    <row r="14" spans="2:11" x14ac:dyDescent="0.3">
      <c r="B14" s="10"/>
      <c r="F14" s="32"/>
      <c r="H14" s="59">
        <v>15</v>
      </c>
      <c r="I14" s="59">
        <v>17</v>
      </c>
      <c r="J14" s="59"/>
      <c r="K14" s="59"/>
    </row>
    <row r="15" spans="2:11" ht="12.5" customHeight="1" x14ac:dyDescent="0.3">
      <c r="B15" s="5" t="s">
        <v>10</v>
      </c>
      <c r="C15" s="8" t="s">
        <v>4</v>
      </c>
      <c r="D15" s="8" t="s">
        <v>9</v>
      </c>
      <c r="F15" s="30"/>
      <c r="G15" s="36" t="s">
        <v>116</v>
      </c>
      <c r="H15" s="60">
        <f ca="1">R158</f>
        <v>-1.9039315824446401E-2</v>
      </c>
      <c r="I15" s="38">
        <f ca="1">T158</f>
        <v>-1.8714088732722622E-2</v>
      </c>
      <c r="J15" s="30"/>
      <c r="K15" s="30"/>
    </row>
    <row r="16" spans="2:11" x14ac:dyDescent="0.3">
      <c r="F16" s="30"/>
      <c r="G16" s="30"/>
      <c r="H16" s="30"/>
      <c r="I16" s="30"/>
      <c r="J16" s="30"/>
      <c r="K16" s="30"/>
    </row>
    <row r="17" spans="2:11" x14ac:dyDescent="0.3">
      <c r="B17" s="10" t="s">
        <v>11</v>
      </c>
      <c r="C17" s="40">
        <f>C20-C18</f>
        <v>621333.33333333337</v>
      </c>
      <c r="D17" s="117">
        <v>0.4</v>
      </c>
      <c r="F17" s="30"/>
      <c r="G17" s="30"/>
      <c r="H17" s="30"/>
      <c r="I17" s="30"/>
      <c r="J17" s="30"/>
      <c r="K17" s="30"/>
    </row>
    <row r="18" spans="2:11" x14ac:dyDescent="0.3">
      <c r="B18" s="10" t="s">
        <v>12</v>
      </c>
      <c r="C18" s="40">
        <f>C20*D18</f>
        <v>931999.99999999988</v>
      </c>
      <c r="D18" s="41">
        <f>(1 - D17)</f>
        <v>0.6</v>
      </c>
      <c r="F18" s="30"/>
      <c r="G18" s="30"/>
      <c r="H18" s="30"/>
      <c r="I18" s="30"/>
      <c r="J18" s="30"/>
      <c r="K18" s="30"/>
    </row>
    <row r="19" spans="2:11" x14ac:dyDescent="0.3">
      <c r="B19" s="10" t="s">
        <v>13</v>
      </c>
      <c r="C19" s="40"/>
      <c r="D19" s="41">
        <f t="shared" ref="D19" si="0">C19/$C$11</f>
        <v>0</v>
      </c>
      <c r="F19" s="30"/>
      <c r="G19" s="30"/>
      <c r="H19" s="30"/>
      <c r="I19" s="30"/>
      <c r="J19" s="30"/>
      <c r="K19" s="30"/>
    </row>
    <row r="20" spans="2:11" x14ac:dyDescent="0.3">
      <c r="B20" s="10" t="s">
        <v>14</v>
      </c>
      <c r="C20" s="40">
        <f>C11-C19</f>
        <v>1553333.3333333333</v>
      </c>
      <c r="D20" s="42">
        <f>SUM(D17:D19)</f>
        <v>1</v>
      </c>
      <c r="F20" s="30"/>
      <c r="G20" s="30"/>
      <c r="H20" s="30"/>
      <c r="I20" s="30"/>
      <c r="J20" s="30"/>
      <c r="K20" s="30"/>
    </row>
    <row r="21" spans="2:11" x14ac:dyDescent="0.3">
      <c r="B21" s="10" t="s">
        <v>15</v>
      </c>
      <c r="C21" s="118">
        <f>4%</f>
        <v>0.04</v>
      </c>
      <c r="F21" s="30"/>
      <c r="G21" s="30"/>
      <c r="H21" s="30"/>
      <c r="I21" s="30"/>
      <c r="J21" s="30"/>
      <c r="K21" s="30"/>
    </row>
    <row r="22" spans="2:11" x14ac:dyDescent="0.3">
      <c r="B22" s="10" t="s">
        <v>16</v>
      </c>
      <c r="C22" s="40">
        <f>Hypothèses!C13</f>
        <v>17</v>
      </c>
      <c r="F22" s="30"/>
      <c r="G22" s="30"/>
      <c r="H22" s="30"/>
      <c r="I22" s="30"/>
      <c r="J22" s="30"/>
      <c r="K22" s="30"/>
    </row>
    <row r="23" spans="2:11" x14ac:dyDescent="0.3">
      <c r="B23" s="10"/>
      <c r="C23" s="40"/>
      <c r="F23" s="30"/>
      <c r="G23" s="30"/>
      <c r="H23" s="30"/>
      <c r="I23" s="30"/>
      <c r="J23" s="30"/>
      <c r="K23" s="30"/>
    </row>
    <row r="24" spans="2:11" ht="18" customHeight="1" x14ac:dyDescent="0.3">
      <c r="B24" s="10" t="s">
        <v>117</v>
      </c>
      <c r="C24" s="118">
        <v>0.5</v>
      </c>
      <c r="F24" s="30"/>
      <c r="G24" s="30"/>
      <c r="H24" s="30"/>
      <c r="I24" s="30"/>
      <c r="J24" s="30"/>
      <c r="K24" s="30"/>
    </row>
    <row r="25" spans="2:11" x14ac:dyDescent="0.3">
      <c r="B25" s="10" t="s">
        <v>126</v>
      </c>
      <c r="C25" s="144">
        <f xml:space="preserve"> C17 * C24</f>
        <v>310666.66666666669</v>
      </c>
    </row>
    <row r="26" spans="2:11" x14ac:dyDescent="0.3">
      <c r="B26" s="10"/>
      <c r="C26" s="141"/>
    </row>
    <row r="27" spans="2:11" x14ac:dyDescent="0.3">
      <c r="B27" s="5" t="s">
        <v>17</v>
      </c>
      <c r="C27" s="8" t="s">
        <v>4</v>
      </c>
    </row>
    <row r="28" spans="2:11" hidden="1" x14ac:dyDescent="0.3"/>
    <row r="29" spans="2:11" s="29" customFormat="1" ht="14.5" hidden="1" x14ac:dyDescent="0.35">
      <c r="B29" s="29" t="s">
        <v>86</v>
      </c>
    </row>
    <row r="30" spans="2:11" hidden="1" x14ac:dyDescent="0.3">
      <c r="B30" s="10"/>
      <c r="C30" s="37"/>
    </row>
    <row r="31" spans="2:11" hidden="1" x14ac:dyDescent="0.3">
      <c r="B31" s="10"/>
      <c r="C31" s="13"/>
    </row>
    <row r="32" spans="2:11" hidden="1" x14ac:dyDescent="0.3">
      <c r="B32" s="10"/>
      <c r="C32" s="43"/>
    </row>
    <row r="33" spans="2:33" x14ac:dyDescent="0.3">
      <c r="B33" s="10"/>
      <c r="C33" s="28"/>
    </row>
    <row r="34" spans="2:33" x14ac:dyDescent="0.3">
      <c r="B34" s="17" t="s">
        <v>87</v>
      </c>
    </row>
    <row r="35" spans="2:33" x14ac:dyDescent="0.3">
      <c r="B35" s="10" t="s">
        <v>18</v>
      </c>
      <c r="C35" s="37">
        <f>Hypothèses!D25</f>
        <v>1553333.3333333333</v>
      </c>
    </row>
    <row r="36" spans="2:33" x14ac:dyDescent="0.3">
      <c r="B36" s="10" t="s">
        <v>19</v>
      </c>
      <c r="C36" s="61">
        <f>Hypothèses!C13</f>
        <v>17</v>
      </c>
      <c r="D36" s="17" t="s">
        <v>20</v>
      </c>
    </row>
    <row r="37" spans="2:33" x14ac:dyDescent="0.3">
      <c r="B37" s="10" t="s">
        <v>21</v>
      </c>
      <c r="C37" s="119">
        <v>0.01</v>
      </c>
    </row>
    <row r="38" spans="2:33" ht="14.5" x14ac:dyDescent="0.35">
      <c r="B38"/>
      <c r="C38"/>
      <c r="D38"/>
    </row>
    <row r="39" spans="2:33" x14ac:dyDescent="0.3">
      <c r="D39" s="17">
        <v>2025</v>
      </c>
      <c r="E39" s="17">
        <f>D39+1</f>
        <v>2026</v>
      </c>
      <c r="F39" s="17">
        <f t="shared" ref="F39:AG39" si="1">E39+1</f>
        <v>2027</v>
      </c>
      <c r="G39" s="17">
        <f t="shared" si="1"/>
        <v>2028</v>
      </c>
      <c r="H39" s="17">
        <f t="shared" si="1"/>
        <v>2029</v>
      </c>
      <c r="I39" s="17">
        <f t="shared" si="1"/>
        <v>2030</v>
      </c>
      <c r="J39" s="17">
        <f t="shared" si="1"/>
        <v>2031</v>
      </c>
      <c r="K39" s="17">
        <f t="shared" si="1"/>
        <v>2032</v>
      </c>
      <c r="L39" s="17">
        <f t="shared" si="1"/>
        <v>2033</v>
      </c>
      <c r="M39" s="17">
        <f t="shared" si="1"/>
        <v>2034</v>
      </c>
      <c r="N39" s="17">
        <f t="shared" si="1"/>
        <v>2035</v>
      </c>
      <c r="O39" s="17">
        <f t="shared" si="1"/>
        <v>2036</v>
      </c>
      <c r="P39" s="17">
        <f t="shared" si="1"/>
        <v>2037</v>
      </c>
      <c r="Q39" s="17">
        <f t="shared" si="1"/>
        <v>2038</v>
      </c>
      <c r="R39" s="17">
        <f t="shared" si="1"/>
        <v>2039</v>
      </c>
      <c r="S39" s="17">
        <f t="shared" si="1"/>
        <v>2040</v>
      </c>
      <c r="T39" s="17">
        <f t="shared" si="1"/>
        <v>2041</v>
      </c>
      <c r="U39" s="17">
        <f t="shared" si="1"/>
        <v>2042</v>
      </c>
      <c r="V39" s="17">
        <f t="shared" si="1"/>
        <v>2043</v>
      </c>
      <c r="W39" s="17">
        <f t="shared" si="1"/>
        <v>2044</v>
      </c>
      <c r="X39" s="17">
        <f t="shared" si="1"/>
        <v>2045</v>
      </c>
      <c r="Y39" s="17">
        <f t="shared" si="1"/>
        <v>2046</v>
      </c>
      <c r="Z39" s="17">
        <f t="shared" si="1"/>
        <v>2047</v>
      </c>
      <c r="AA39" s="17">
        <f t="shared" si="1"/>
        <v>2048</v>
      </c>
      <c r="AB39" s="17">
        <f t="shared" si="1"/>
        <v>2049</v>
      </c>
      <c r="AC39" s="17">
        <f t="shared" si="1"/>
        <v>2050</v>
      </c>
      <c r="AD39" s="17">
        <f t="shared" si="1"/>
        <v>2051</v>
      </c>
      <c r="AE39" s="17">
        <f t="shared" si="1"/>
        <v>2052</v>
      </c>
      <c r="AF39" s="17">
        <f t="shared" si="1"/>
        <v>2053</v>
      </c>
      <c r="AG39" s="17">
        <f t="shared" si="1"/>
        <v>2054</v>
      </c>
    </row>
    <row r="40" spans="2:33" x14ac:dyDescent="0.3">
      <c r="B40" s="10"/>
    </row>
    <row r="41" spans="2:33" ht="15" customHeight="1" x14ac:dyDescent="0.3">
      <c r="C41" s="11" t="s">
        <v>22</v>
      </c>
      <c r="D41" s="168" t="s">
        <v>23</v>
      </c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9" t="s">
        <v>24</v>
      </c>
      <c r="Y41" s="169"/>
      <c r="Z41" s="169"/>
      <c r="AA41" s="169"/>
      <c r="AB41" s="169"/>
      <c r="AC41" s="169"/>
      <c r="AD41" s="169"/>
      <c r="AE41" s="169"/>
      <c r="AF41" s="169"/>
      <c r="AG41" s="169"/>
    </row>
    <row r="42" spans="2:33" x14ac:dyDescent="0.3">
      <c r="C42" s="79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</row>
    <row r="43" spans="2:33" x14ac:dyDescent="0.3">
      <c r="B43" s="1" t="s">
        <v>25</v>
      </c>
      <c r="C43" s="9">
        <v>0</v>
      </c>
      <c r="D43" s="6">
        <v>1</v>
      </c>
      <c r="E43" s="6">
        <v>2</v>
      </c>
      <c r="F43" s="6">
        <v>3</v>
      </c>
      <c r="G43" s="6">
        <v>4</v>
      </c>
      <c r="H43" s="6">
        <v>5</v>
      </c>
      <c r="I43" s="6">
        <v>6</v>
      </c>
      <c r="J43" s="6">
        <v>7</v>
      </c>
      <c r="K43" s="6">
        <v>8</v>
      </c>
      <c r="L43" s="6">
        <v>9</v>
      </c>
      <c r="M43" s="6">
        <v>10</v>
      </c>
      <c r="N43" s="6">
        <v>11</v>
      </c>
      <c r="O43" s="6">
        <v>12</v>
      </c>
      <c r="P43" s="6">
        <v>13</v>
      </c>
      <c r="Q43" s="6">
        <v>14</v>
      </c>
      <c r="R43" s="6">
        <v>15</v>
      </c>
      <c r="S43" s="6">
        <v>16</v>
      </c>
      <c r="T43" s="6">
        <v>17</v>
      </c>
      <c r="U43" s="6">
        <v>18</v>
      </c>
      <c r="V43" s="6">
        <v>19</v>
      </c>
      <c r="W43" s="6">
        <v>20</v>
      </c>
      <c r="X43" s="6">
        <v>21</v>
      </c>
      <c r="Y43" s="6">
        <v>22</v>
      </c>
      <c r="Z43" s="6">
        <v>23</v>
      </c>
      <c r="AA43" s="6">
        <v>24</v>
      </c>
      <c r="AB43" s="6">
        <v>25</v>
      </c>
      <c r="AC43" s="6">
        <v>26</v>
      </c>
      <c r="AD43" s="6">
        <v>27</v>
      </c>
      <c r="AE43" s="6">
        <v>28</v>
      </c>
      <c r="AF43" s="6">
        <v>29</v>
      </c>
      <c r="AG43" s="6">
        <v>30</v>
      </c>
    </row>
    <row r="44" spans="2:33" hidden="1" x14ac:dyDescent="0.3">
      <c r="D44" s="17" t="b">
        <f>D43&lt;=$C$36</f>
        <v>1</v>
      </c>
      <c r="E44" s="17" t="b">
        <f t="shared" ref="E44:AG44" si="2">E43&lt;=$C$36</f>
        <v>1</v>
      </c>
      <c r="F44" s="17" t="b">
        <f t="shared" si="2"/>
        <v>1</v>
      </c>
      <c r="G44" s="17" t="b">
        <f t="shared" si="2"/>
        <v>1</v>
      </c>
      <c r="H44" s="17" t="b">
        <f t="shared" si="2"/>
        <v>1</v>
      </c>
      <c r="I44" s="17" t="b">
        <f t="shared" si="2"/>
        <v>1</v>
      </c>
      <c r="J44" s="17" t="b">
        <f t="shared" si="2"/>
        <v>1</v>
      </c>
      <c r="K44" s="17" t="b">
        <f t="shared" si="2"/>
        <v>1</v>
      </c>
      <c r="L44" s="17" t="b">
        <f t="shared" si="2"/>
        <v>1</v>
      </c>
      <c r="M44" s="17" t="b">
        <f t="shared" si="2"/>
        <v>1</v>
      </c>
      <c r="N44" s="17" t="b">
        <f t="shared" si="2"/>
        <v>1</v>
      </c>
      <c r="O44" s="17" t="b">
        <f t="shared" si="2"/>
        <v>1</v>
      </c>
      <c r="P44" s="17" t="b">
        <f t="shared" si="2"/>
        <v>1</v>
      </c>
      <c r="Q44" s="17" t="b">
        <f t="shared" si="2"/>
        <v>1</v>
      </c>
      <c r="R44" s="17" t="b">
        <f t="shared" si="2"/>
        <v>1</v>
      </c>
      <c r="S44" s="17" t="b">
        <f t="shared" si="2"/>
        <v>1</v>
      </c>
      <c r="T44" s="17" t="b">
        <f t="shared" si="2"/>
        <v>1</v>
      </c>
      <c r="U44" s="17" t="b">
        <f t="shared" si="2"/>
        <v>0</v>
      </c>
      <c r="V44" s="17" t="b">
        <f t="shared" si="2"/>
        <v>0</v>
      </c>
      <c r="W44" s="17" t="b">
        <f t="shared" si="2"/>
        <v>0</v>
      </c>
      <c r="X44" s="17" t="b">
        <f t="shared" si="2"/>
        <v>0</v>
      </c>
      <c r="Y44" s="17" t="b">
        <f t="shared" si="2"/>
        <v>0</v>
      </c>
      <c r="Z44" s="17" t="b">
        <f t="shared" si="2"/>
        <v>0</v>
      </c>
      <c r="AA44" s="17" t="b">
        <f t="shared" si="2"/>
        <v>0</v>
      </c>
      <c r="AB44" s="17" t="b">
        <f t="shared" si="2"/>
        <v>0</v>
      </c>
      <c r="AC44" s="17" t="b">
        <f t="shared" si="2"/>
        <v>0</v>
      </c>
      <c r="AD44" s="17" t="b">
        <f t="shared" si="2"/>
        <v>0</v>
      </c>
      <c r="AE44" s="17" t="b">
        <f t="shared" si="2"/>
        <v>0</v>
      </c>
      <c r="AF44" s="17" t="b">
        <f t="shared" si="2"/>
        <v>0</v>
      </c>
      <c r="AG44" s="17" t="b">
        <f t="shared" si="2"/>
        <v>0</v>
      </c>
    </row>
    <row r="45" spans="2:33" s="75" customFormat="1" x14ac:dyDescent="0.3">
      <c r="B45" s="78" t="s">
        <v>127</v>
      </c>
    </row>
    <row r="46" spans="2:33" s="74" customFormat="1" x14ac:dyDescent="0.3">
      <c r="B46" s="77" t="s">
        <v>133</v>
      </c>
      <c r="C46" s="77"/>
      <c r="D46" s="71">
        <f ca="1">VLOOKUP("DAincome"&amp;"S1"&amp;D$39&amp;Hypothèses!$D$17&amp;Hypothèses!$D$18,INDIRECT("'"&amp;Hypothèses!$D$42&amp;"'!$A:$I"),6,FALSE)*(1+$C$37)^C43 * D44</f>
        <v>0</v>
      </c>
      <c r="E46" s="71">
        <f ca="1">VLOOKUP("DAincome"&amp;"S1"&amp;E$39&amp;Hypothèses!$D$17&amp;Hypothèses!$D$18,INDIRECT("'"&amp;Hypothèses!$D$42&amp;"'!$A:$I"),6,FALSE)*(1+$C$37)^D43 * E44</f>
        <v>0</v>
      </c>
      <c r="F46" s="71">
        <f ca="1">VLOOKUP("DAincome"&amp;"S1"&amp;F$39&amp;Hypothèses!$D$17&amp;Hypothèses!$D$18,INDIRECT("'"&amp;Hypothèses!$D$42&amp;"'!$A:$I"),6,FALSE)*(1+$C$37)^E43 * F44</f>
        <v>0</v>
      </c>
      <c r="G46" s="71">
        <f ca="1">VLOOKUP("DAincome"&amp;"S1"&amp;G$39&amp;Hypothèses!$D$17&amp;Hypothèses!$D$18,INDIRECT("'"&amp;Hypothèses!$D$42&amp;"'!$A:$I"),6,FALSE)*(1+$C$37)^F43 * G44</f>
        <v>2.0704389621406435E-4</v>
      </c>
      <c r="H46" s="71">
        <f ca="1">VLOOKUP("DAincome"&amp;"S1"&amp;H$39&amp;Hypothèses!$D$17&amp;Hypothèses!$D$18,INDIRECT("'"&amp;Hypothèses!$D$42&amp;"'!$A:$I"),6,FALSE)*(1+$C$37)^G43 * H44</f>
        <v>146.68001678719529</v>
      </c>
      <c r="I46" s="71">
        <f ca="1">VLOOKUP("DAincome"&amp;"S1"&amp;I$39&amp;Hypothèses!$D$17&amp;Hypothèses!$D$18,INDIRECT("'"&amp;Hypothèses!$D$42&amp;"'!$A:$I"),6,FALSE)*(1+$C$37)^H43 * I44</f>
        <v>2309.5052207794565</v>
      </c>
      <c r="J46" s="71">
        <f ca="1">VLOOKUP("DAincome"&amp;"S1"&amp;J$39&amp;Hypothèses!$D$17&amp;Hypothèses!$D$18,INDIRECT("'"&amp;Hypothèses!$D$42&amp;"'!$A:$I"),6,FALSE)*(1+$C$37)^I43 * J44</f>
        <v>3342.1220695569768</v>
      </c>
      <c r="K46" s="71">
        <f ca="1">VLOOKUP("DAincome"&amp;"S1"&amp;K$39&amp;Hypothèses!$D$17&amp;Hypothèses!$D$18,INDIRECT("'"&amp;Hypothèses!$D$42&amp;"'!$A:$I"),6,FALSE)*(1+$C$37)^J43 * K44</f>
        <v>6235.9301281701373</v>
      </c>
      <c r="L46" s="71">
        <f ca="1">VLOOKUP("DAincome"&amp;"S1"&amp;L$39&amp;Hypothèses!$D$17&amp;Hypothèses!$D$18,INDIRECT("'"&amp;Hypothèses!$D$42&amp;"'!$A:$I"),6,FALSE)*(1+$C$37)^K43 * L44</f>
        <v>4294.2028463457818</v>
      </c>
      <c r="M46" s="71">
        <f ca="1">VLOOKUP("DAincome"&amp;"S1"&amp;M$39&amp;Hypothèses!$D$17&amp;Hypothèses!$D$18,INDIRECT("'"&amp;Hypothèses!$D$42&amp;"'!$A:$I"),6,FALSE)*(1+$C$37)^L43 * M44</f>
        <v>4511.1862934216797</v>
      </c>
      <c r="N46" s="71">
        <f ca="1">VLOOKUP("DAincome"&amp;"S1"&amp;N$39&amp;Hypothèses!$D$17&amp;Hypothèses!$D$18,INDIRECT("'"&amp;Hypothèses!$D$42&amp;"'!$A:$I"),6,FALSE)*(1+$C$37)^M43 * N44</f>
        <v>3870.2410280218269</v>
      </c>
      <c r="O46" s="71">
        <f ca="1">VLOOKUP("DAincome"&amp;"S1"&amp;O$39&amp;Hypothèses!$D$17&amp;Hypothèses!$D$18,INDIRECT("'"&amp;Hypothèses!$D$42&amp;"'!$A:$I"),6,FALSE)*(1+$C$37)^N43 * O44</f>
        <v>5322.7473543298793</v>
      </c>
      <c r="P46" s="71">
        <f ca="1">VLOOKUP("DAincome"&amp;"S1"&amp;P$39&amp;Hypothèses!$D$17&amp;Hypothèses!$D$18,INDIRECT("'"&amp;Hypothèses!$D$42&amp;"'!$A:$I"),6,FALSE)*(1+$C$37)^O43 * P44</f>
        <v>3998.5184095807849</v>
      </c>
      <c r="Q46" s="71">
        <f ca="1">VLOOKUP("DAincome"&amp;"S1"&amp;Q$39&amp;Hypothèses!$D$17&amp;Hypothèses!$D$18,INDIRECT("'"&amp;Hypothèses!$D$42&amp;"'!$A:$I"),6,FALSE)*(1+$C$37)^P43 * Q44</f>
        <v>6730.362755033635</v>
      </c>
      <c r="R46" s="71">
        <f ca="1">VLOOKUP("DAincome"&amp;"S1"&amp;R$39&amp;Hypothèses!$D$17&amp;Hypothèses!$D$18,INDIRECT("'"&amp;Hypothèses!$D$42&amp;"'!$A:$I"),6,FALSE)*(1+$C$37)^Q43 * R44</f>
        <v>5617.773931344479</v>
      </c>
      <c r="S46" s="71">
        <f ca="1">VLOOKUP("DAincome"&amp;"S1"&amp;S$39&amp;Hypothèses!$D$17&amp;Hypothèses!$D$18,INDIRECT("'"&amp;Hypothèses!$D$42&amp;"'!$A:$I"),6,FALSE)*(1+$C$37)^R43 * S44</f>
        <v>14263.514099040285</v>
      </c>
      <c r="T46" s="71">
        <f ca="1">VLOOKUP("DAincome"&amp;"S1"&amp;T$39&amp;Hypothèses!$D$17&amp;Hypothèses!$D$18,INDIRECT("'"&amp;Hypothèses!$D$42&amp;"'!$A:$I"),6,FALSE)*(1+$C$37)^S43 * T44</f>
        <v>20951.444962693717</v>
      </c>
      <c r="U46" s="71" t="e">
        <f ca="1">VLOOKUP("DAincome"&amp;"S1"&amp;U$39&amp;Hypothèses!$D$17&amp;Hypothèses!$D$18,INDIRECT("'"&amp;Hypothèses!$D$42&amp;"'!$A:$I"),6,FALSE)*(1+$C$37)^T43 * U44</f>
        <v>#N/A</v>
      </c>
      <c r="V46" s="71" t="e">
        <f ca="1">VLOOKUP("DAincome"&amp;"S1"&amp;V$39&amp;Hypothèses!$D$17&amp;Hypothèses!$D$18,INDIRECT("'"&amp;Hypothèses!$D$42&amp;"'!$A:$I"),6,FALSE)*(1+$C$37)^U43 * V44</f>
        <v>#N/A</v>
      </c>
      <c r="W46" s="71" t="e">
        <f ca="1">VLOOKUP("DAincome"&amp;"S1"&amp;W$39&amp;Hypothèses!$D$17&amp;Hypothèses!$D$18,INDIRECT("'"&amp;Hypothèses!$D$42&amp;"'!$A:$I"),6,FALSE)*(1+$C$37)^V43 * W44</f>
        <v>#N/A</v>
      </c>
      <c r="X46" s="71" t="e">
        <f ca="1">VLOOKUP("DAincome"&amp;"S1"&amp;X$39&amp;Hypothèses!$D$17&amp;Hypothèses!$D$18,INDIRECT("'"&amp;Hypothèses!$D$42&amp;"'!$A:$I"),6,FALSE)*(1+$C$37)^W43 * X44</f>
        <v>#N/A</v>
      </c>
      <c r="Y46" s="71" t="e">
        <f ca="1">VLOOKUP("DAincome"&amp;"S1"&amp;Y$39&amp;Hypothèses!$D$17&amp;Hypothèses!$D$18,INDIRECT("'"&amp;Hypothèses!$D$42&amp;"'!$A:$I"),6,FALSE)*(1+$C$37)^X43 * Y44</f>
        <v>#N/A</v>
      </c>
      <c r="Z46" s="71" t="e">
        <f ca="1">VLOOKUP("DAincome"&amp;"S1"&amp;Z$39&amp;Hypothèses!$D$17&amp;Hypothèses!$D$18,INDIRECT("'"&amp;Hypothèses!$D$42&amp;"'!$A:$I"),6,FALSE)*(1+$C$37)^Y43 * Z44</f>
        <v>#N/A</v>
      </c>
      <c r="AA46" s="71" t="e">
        <f ca="1">VLOOKUP("DAincome"&amp;"S1"&amp;AA$39&amp;Hypothèses!$D$17&amp;Hypothèses!$D$18,INDIRECT("'"&amp;Hypothèses!$D$42&amp;"'!$A:$I"),6,FALSE)*(1+$C$37)^Z43 * AA44</f>
        <v>#N/A</v>
      </c>
      <c r="AB46" s="71" t="e">
        <f ca="1">VLOOKUP("DAincome"&amp;"S1"&amp;AB$39&amp;Hypothèses!$D$17&amp;Hypothèses!$D$18,INDIRECT("'"&amp;Hypothèses!$D$42&amp;"'!$A:$I"),6,FALSE)*(1+$C$37)^AA43 * AB44</f>
        <v>#N/A</v>
      </c>
      <c r="AC46" s="71" t="e">
        <f ca="1">VLOOKUP("DAincome"&amp;"S1"&amp;AC$39&amp;Hypothèses!$D$17&amp;Hypothèses!$D$18,INDIRECT("'"&amp;Hypothèses!$D$42&amp;"'!$A:$I"),6,FALSE)*(1+$C$37)^AB43 * AC44</f>
        <v>#N/A</v>
      </c>
      <c r="AD46" s="71" t="e">
        <f ca="1">VLOOKUP("DAincome"&amp;"S1"&amp;AD$39&amp;Hypothèses!$D$17&amp;Hypothèses!$D$18,INDIRECT("'"&amp;Hypothèses!$D$42&amp;"'!$A:$I"),6,FALSE)*(1+$C$37)^AC43 * AD44</f>
        <v>#N/A</v>
      </c>
      <c r="AE46" s="71" t="e">
        <f ca="1">VLOOKUP("DAincome"&amp;"S1"&amp;AE$39&amp;Hypothèses!$D$17&amp;Hypothèses!$D$18,INDIRECT("'"&amp;Hypothèses!$D$42&amp;"'!$A:$I"),6,FALSE)*(1+$C$37)^AD43 * AE44</f>
        <v>#N/A</v>
      </c>
      <c r="AF46" s="71" t="e">
        <f ca="1">VLOOKUP("DAincome"&amp;"S1"&amp;AF$39&amp;Hypothèses!$D$17&amp;Hypothèses!$D$18,INDIRECT("'"&amp;Hypothèses!$D$42&amp;"'!$A:$I"),6,FALSE)*(1+$C$37)^AE43 * AF44</f>
        <v>#N/A</v>
      </c>
      <c r="AG46" s="71" t="e">
        <f ca="1">VLOOKUP("DAincome"&amp;"S1"&amp;AG$39&amp;Hypothèses!$D$17&amp;Hypothèses!$D$18,INDIRECT("'"&amp;Hypothèses!$D$42&amp;"'!$A:$I"),6,FALSE)*(1+$C$37)^AF43 * AG44</f>
        <v>#N/A</v>
      </c>
    </row>
    <row r="47" spans="2:33" ht="14.5" x14ac:dyDescent="0.35">
      <c r="B47" s="26" t="s">
        <v>26</v>
      </c>
      <c r="C47" s="10"/>
      <c r="D47" s="68"/>
      <c r="E47" s="134" t="e">
        <f t="shared" ref="E47" ca="1" si="3">E46/D46-1</f>
        <v>#DIV/0!</v>
      </c>
      <c r="F47" s="134" t="e">
        <f t="shared" ref="F47" ca="1" si="4">F46/E46-1</f>
        <v>#DIV/0!</v>
      </c>
      <c r="G47" s="134" t="e">
        <f t="shared" ref="G47" ca="1" si="5">G46/F46-1</f>
        <v>#DIV/0!</v>
      </c>
      <c r="H47" s="134">
        <f t="shared" ref="H47" ca="1" si="6">H46/G46-1</f>
        <v>708447.88194888702</v>
      </c>
      <c r="I47" s="134">
        <f t="shared" ref="I47" ca="1" si="7">I46/H46-1</f>
        <v>14.745193321937696</v>
      </c>
      <c r="J47" s="134">
        <f t="shared" ref="J47" ca="1" si="8">J46/I46-1</f>
        <v>0.44711604870458488</v>
      </c>
      <c r="K47" s="134">
        <f t="shared" ref="K47" ca="1" si="9">K46/J46-1</f>
        <v>0.8658594744257071</v>
      </c>
      <c r="L47" s="134">
        <f t="shared" ref="L47" ca="1" si="10">L46/K46-1</f>
        <v>-0.31137733135475865</v>
      </c>
      <c r="M47" s="134">
        <f t="shared" ref="M47" ca="1" si="11">M46/L46-1</f>
        <v>5.0529389234731381E-2</v>
      </c>
      <c r="N47" s="134">
        <f t="shared" ref="N47" ca="1" si="12">N46/M46-1</f>
        <v>-0.14207909487898884</v>
      </c>
      <c r="O47" s="134">
        <f t="shared" ref="O47" ca="1" si="13">O46/N46-1</f>
        <v>0.37530125792978408</v>
      </c>
      <c r="P47" s="134">
        <f t="shared" ref="P47" ca="1" si="14">P46/O46-1</f>
        <v>-0.24878673673509566</v>
      </c>
      <c r="Q47" s="134">
        <f t="shared" ref="Q47" ca="1" si="15">Q46/P46-1</f>
        <v>0.68321414724692087</v>
      </c>
      <c r="R47" s="134">
        <f t="shared" ref="R47" ca="1" si="16">R46/Q46-1</f>
        <v>-0.16530889406474436</v>
      </c>
      <c r="S47" s="134">
        <f t="shared" ref="S47" ca="1" si="17">S46/R46-1</f>
        <v>1.538997523459734</v>
      </c>
      <c r="T47" s="134">
        <f t="shared" ref="T47" ca="1" si="18">T46/S46-1</f>
        <v>0.46888381202661877</v>
      </c>
      <c r="U47" s="134" t="e">
        <f t="shared" ref="U47" ca="1" si="19">U46/T46-1</f>
        <v>#N/A</v>
      </c>
      <c r="V47" s="134" t="e">
        <f t="shared" ref="V47" ca="1" si="20">V46/U46-1</f>
        <v>#N/A</v>
      </c>
      <c r="W47" s="134" t="e">
        <f t="shared" ref="W47" ca="1" si="21">W46/V46-1</f>
        <v>#N/A</v>
      </c>
      <c r="X47" s="134" t="e">
        <f t="shared" ref="X47" ca="1" si="22">X46/W46-1</f>
        <v>#N/A</v>
      </c>
      <c r="Y47" s="134" t="e">
        <f t="shared" ref="Y47" ca="1" si="23">Y46/X46-1</f>
        <v>#N/A</v>
      </c>
      <c r="Z47" s="134" t="e">
        <f t="shared" ref="Z47" ca="1" si="24">Z46/Y46-1</f>
        <v>#N/A</v>
      </c>
      <c r="AA47" s="134" t="e">
        <f t="shared" ref="AA47" ca="1" si="25">AA46/Z46-1</f>
        <v>#N/A</v>
      </c>
      <c r="AB47" s="134" t="e">
        <f t="shared" ref="AB47" ca="1" si="26">AB46/AA46-1</f>
        <v>#N/A</v>
      </c>
      <c r="AC47" s="134" t="e">
        <f t="shared" ref="AC47" ca="1" si="27">AC46/AB46-1</f>
        <v>#N/A</v>
      </c>
      <c r="AD47" s="134" t="e">
        <f t="shared" ref="AD47" ca="1" si="28">AD46/AC46-1</f>
        <v>#N/A</v>
      </c>
      <c r="AE47" s="134" t="e">
        <f t="shared" ref="AE47" ca="1" si="29">AE46/AD46-1</f>
        <v>#N/A</v>
      </c>
      <c r="AF47" s="134" t="e">
        <f t="shared" ref="AF47" ca="1" si="30">AF46/AE46-1</f>
        <v>#N/A</v>
      </c>
      <c r="AG47" s="134" t="e">
        <f t="shared" ref="AG47" ca="1" si="31">AG46/AF46-1</f>
        <v>#N/A</v>
      </c>
    </row>
    <row r="48" spans="2:33" x14ac:dyDescent="0.3">
      <c r="B48" s="10" t="s">
        <v>134</v>
      </c>
      <c r="C48" s="10"/>
      <c r="D48" s="68">
        <f ca="1">VLOOKUP("DAenergy_sold"&amp;"S1"&amp;D$39&amp;Hypothèses!$D$17&amp;Hypothèses!$D$18,INDIRECT("'"&amp;Hypothèses!$D$42&amp;"'!$A:$I"),6,FALSE) * D44</f>
        <v>0</v>
      </c>
      <c r="E48" s="68">
        <f ca="1">VLOOKUP("DAenergy_sold"&amp;"S1"&amp;E$39&amp;Hypothèses!$D$17&amp;Hypothèses!$D$18,INDIRECT("'"&amp;Hypothèses!$D$42&amp;"'!$A:$I"),6,FALSE) * E44</f>
        <v>0</v>
      </c>
      <c r="F48" s="68">
        <f ca="1">VLOOKUP("DAenergy_sold"&amp;"S1"&amp;F$39&amp;Hypothèses!$D$17&amp;Hypothèses!$D$18,INDIRECT("'"&amp;Hypothèses!$D$42&amp;"'!$A:$I"),6,FALSE) * F44</f>
        <v>0</v>
      </c>
      <c r="G48" s="68">
        <f ca="1">VLOOKUP("DAenergy_sold"&amp;"S1"&amp;G$39&amp;Hypothèses!$D$17&amp;Hypothèses!$D$18,INDIRECT("'"&amp;Hypothèses!$D$42&amp;"'!$A:$I"),6,FALSE) * G44</f>
        <v>1.545538394154278E-6</v>
      </c>
      <c r="H48" s="68">
        <f ca="1">VLOOKUP("DAenergy_sold"&amp;"S1"&amp;H$39&amp;Hypothèses!$D$17&amp;Hypothèses!$D$18,INDIRECT("'"&amp;Hypothèses!$D$42&amp;"'!$A:$I"),6,FALSE) * H44</f>
        <v>1.0995913336524239</v>
      </c>
      <c r="I48" s="68">
        <f ca="1">VLOOKUP("DAenergy_sold"&amp;"S1"&amp;I$39&amp;Hypothèses!$D$17&amp;Hypothèses!$D$18,INDIRECT("'"&amp;Hypothèses!$D$42&amp;"'!$A:$I"),6,FALSE) * I44</f>
        <v>18.08719550470914</v>
      </c>
      <c r="J48" s="68">
        <f ca="1">VLOOKUP("DAenergy_sold"&amp;"S1"&amp;J$39&amp;Hypothèses!$D$17&amp;Hypothèses!$D$18,INDIRECT("'"&amp;Hypothèses!$D$42&amp;"'!$A:$I"),6,FALSE) * J44</f>
        <v>28.789814243689079</v>
      </c>
      <c r="K48" s="68">
        <f ca="1">VLOOKUP("DAenergy_sold"&amp;"S1"&amp;K$39&amp;Hypothèses!$D$17&amp;Hypothèses!$D$18,INDIRECT("'"&amp;Hypothèses!$D$42&amp;"'!$A:$I"),6,FALSE) * K44</f>
        <v>52.602494891208252</v>
      </c>
      <c r="L48" s="68">
        <f ca="1">VLOOKUP("DAenergy_sold"&amp;"S1"&amp;L$39&amp;Hypothèses!$D$17&amp;Hypothèses!$D$18,INDIRECT("'"&amp;Hypothèses!$D$42&amp;"'!$A:$I"),6,FALSE) * L44</f>
        <v>36.434683798349873</v>
      </c>
      <c r="M48" s="68">
        <f ca="1">VLOOKUP("DAenergy_sold"&amp;"S1"&amp;M$39&amp;Hypothèses!$D$17&amp;Hypothèses!$D$18,INDIRECT("'"&amp;Hypothèses!$D$42&amp;"'!$A:$I"),6,FALSE) * M44</f>
        <v>37.159039371905628</v>
      </c>
      <c r="N48" s="68">
        <f ca="1">VLOOKUP("DAenergy_sold"&amp;"S1"&amp;N$39&amp;Hypothèses!$D$17&amp;Hypothèses!$D$18,INDIRECT("'"&amp;Hypothèses!$D$42&amp;"'!$A:$I"),6,FALSE) * N44</f>
        <v>31.22487851521263</v>
      </c>
      <c r="O48" s="68">
        <f ca="1">VLOOKUP("DAenergy_sold"&amp;"S1"&amp;O$39&amp;Hypothèses!$D$17&amp;Hypothèses!$D$18,INDIRECT("'"&amp;Hypothèses!$D$42&amp;"'!$A:$I"),6,FALSE) * O44</f>
        <v>42.754645939757232</v>
      </c>
      <c r="P48" s="68">
        <f ca="1">VLOOKUP("DAenergy_sold"&amp;"S1"&amp;P$39&amp;Hypothèses!$D$17&amp;Hypothèses!$D$18,INDIRECT("'"&amp;Hypothèses!$D$42&amp;"'!$A:$I"),6,FALSE) * P44</f>
        <v>32.272869572105932</v>
      </c>
      <c r="Q48" s="68">
        <f ca="1">VLOOKUP("DAenergy_sold"&amp;"S1"&amp;Q$39&amp;Hypothèses!$D$17&amp;Hypothèses!$D$18,INDIRECT("'"&amp;Hypothèses!$D$42&amp;"'!$A:$I"),6,FALSE) * Q44</f>
        <v>53.403114431235117</v>
      </c>
      <c r="R48" s="68">
        <f ca="1">VLOOKUP("DAenergy_sold"&amp;"S1"&amp;R$39&amp;Hypothèses!$D$17&amp;Hypothèses!$D$18,INDIRECT("'"&amp;Hypothèses!$D$42&amp;"'!$A:$I"),6,FALSE) * R44</f>
        <v>43.634886943237419</v>
      </c>
      <c r="S48" s="68">
        <f ca="1">VLOOKUP("DAenergy_sold"&amp;"S1"&amp;S$39&amp;Hypothèses!$D$17&amp;Hypothèses!$D$18,INDIRECT("'"&amp;Hypothèses!$D$42&amp;"'!$A:$I"),6,FALSE) * S44</f>
        <v>111.6739692639795</v>
      </c>
      <c r="T48" s="68">
        <f ca="1">VLOOKUP("DAenergy_sold"&amp;"S1"&amp;T$39&amp;Hypothèses!$D$17&amp;Hypothèses!$D$18,INDIRECT("'"&amp;Hypothèses!$D$42&amp;"'!$A:$I"),6,FALSE) * T44</f>
        <v>164.17868813046991</v>
      </c>
      <c r="U48" s="68" t="e">
        <f ca="1">VLOOKUP("DAenergy_sold"&amp;"S1"&amp;U$39&amp;Hypothèses!$D$17&amp;Hypothèses!$D$18,INDIRECT("'"&amp;Hypothèses!$D$42&amp;"'!$A:$I"),6,FALSE) * U44</f>
        <v>#N/A</v>
      </c>
      <c r="V48" s="68" t="e">
        <f ca="1">VLOOKUP("DAenergy_sold"&amp;"S1"&amp;V$39&amp;Hypothèses!$D$17&amp;Hypothèses!$D$18,INDIRECT("'"&amp;Hypothèses!$D$42&amp;"'!$A:$I"),6,FALSE) * V44</f>
        <v>#N/A</v>
      </c>
      <c r="W48" s="68" t="e">
        <f ca="1">VLOOKUP("DAenergy_sold"&amp;"S1"&amp;W$39&amp;Hypothèses!$D$17&amp;Hypothèses!$D$18,INDIRECT("'"&amp;Hypothèses!$D$42&amp;"'!$A:$I"),6,FALSE) * W44</f>
        <v>#N/A</v>
      </c>
      <c r="X48" s="68" t="e">
        <f ca="1">VLOOKUP("DAenergy_sold"&amp;"S1"&amp;X$39&amp;Hypothèses!$D$17&amp;Hypothèses!$D$18,INDIRECT("'"&amp;Hypothèses!$D$42&amp;"'!$A:$I"),6,FALSE) * X44</f>
        <v>#N/A</v>
      </c>
      <c r="Y48" s="68" t="e">
        <f ca="1">VLOOKUP("DAenergy_sold"&amp;"S1"&amp;Y$39&amp;Hypothèses!$D$17&amp;Hypothèses!$D$18,INDIRECT("'"&amp;Hypothèses!$D$42&amp;"'!$A:$I"),6,FALSE) * Y44</f>
        <v>#N/A</v>
      </c>
      <c r="Z48" s="68" t="e">
        <f ca="1">VLOOKUP("DAenergy_sold"&amp;"S1"&amp;Z$39&amp;Hypothèses!$D$17&amp;Hypothèses!$D$18,INDIRECT("'"&amp;Hypothèses!$D$42&amp;"'!$A:$I"),6,FALSE) * Z44</f>
        <v>#N/A</v>
      </c>
      <c r="AA48" s="68" t="e">
        <f ca="1">VLOOKUP("DAenergy_sold"&amp;"S1"&amp;AA$39&amp;Hypothèses!$D$17&amp;Hypothèses!$D$18,INDIRECT("'"&amp;Hypothèses!$D$42&amp;"'!$A:$I"),6,FALSE) * AA44</f>
        <v>#N/A</v>
      </c>
      <c r="AB48" s="68" t="e">
        <f ca="1">VLOOKUP("DAenergy_sold"&amp;"S1"&amp;AB$39&amp;Hypothèses!$D$17&amp;Hypothèses!$D$18,INDIRECT("'"&amp;Hypothèses!$D$42&amp;"'!$A:$I"),6,FALSE) * AB44</f>
        <v>#N/A</v>
      </c>
      <c r="AC48" s="68" t="e">
        <f ca="1">VLOOKUP("DAenergy_sold"&amp;"S1"&amp;AC$39&amp;Hypothèses!$D$17&amp;Hypothèses!$D$18,INDIRECT("'"&amp;Hypothèses!$D$42&amp;"'!$A:$I"),6,FALSE) * AC44</f>
        <v>#N/A</v>
      </c>
      <c r="AD48" s="68" t="e">
        <f ca="1">VLOOKUP("DAenergy_sold"&amp;"S1"&amp;AD$39&amp;Hypothèses!$D$17&amp;Hypothèses!$D$18,INDIRECT("'"&amp;Hypothèses!$D$42&amp;"'!$A:$I"),6,FALSE) * AD44</f>
        <v>#N/A</v>
      </c>
      <c r="AE48" s="68" t="e">
        <f ca="1">VLOOKUP("DAenergy_sold"&amp;"S1"&amp;AE$39&amp;Hypothèses!$D$17&amp;Hypothèses!$D$18,INDIRECT("'"&amp;Hypothèses!$D$42&amp;"'!$A:$I"),6,FALSE) * AE44</f>
        <v>#N/A</v>
      </c>
      <c r="AF48" s="68" t="e">
        <f ca="1">VLOOKUP("DAenergy_sold"&amp;"S1"&amp;AF$39&amp;Hypothèses!$D$17&amp;Hypothèses!$D$18,INDIRECT("'"&amp;Hypothèses!$D$42&amp;"'!$A:$I"),6,FALSE) * AF44</f>
        <v>#N/A</v>
      </c>
      <c r="AG48" s="68" t="e">
        <f ca="1">VLOOKUP("DAenergy_sold"&amp;"S1"&amp;AG$39&amp;Hypothèses!$D$17&amp;Hypothèses!$D$18,INDIRECT("'"&amp;Hypothèses!$D$42&amp;"'!$A:$I"),6,FALSE) * AG44</f>
        <v>#N/A</v>
      </c>
    </row>
    <row r="49" spans="2:34" ht="14.5" x14ac:dyDescent="0.35">
      <c r="B49" s="84" t="s">
        <v>26</v>
      </c>
      <c r="C49" s="10"/>
      <c r="D49" s="68"/>
      <c r="E49" s="135" t="e">
        <f t="shared" ref="E49" ca="1" si="32">E48/D48-1</f>
        <v>#DIV/0!</v>
      </c>
      <c r="F49" s="135" t="e">
        <f t="shared" ref="F49" ca="1" si="33">F48/E48-1</f>
        <v>#DIV/0!</v>
      </c>
      <c r="G49" s="135" t="e">
        <f t="shared" ref="G49" ca="1" si="34">G48/F48-1</f>
        <v>#DIV/0!</v>
      </c>
      <c r="H49" s="135">
        <f t="shared" ref="H49" ca="1" si="35">H48/G48-1</f>
        <v>711460.67433396098</v>
      </c>
      <c r="I49" s="135">
        <f t="shared" ref="I49" ca="1" si="36">I48/H48-1</f>
        <v>15.449016058202606</v>
      </c>
      <c r="J49" s="135">
        <f t="shared" ref="J49" ca="1" si="37">J48/I48-1</f>
        <v>0.59172350606778323</v>
      </c>
      <c r="K49" s="135">
        <f t="shared" ref="K49" ca="1" si="38">K48/J48-1</f>
        <v>0.82712171902043696</v>
      </c>
      <c r="L49" s="135">
        <f t="shared" ref="L49" ca="1" si="39">L48/K48-1</f>
        <v>-0.30735825603512568</v>
      </c>
      <c r="M49" s="135">
        <f t="shared" ref="M49" ca="1" si="40">M48/L48-1</f>
        <v>1.9880934813782059E-2</v>
      </c>
      <c r="N49" s="135">
        <f t="shared" ref="N49" ca="1" si="41">N48/M48-1</f>
        <v>-0.15969629347252623</v>
      </c>
      <c r="O49" s="135">
        <f t="shared" ref="O49" ca="1" si="42">O48/N48-1</f>
        <v>0.36924939256136247</v>
      </c>
      <c r="P49" s="135">
        <f t="shared" ref="P49" ca="1" si="43">P48/O48-1</f>
        <v>-0.24516110792779067</v>
      </c>
      <c r="Q49" s="135">
        <f t="shared" ref="Q49" ca="1" si="44">Q48/P48-1</f>
        <v>0.65473709463358243</v>
      </c>
      <c r="R49" s="135">
        <f t="shared" ref="R49" ca="1" si="45">R48/Q48-1</f>
        <v>-0.18291494029951794</v>
      </c>
      <c r="S49" s="135">
        <f t="shared" ref="S49" ca="1" si="46">S48/R48-1</f>
        <v>1.5592817373229577</v>
      </c>
      <c r="T49" s="135">
        <f t="shared" ref="T49" ca="1" si="47">T48/S48-1</f>
        <v>0.47016076541864105</v>
      </c>
      <c r="U49" s="135" t="e">
        <f t="shared" ref="U49" ca="1" si="48">U48/T48-1</f>
        <v>#N/A</v>
      </c>
      <c r="V49" s="135" t="e">
        <f t="shared" ref="V49" ca="1" si="49">V48/U48-1</f>
        <v>#N/A</v>
      </c>
      <c r="W49" s="135" t="e">
        <f t="shared" ref="W49" ca="1" si="50">W48/V48-1</f>
        <v>#N/A</v>
      </c>
      <c r="X49" s="135" t="e">
        <f t="shared" ref="X49" ca="1" si="51">X48/W48-1</f>
        <v>#N/A</v>
      </c>
      <c r="Y49" s="135" t="e">
        <f t="shared" ref="Y49" ca="1" si="52">Y48/X48-1</f>
        <v>#N/A</v>
      </c>
      <c r="Z49" s="135" t="e">
        <f t="shared" ref="Z49" ca="1" si="53">Z48/Y48-1</f>
        <v>#N/A</v>
      </c>
      <c r="AA49" s="135" t="e">
        <f t="shared" ref="AA49" ca="1" si="54">AA48/Z48-1</f>
        <v>#N/A</v>
      </c>
      <c r="AB49" s="135" t="e">
        <f t="shared" ref="AB49" ca="1" si="55">AB48/AA48-1</f>
        <v>#N/A</v>
      </c>
      <c r="AC49" s="135" t="e">
        <f t="shared" ref="AC49" ca="1" si="56">AC48/AB48-1</f>
        <v>#N/A</v>
      </c>
      <c r="AD49" s="135" t="e">
        <f t="shared" ref="AD49" ca="1" si="57">AD48/AC48-1</f>
        <v>#N/A</v>
      </c>
      <c r="AE49" s="135" t="e">
        <f t="shared" ref="AE49" ca="1" si="58">AE48/AD48-1</f>
        <v>#N/A</v>
      </c>
      <c r="AF49" s="135" t="e">
        <f t="shared" ref="AF49" ca="1" si="59">AF48/AE48-1</f>
        <v>#N/A</v>
      </c>
      <c r="AG49" s="135" t="e">
        <f ca="1">AG48/AF48-1</f>
        <v>#N/A</v>
      </c>
    </row>
    <row r="50" spans="2:34" ht="14.5" x14ac:dyDescent="0.35">
      <c r="B50" s="84" t="s">
        <v>119</v>
      </c>
      <c r="C50" s="10"/>
      <c r="D50" s="68">
        <f ca="1">VLOOKUP("Dahours_sold"&amp;"S1"&amp;D$39&amp;Hypothèses!$D$17&amp;Hypothèses!$D$18,INDIRECT("'"&amp;Hypothèses!$D$42&amp;"'!$A:$I"),6,FALSE) * D44</f>
        <v>0</v>
      </c>
      <c r="E50" s="68">
        <f ca="1">VLOOKUP("Dahours_sold"&amp;"S1"&amp;E$39&amp;Hypothèses!$D$17&amp;Hypothèses!$D$18,INDIRECT("'"&amp;Hypothèses!$D$42&amp;"'!$A:$I"),6,FALSE) * E44</f>
        <v>0</v>
      </c>
      <c r="F50" s="68">
        <f ca="1">VLOOKUP("Dahours_sold"&amp;"S1"&amp;F$39&amp;Hypothèses!$D$17&amp;Hypothèses!$D$18,INDIRECT("'"&amp;Hypothèses!$D$42&amp;"'!$A:$I"),6,FALSE) * F44</f>
        <v>0</v>
      </c>
      <c r="G50" s="68">
        <f ca="1">VLOOKUP("Dahours_sold"&amp;"S1"&amp;G$39&amp;Hypothèses!$D$17&amp;Hypothèses!$D$18,INDIRECT("'"&amp;Hypothèses!$D$42&amp;"'!$A:$I"),6,FALSE) * G44</f>
        <v>0</v>
      </c>
      <c r="H50" s="68">
        <f ca="1">VLOOKUP("Dahours_sold"&amp;"S1"&amp;H$39&amp;Hypothèses!$D$17&amp;Hypothèses!$D$18,INDIRECT("'"&amp;Hypothèses!$D$42&amp;"'!$A:$I"),6,FALSE) * H44</f>
        <v>1</v>
      </c>
      <c r="I50" s="68">
        <f ca="1">VLOOKUP("Dahours_sold"&amp;"S1"&amp;I$39&amp;Hypothèses!$D$17&amp;Hypothèses!$D$18,INDIRECT("'"&amp;Hypothèses!$D$42&amp;"'!$A:$I"),6,FALSE) * I44</f>
        <v>38</v>
      </c>
      <c r="J50" s="68">
        <f ca="1">VLOOKUP("Dahours_sold"&amp;"S1"&amp;J$39&amp;Hypothèses!$D$17&amp;Hypothèses!$D$18,INDIRECT("'"&amp;Hypothèses!$D$42&amp;"'!$A:$I"),6,FALSE) * J44</f>
        <v>69</v>
      </c>
      <c r="K50" s="68">
        <f ca="1">VLOOKUP("Dahours_sold"&amp;"S1"&amp;K$39&amp;Hypothèses!$D$17&amp;Hypothèses!$D$18,INDIRECT("'"&amp;Hypothèses!$D$42&amp;"'!$A:$I"),6,FALSE) * K44</f>
        <v>95</v>
      </c>
      <c r="L50" s="68">
        <f ca="1">VLOOKUP("Dahours_sold"&amp;"S1"&amp;L$39&amp;Hypothèses!$D$17&amp;Hypothèses!$D$18,INDIRECT("'"&amp;Hypothèses!$D$42&amp;"'!$A:$I"),6,FALSE) * L44</f>
        <v>72</v>
      </c>
      <c r="M50" s="68">
        <f ca="1">VLOOKUP("Dahours_sold"&amp;"S1"&amp;M$39&amp;Hypothèses!$D$17&amp;Hypothèses!$D$18,INDIRECT("'"&amp;Hypothèses!$D$42&amp;"'!$A:$I"),6,FALSE) * M44</f>
        <v>76</v>
      </c>
      <c r="N50" s="68">
        <f ca="1">VLOOKUP("Dahours_sold"&amp;"S1"&amp;N$39&amp;Hypothèses!$D$17&amp;Hypothèses!$D$18,INDIRECT("'"&amp;Hypothèses!$D$42&amp;"'!$A:$I"),6,FALSE) * N44</f>
        <v>73</v>
      </c>
      <c r="O50" s="68">
        <f ca="1">VLOOKUP("Dahours_sold"&amp;"S1"&amp;O$39&amp;Hypothèses!$D$17&amp;Hypothèses!$D$18,INDIRECT("'"&amp;Hypothèses!$D$42&amp;"'!$A:$I"),6,FALSE) * O44</f>
        <v>111</v>
      </c>
      <c r="P50" s="68">
        <f ca="1">VLOOKUP("Dahours_sold"&amp;"S1"&amp;P$39&amp;Hypothèses!$D$17&amp;Hypothèses!$D$18,INDIRECT("'"&amp;Hypothèses!$D$42&amp;"'!$A:$I"),6,FALSE) * P44</f>
        <v>89</v>
      </c>
      <c r="Q50" s="68">
        <f ca="1">VLOOKUP("Dahours_sold"&amp;"S1"&amp;Q$39&amp;Hypothèses!$D$17&amp;Hypothèses!$D$18,INDIRECT("'"&amp;Hypothèses!$D$42&amp;"'!$A:$I"),6,FALSE) * Q44</f>
        <v>126</v>
      </c>
      <c r="R50" s="68">
        <f ca="1">VLOOKUP("Dahours_sold"&amp;"S1"&amp;R$39&amp;Hypothèses!$D$17&amp;Hypothèses!$D$18,INDIRECT("'"&amp;Hypothèses!$D$42&amp;"'!$A:$I"),6,FALSE) * R44</f>
        <v>103</v>
      </c>
      <c r="S50" s="68">
        <f ca="1">VLOOKUP("Dahours_sold"&amp;"S1"&amp;S$39&amp;Hypothèses!$D$17&amp;Hypothèses!$D$18,INDIRECT("'"&amp;Hypothèses!$D$42&amp;"'!$A:$I"),6,FALSE) * S44</f>
        <v>223</v>
      </c>
      <c r="T50" s="68">
        <f ca="1">VLOOKUP("Dahours_sold"&amp;"S1"&amp;T$39&amp;Hypothèses!$D$17&amp;Hypothèses!$D$18,INDIRECT("'"&amp;Hypothèses!$D$42&amp;"'!$A:$I"),6,FALSE) * T44</f>
        <v>254</v>
      </c>
      <c r="U50" s="68" t="e">
        <f ca="1">VLOOKUP("Dahours_sold"&amp;"S1"&amp;U$39&amp;Hypothèses!$D$17&amp;Hypothèses!$D$18,INDIRECT("'"&amp;Hypothèses!$D$42&amp;"'!$A:$I"),6,FALSE) * U44</f>
        <v>#N/A</v>
      </c>
      <c r="V50" s="68" t="e">
        <f ca="1">VLOOKUP("Dahours_sold"&amp;"S1"&amp;V$39&amp;Hypothèses!$D$17&amp;Hypothèses!$D$18,INDIRECT("'"&amp;Hypothèses!$D$42&amp;"'!$A:$I"),6,FALSE) * V44</f>
        <v>#N/A</v>
      </c>
      <c r="W50" s="68" t="e">
        <f ca="1">VLOOKUP("Dahours_sold"&amp;"S1"&amp;W$39&amp;Hypothèses!$D$17&amp;Hypothèses!$D$18,INDIRECT("'"&amp;Hypothèses!$D$42&amp;"'!$A:$I"),6,FALSE) * W44</f>
        <v>#N/A</v>
      </c>
      <c r="X50" s="68" t="e">
        <f ca="1">VLOOKUP("Dahours_sold"&amp;"S1"&amp;X$39&amp;Hypothèses!$D$17&amp;Hypothèses!$D$18,INDIRECT("'"&amp;Hypothèses!$D$42&amp;"'!$A:$I"),6,FALSE) * X44</f>
        <v>#N/A</v>
      </c>
      <c r="Y50" s="68" t="e">
        <f ca="1">VLOOKUP("Dahours_sold"&amp;"S1"&amp;Y$39&amp;Hypothèses!$D$17&amp;Hypothèses!$D$18,INDIRECT("'"&amp;Hypothèses!$D$42&amp;"'!$A:$I"),6,FALSE) * Y44</f>
        <v>#N/A</v>
      </c>
      <c r="Z50" s="68" t="e">
        <f ca="1">VLOOKUP("Dahours_sold"&amp;"S1"&amp;Z$39&amp;Hypothèses!$D$17&amp;Hypothèses!$D$18,INDIRECT("'"&amp;Hypothèses!$D$42&amp;"'!$A:$I"),6,FALSE) * Z44</f>
        <v>#N/A</v>
      </c>
      <c r="AA50" s="68" t="e">
        <f ca="1">VLOOKUP("Dahours_sold"&amp;"S1"&amp;AA$39&amp;Hypothèses!$D$17&amp;Hypothèses!$D$18,INDIRECT("'"&amp;Hypothèses!$D$42&amp;"'!$A:$I"),6,FALSE) * AA44</f>
        <v>#N/A</v>
      </c>
      <c r="AB50" s="68" t="e">
        <f ca="1">VLOOKUP("Dahours_sold"&amp;"S1"&amp;AB$39&amp;Hypothèses!$D$17&amp;Hypothèses!$D$18,INDIRECT("'"&amp;Hypothèses!$D$42&amp;"'!$A:$I"),6,FALSE) * AB44</f>
        <v>#N/A</v>
      </c>
      <c r="AC50" s="68" t="e">
        <f ca="1">VLOOKUP("Dahours_sold"&amp;"S1"&amp;AC$39&amp;Hypothèses!$D$17&amp;Hypothèses!$D$18,INDIRECT("'"&amp;Hypothèses!$D$42&amp;"'!$A:$I"),6,FALSE) * AC44</f>
        <v>#N/A</v>
      </c>
      <c r="AD50" s="68" t="e">
        <f ca="1">VLOOKUP("Dahours_sold"&amp;"S1"&amp;AD$39&amp;Hypothèses!$D$17&amp;Hypothèses!$D$18,INDIRECT("'"&amp;Hypothèses!$D$42&amp;"'!$A:$I"),6,FALSE) * AD44</f>
        <v>#N/A</v>
      </c>
      <c r="AE50" s="68" t="e">
        <f ca="1">VLOOKUP("Dahours_sold"&amp;"S1"&amp;AE$39&amp;Hypothèses!$D$17&amp;Hypothèses!$D$18,INDIRECT("'"&amp;Hypothèses!$D$42&amp;"'!$A:$I"),6,FALSE) * AE44</f>
        <v>#N/A</v>
      </c>
      <c r="AF50" s="68" t="e">
        <f ca="1">VLOOKUP("Dahours_sold"&amp;"S1"&amp;AF$39&amp;Hypothèses!$D$17&amp;Hypothèses!$D$18,INDIRECT("'"&amp;Hypothèses!$D$42&amp;"'!$A:$I"),6,FALSE) * AF44</f>
        <v>#N/A</v>
      </c>
      <c r="AG50" s="68" t="e">
        <f ca="1">VLOOKUP("Dahours_sold"&amp;"S1"&amp;AG$39&amp;Hypothèses!$D$17&amp;Hypothèses!$D$18,INDIRECT("'"&amp;Hypothèses!$D$42&amp;"'!$A:$I"),6,FALSE) * AG44</f>
        <v>#N/A</v>
      </c>
    </row>
    <row r="51" spans="2:34" x14ac:dyDescent="0.3">
      <c r="B51" s="10" t="s">
        <v>135</v>
      </c>
      <c r="C51" s="10"/>
      <c r="D51" s="71">
        <f ca="1">VLOOKUP("DAcost"&amp;"S1"&amp;D$39&amp;Hypothèses!$D$17&amp;Hypothèses!$D$18,INDIRECT("'"&amp;Hypothèses!$D$42&amp;"'!$A:$I"),6,FALSE)*(1+$C$37)^C43 * D44</f>
        <v>1264.2798026747209</v>
      </c>
      <c r="E51" s="71">
        <f ca="1">VLOOKUP("DAcost"&amp;"S1"&amp;E$39&amp;Hypothèses!$D$17&amp;Hypothèses!$D$18,INDIRECT("'"&amp;Hypothèses!$D$42&amp;"'!$A:$I"),6,FALSE)*(1+$C$37)^D43 * E44</f>
        <v>1139.9607018166853</v>
      </c>
      <c r="F51" s="71">
        <f ca="1">VLOOKUP("DAcost"&amp;"S1"&amp;F$39&amp;Hypothèses!$D$17&amp;Hypothèses!$D$18,INDIRECT("'"&amp;Hypothèses!$D$42&amp;"'!$A:$I"),6,FALSE)*(1+$C$37)^E43 * F44</f>
        <v>856.735566385933</v>
      </c>
      <c r="G51" s="71">
        <f ca="1">VLOOKUP("DAcost"&amp;"S1"&amp;G$39&amp;Hypothèses!$D$17&amp;Hypothèses!$D$18,INDIRECT("'"&amp;Hypothèses!$D$42&amp;"'!$A:$I"),6,FALSE)*(1+$C$37)^F43 * G44</f>
        <v>772.62476791475081</v>
      </c>
      <c r="H51" s="71">
        <f ca="1">VLOOKUP("DAcost"&amp;"S1"&amp;H$39&amp;Hypothèses!$D$17&amp;Hypothèses!$D$18,INDIRECT("'"&amp;Hypothèses!$D$42&amp;"'!$A:$I"),6,FALSE)*(1+$C$37)^G43 * H44</f>
        <v>708.64247390136131</v>
      </c>
      <c r="I51" s="71">
        <f ca="1">VLOOKUP("DAcost"&amp;"S1"&amp;I$39&amp;Hypothèses!$D$17&amp;Hypothèses!$D$18,INDIRECT("'"&amp;Hypothèses!$D$42&amp;"'!$A:$I"),6,FALSE)*(1+$C$37)^H43 * I44</f>
        <v>1717.3091695512576</v>
      </c>
      <c r="J51" s="71">
        <f ca="1">VLOOKUP("DAcost"&amp;"S1"&amp;J$39&amp;Hypothèses!$D$17&amp;Hypothèses!$D$18,INDIRECT("'"&amp;Hypothèses!$D$42&amp;"'!$A:$I"),6,FALSE)*(1+$C$37)^I43 * J44</f>
        <v>1902.4288199570915</v>
      </c>
      <c r="K51" s="71">
        <f ca="1">VLOOKUP("DAcost"&amp;"S1"&amp;K$39&amp;Hypothèses!$D$17&amp;Hypothèses!$D$18,INDIRECT("'"&amp;Hypothèses!$D$42&amp;"'!$A:$I"),6,FALSE)*(1+$C$37)^J43 * K44</f>
        <v>3341.3687239434862</v>
      </c>
      <c r="L51" s="71">
        <f ca="1">VLOOKUP("DAcost"&amp;"S1"&amp;L$39&amp;Hypothèses!$D$17&amp;Hypothèses!$D$18,INDIRECT("'"&amp;Hypothèses!$D$42&amp;"'!$A:$I"),6,FALSE)*(1+$C$37)^K43 * L44</f>
        <v>2370.8534481716069</v>
      </c>
      <c r="M51" s="71">
        <f ca="1">VLOOKUP("DAcost"&amp;"S1"&amp;M$39&amp;Hypothèses!$D$17&amp;Hypothèses!$D$18,INDIRECT("'"&amp;Hypothèses!$D$42&amp;"'!$A:$I"),6,FALSE)*(1+$C$37)^L43 * M44</f>
        <v>2503.156694512837</v>
      </c>
      <c r="N51" s="71">
        <f ca="1">VLOOKUP("DAcost"&amp;"S1"&amp;N$39&amp;Hypothèses!$D$17&amp;Hypothèses!$D$18,INDIRECT("'"&amp;Hypothèses!$D$42&amp;"'!$A:$I"),6,FALSE)*(1+$C$37)^M43 * N44</f>
        <v>2047.9368506339433</v>
      </c>
      <c r="O51" s="71">
        <f ca="1">VLOOKUP("DAcost"&amp;"S1"&amp;O$39&amp;Hypothèses!$D$17&amp;Hypothèses!$D$18,INDIRECT("'"&amp;Hypothèses!$D$42&amp;"'!$A:$I"),6,FALSE)*(1+$C$37)^N43 * O44</f>
        <v>2778.6982568971657</v>
      </c>
      <c r="P51" s="71">
        <f ca="1">VLOOKUP("DAcost"&amp;"S1"&amp;P$39&amp;Hypothèses!$D$17&amp;Hypothèses!$D$18,INDIRECT("'"&amp;Hypothèses!$D$42&amp;"'!$A:$I"),6,FALSE)*(1+$C$37)^O43 * P44</f>
        <v>2197.891943106692</v>
      </c>
      <c r="Q51" s="71">
        <f ca="1">VLOOKUP("DAcost"&amp;"S1"&amp;Q$39&amp;Hypothèses!$D$17&amp;Hypothèses!$D$18,INDIRECT("'"&amp;Hypothèses!$D$42&amp;"'!$A:$I"),6,FALSE)*(1+$C$37)^P43 * Q44</f>
        <v>3221.1060716720422</v>
      </c>
      <c r="R51" s="71">
        <f ca="1">VLOOKUP("DAcost"&amp;"S1"&amp;R$39&amp;Hypothèses!$D$17&amp;Hypothèses!$D$18,INDIRECT("'"&amp;Hypothèses!$D$42&amp;"'!$A:$I"),6,FALSE)*(1+$C$37)^Q43 * R44</f>
        <v>2783.8062315274765</v>
      </c>
      <c r="S51" s="71">
        <f ca="1">VLOOKUP("DAcost"&amp;"S1"&amp;S$39&amp;Hypothèses!$D$17&amp;Hypothèses!$D$18,INDIRECT("'"&amp;Hypothèses!$D$42&amp;"'!$A:$I"),6,FALSE)*(1+$C$37)^R43 * S44</f>
        <v>6432.1809719817684</v>
      </c>
      <c r="T51" s="71">
        <f ca="1">VLOOKUP("DAcost"&amp;"S1"&amp;T$39&amp;Hypothèses!$D$17&amp;Hypothèses!$D$18,INDIRECT("'"&amp;Hypothèses!$D$42&amp;"'!$A:$I"),6,FALSE)*(1+$C$37)^S43 * T44</f>
        <v>9549.9202654229157</v>
      </c>
      <c r="U51" s="71" t="e">
        <f ca="1">VLOOKUP("DAcost"&amp;"S1"&amp;U$39&amp;Hypothèses!$D$17&amp;Hypothèses!$D$18,INDIRECT("'"&amp;Hypothèses!$D$42&amp;"'!$A:$I"),6,FALSE)*(1+$C$37)^T43 * U44</f>
        <v>#N/A</v>
      </c>
      <c r="V51" s="71" t="e">
        <f ca="1">VLOOKUP("DAcost"&amp;"S1"&amp;V$39&amp;Hypothèses!$D$17&amp;Hypothèses!$D$18,INDIRECT("'"&amp;Hypothèses!$D$42&amp;"'!$A:$I"),6,FALSE)*(1+$C$37)^U43 * V44</f>
        <v>#N/A</v>
      </c>
      <c r="W51" s="71" t="e">
        <f ca="1">VLOOKUP("DAcost"&amp;"S1"&amp;W$39&amp;Hypothèses!$D$17&amp;Hypothèses!$D$18,INDIRECT("'"&amp;Hypothèses!$D$42&amp;"'!$A:$I"),6,FALSE)*(1+$C$37)^V43 * W44</f>
        <v>#N/A</v>
      </c>
      <c r="X51" s="71" t="e">
        <f ca="1">VLOOKUP("DAcost"&amp;"S1"&amp;X$39&amp;Hypothèses!$D$17&amp;Hypothèses!$D$18,INDIRECT("'"&amp;Hypothèses!$D$42&amp;"'!$A:$I"),6,FALSE)*(1+$C$37)^W43 * X44</f>
        <v>#N/A</v>
      </c>
      <c r="Y51" s="71" t="e">
        <f ca="1">VLOOKUP("DAcost"&amp;"S1"&amp;Y$39&amp;Hypothèses!$D$17&amp;Hypothèses!$D$18,INDIRECT("'"&amp;Hypothèses!$D$42&amp;"'!$A:$I"),6,FALSE)*(1+$C$37)^X43 * Y44</f>
        <v>#N/A</v>
      </c>
      <c r="Z51" s="71" t="e">
        <f ca="1">VLOOKUP("DAcost"&amp;"S1"&amp;Z$39&amp;Hypothèses!$D$17&amp;Hypothèses!$D$18,INDIRECT("'"&amp;Hypothèses!$D$42&amp;"'!$A:$I"),6,FALSE)*(1+$C$37)^Y43 * Z44</f>
        <v>#N/A</v>
      </c>
      <c r="AA51" s="71" t="e">
        <f ca="1">VLOOKUP("DAcost"&amp;"S1"&amp;AA$39&amp;Hypothèses!$D$17&amp;Hypothèses!$D$18,INDIRECT("'"&amp;Hypothèses!$D$42&amp;"'!$A:$I"),6,FALSE)*(1+$C$37)^Z43 * AA44</f>
        <v>#N/A</v>
      </c>
      <c r="AB51" s="71" t="e">
        <f ca="1">VLOOKUP("DAcost"&amp;"S1"&amp;AB$39&amp;Hypothèses!$D$17&amp;Hypothèses!$D$18,INDIRECT("'"&amp;Hypothèses!$D$42&amp;"'!$A:$I"),6,FALSE)*(1+$C$37)^AA43 * AB44</f>
        <v>#N/A</v>
      </c>
      <c r="AC51" s="71" t="e">
        <f ca="1">VLOOKUP("DAcost"&amp;"S1"&amp;AC$39&amp;Hypothèses!$D$17&amp;Hypothèses!$D$18,INDIRECT("'"&amp;Hypothèses!$D$42&amp;"'!$A:$I"),6,FALSE)*(1+$C$37)^AB43 * AC44</f>
        <v>#N/A</v>
      </c>
      <c r="AD51" s="71" t="e">
        <f ca="1">VLOOKUP("DAcost"&amp;"S1"&amp;AD$39&amp;Hypothèses!$D$17&amp;Hypothèses!$D$18,INDIRECT("'"&amp;Hypothèses!$D$42&amp;"'!$A:$I"),6,FALSE)*(1+$C$37)^AC43 * AD44</f>
        <v>#N/A</v>
      </c>
      <c r="AE51" s="71" t="e">
        <f ca="1">VLOOKUP("DAcost"&amp;"S1"&amp;AE$39&amp;Hypothèses!$D$17&amp;Hypothèses!$D$18,INDIRECT("'"&amp;Hypothèses!$D$42&amp;"'!$A:$I"),6,FALSE)*(1+$C$37)^AD43 * AE44</f>
        <v>#N/A</v>
      </c>
      <c r="AF51" s="71" t="e">
        <f ca="1">VLOOKUP("DAcost"&amp;"S1"&amp;AF$39&amp;Hypothèses!$D$17&amp;Hypothèses!$D$18,INDIRECT("'"&amp;Hypothèses!$D$42&amp;"'!$A:$I"),6,FALSE)*(1+$C$37)^AE43 * AF44</f>
        <v>#N/A</v>
      </c>
      <c r="AG51" s="71" t="e">
        <f ca="1">VLOOKUP("DAcost"&amp;"S1"&amp;AG$39&amp;Hypothèses!$D$17&amp;Hypothèses!$D$18,INDIRECT("'"&amp;Hypothèses!$D$42&amp;"'!$A:$I"),6,FALSE)*(1+$C$37)^AF43 * AG44</f>
        <v>#N/A</v>
      </c>
    </row>
    <row r="52" spans="2:34" ht="14.5" x14ac:dyDescent="0.35">
      <c r="B52" s="26" t="s">
        <v>26</v>
      </c>
      <c r="C52" s="10"/>
      <c r="D52" s="68"/>
      <c r="E52" s="135">
        <f t="shared" ref="E52" ca="1" si="60">E51/D51-1</f>
        <v>-9.8331951989603206E-2</v>
      </c>
      <c r="F52" s="135">
        <f t="shared" ref="F52" ca="1" si="61">F51/E51-1</f>
        <v>-0.2484516659033893</v>
      </c>
      <c r="G52" s="135">
        <f t="shared" ref="G52" ca="1" si="62">G51/F51-1</f>
        <v>-9.8175915383082013E-2</v>
      </c>
      <c r="H52" s="135">
        <f t="shared" ref="H52" ca="1" si="63">H51/G51-1</f>
        <v>-8.2811601013092484E-2</v>
      </c>
      <c r="I52" s="135">
        <f t="shared" ref="I52" ca="1" si="64">I51/H51-1</f>
        <v>1.4233788303667168</v>
      </c>
      <c r="J52" s="135">
        <f t="shared" ref="J52" ca="1" si="65">J51/I51-1</f>
        <v>0.10779634423905549</v>
      </c>
      <c r="K52" s="135">
        <f t="shared" ref="K52" ca="1" si="66">K51/J51-1</f>
        <v>0.75636990403606763</v>
      </c>
      <c r="L52" s="135">
        <f t="shared" ref="L52" ca="1" si="67">L51/K51-1</f>
        <v>-0.29045440834391856</v>
      </c>
      <c r="M52" s="135">
        <f t="shared" ref="M52" ca="1" si="68">M51/L51-1</f>
        <v>5.5804059269568773E-2</v>
      </c>
      <c r="N52" s="135">
        <f t="shared" ref="N52" ca="1" si="69">N51/M51-1</f>
        <v>-0.18185830910097633</v>
      </c>
      <c r="O52" s="135">
        <f t="shared" ref="O52" ca="1" si="70">O51/N51-1</f>
        <v>0.35682809557189898</v>
      </c>
      <c r="P52" s="135">
        <f t="shared" ref="P52" ca="1" si="71">P51/O51-1</f>
        <v>-0.20902100915377231</v>
      </c>
      <c r="Q52" s="135">
        <f t="shared" ref="Q52" ca="1" si="72">Q51/P51-1</f>
        <v>0.46554341844442559</v>
      </c>
      <c r="R52" s="135">
        <f t="shared" ref="R52" ca="1" si="73">R51/Q51-1</f>
        <v>-0.13576076987665542</v>
      </c>
      <c r="S52" s="135">
        <f t="shared" ref="S52" ca="1" si="74">S51/R51-1</f>
        <v>1.3105706493272797</v>
      </c>
      <c r="T52" s="135">
        <f t="shared" ref="T52" ca="1" si="75">T51/S51-1</f>
        <v>0.48470951097642478</v>
      </c>
      <c r="U52" s="135" t="e">
        <f t="shared" ref="U52" ca="1" si="76">U51/T51-1</f>
        <v>#N/A</v>
      </c>
      <c r="V52" s="135" t="e">
        <f t="shared" ref="V52" ca="1" si="77">V51/U51-1</f>
        <v>#N/A</v>
      </c>
      <c r="W52" s="135" t="e">
        <f t="shared" ref="W52" ca="1" si="78">W51/V51-1</f>
        <v>#N/A</v>
      </c>
      <c r="X52" s="135" t="e">
        <f t="shared" ref="X52" ca="1" si="79">X51/W51-1</f>
        <v>#N/A</v>
      </c>
      <c r="Y52" s="135" t="e">
        <f t="shared" ref="Y52" ca="1" si="80">Y51/X51-1</f>
        <v>#N/A</v>
      </c>
      <c r="Z52" s="135" t="e">
        <f t="shared" ref="Z52" ca="1" si="81">Z51/Y51-1</f>
        <v>#N/A</v>
      </c>
      <c r="AA52" s="135" t="e">
        <f t="shared" ref="AA52" ca="1" si="82">AA51/Z51-1</f>
        <v>#N/A</v>
      </c>
      <c r="AB52" s="135" t="e">
        <f t="shared" ref="AB52" ca="1" si="83">AB51/AA51-1</f>
        <v>#N/A</v>
      </c>
      <c r="AC52" s="135" t="e">
        <f t="shared" ref="AC52" ca="1" si="84">AC51/AB51-1</f>
        <v>#N/A</v>
      </c>
      <c r="AD52" s="135" t="e">
        <f t="shared" ref="AD52" ca="1" si="85">AD51/AC51-1</f>
        <v>#N/A</v>
      </c>
      <c r="AE52" s="135" t="e">
        <f t="shared" ref="AE52" ca="1" si="86">AE51/AD51-1</f>
        <v>#N/A</v>
      </c>
      <c r="AF52" s="135" t="e">
        <f t="shared" ref="AF52" ca="1" si="87">AF51/AE51-1</f>
        <v>#N/A</v>
      </c>
      <c r="AG52" s="135" t="e">
        <f t="shared" ref="AG52" ca="1" si="88">AG51/AF51-1</f>
        <v>#N/A</v>
      </c>
    </row>
    <row r="53" spans="2:34" x14ac:dyDescent="0.3">
      <c r="B53" s="10" t="s">
        <v>136</v>
      </c>
      <c r="C53" s="10"/>
      <c r="D53" s="68">
        <f ca="1">VLOOKUP("DAenergy_bought"&amp;"S1"&amp;D$39&amp;Hypothèses!$D$17&amp;Hypothèses!$D$18,INDIRECT("'"&amp;Hypothèses!$D$42&amp;"'!$A:$I"),6,FALSE) * D44</f>
        <v>7.2997826430709569</v>
      </c>
      <c r="E53" s="68">
        <f ca="1">VLOOKUP("DAenergy_bought"&amp;"S1"&amp;E$39&amp;Hypothèses!$D$17&amp;Hypothèses!$D$18,INDIRECT("'"&amp;Hypothèses!$D$42&amp;"'!$A:$I"),6,FALSE) * E44</f>
        <v>7.1170685181398436</v>
      </c>
      <c r="F53" s="68">
        <f ca="1">VLOOKUP("DAenergy_bought"&amp;"S1"&amp;F$39&amp;Hypothèses!$D$17&amp;Hypothèses!$D$18,INDIRECT("'"&amp;Hypothèses!$D$42&amp;"'!$A:$I"),6,FALSE) * F44</f>
        <v>6.9389075072560651</v>
      </c>
      <c r="G53" s="68">
        <f ca="1">VLOOKUP("DAenergy_bought"&amp;"S1"&amp;G$39&amp;Hypothèses!$D$17&amp;Hypothèses!$D$18,INDIRECT("'"&amp;Hypothèses!$D$42&amp;"'!$A:$I"),6,FALSE) * G44</f>
        <v>6.7654050297660397</v>
      </c>
      <c r="H53" s="68">
        <f ca="1">VLOOKUP("DAenergy_bought"&amp;"S1"&amp;H$39&amp;Hypothèses!$D$17&amp;Hypothèses!$D$18,INDIRECT("'"&amp;Hypothèses!$D$42&amp;"'!$A:$I"),6,FALSE) * H44</f>
        <v>7.9523189880184626</v>
      </c>
      <c r="I53" s="68">
        <f ca="1">VLOOKUP("DAenergy_bought"&amp;"S1"&amp;I$39&amp;Hypothèses!$D$17&amp;Hypothèses!$D$18,INDIRECT("'"&amp;Hypothèses!$D$42&amp;"'!$A:$I"),6,FALSE) * I44</f>
        <v>28.758139206116589</v>
      </c>
      <c r="J53" s="68">
        <f ca="1">VLOOKUP("DAenergy_bought"&amp;"S1"&amp;J$39&amp;Hypothèses!$D$17&amp;Hypothèses!$D$18,INDIRECT("'"&amp;Hypothèses!$D$42&amp;"'!$A:$I"),6,FALSE) * J44</f>
        <v>41.80130681934935</v>
      </c>
      <c r="K53" s="68">
        <f ca="1">VLOOKUP("DAenergy_bought"&amp;"S1"&amp;K$39&amp;Hypothèses!$D$17&amp;Hypothèses!$D$18,INDIRECT("'"&amp;Hypothèses!$D$42&amp;"'!$A:$I"),6,FALSE) * K44</f>
        <v>71.022295083093994</v>
      </c>
      <c r="L53" s="68">
        <f ca="1">VLOOKUP("DAenergy_bought"&amp;"S1"&amp;L$39&amp;Hypothèses!$D$17&amp;Hypothèses!$D$18,INDIRECT("'"&amp;Hypothèses!$D$42&amp;"'!$A:$I"),6,FALSE) * L44</f>
        <v>50.898623727160697</v>
      </c>
      <c r="M53" s="68">
        <f ca="1">VLOOKUP("DAenergy_bought"&amp;"S1"&amp;M$39&amp;Hypothèses!$D$17&amp;Hypothèses!$D$18,INDIRECT("'"&amp;Hypothèses!$D$42&amp;"'!$A:$I"),6,FALSE) * M44</f>
        <v>51.656636974768858</v>
      </c>
      <c r="N53" s="68">
        <f ca="1">VLOOKUP("DAenergy_bought"&amp;"S1"&amp;N$39&amp;Hypothèses!$D$17&amp;Hypothèses!$D$18,INDIRECT("'"&amp;Hypothèses!$D$42&amp;"'!$A:$I"),6,FALSE) * N44</f>
        <v>44.198422066356038</v>
      </c>
      <c r="O53" s="68">
        <f ca="1">VLOOKUP("DAenergy_bought"&amp;"S1"&amp;O$39&amp;Hypothèses!$D$17&amp;Hypothèses!$D$18,INDIRECT("'"&amp;Hypothèses!$D$42&amp;"'!$A:$I"),6,FALSE) * O44</f>
        <v>58.310304804044883</v>
      </c>
      <c r="P53" s="68">
        <f ca="1">VLOOKUP("DAenergy_bought"&amp;"S1"&amp;P$39&amp;Hypothèses!$D$17&amp;Hypothèses!$D$18,INDIRECT("'"&amp;Hypothèses!$D$42&amp;"'!$A:$I"),6,FALSE) * P44</f>
        <v>45.229344652028097</v>
      </c>
      <c r="Q53" s="68">
        <f ca="1">VLOOKUP("DAenergy_bought"&amp;"S1"&amp;Q$39&amp;Hypothèses!$D$17&amp;Hypothèses!$D$18,INDIRECT("'"&amp;Hypothèses!$D$42&amp;"'!$A:$I"),6,FALSE) * Q44</f>
        <v>71.200966902640246</v>
      </c>
      <c r="R53" s="68">
        <f ca="1">VLOOKUP("DAenergy_bought"&amp;"S1"&amp;R$39&amp;Hypothèses!$D$17&amp;Hypothèses!$D$18,INDIRECT("'"&amp;Hypothèses!$D$42&amp;"'!$A:$I"),6,FALSE) * R44</f>
        <v>59.009134199659051</v>
      </c>
      <c r="S53" s="68">
        <f ca="1">VLOOKUP("DAenergy_bought"&amp;"S1"&amp;S$39&amp;Hypothèses!$D$17&amp;Hypothèses!$D$18,INDIRECT("'"&amp;Hypothèses!$D$42&amp;"'!$A:$I"),6,FALSE) * S44</f>
        <v>142.99304906276839</v>
      </c>
      <c r="T53" s="68">
        <f ca="1">VLOOKUP("DAenergy_bought"&amp;"S1"&amp;T$39&amp;Hypothèses!$D$17&amp;Hypothèses!$D$18,INDIRECT("'"&amp;Hypothèses!$D$42&amp;"'!$A:$I"),6,FALSE) * T44</f>
        <v>207.6033447895384</v>
      </c>
      <c r="U53" s="68" t="e">
        <f ca="1">VLOOKUP("DAenergy_bought"&amp;"S1"&amp;U$39&amp;Hypothèses!$D$17&amp;Hypothèses!$D$18,INDIRECT("'"&amp;Hypothèses!$D$42&amp;"'!$A:$I"),6,FALSE) * U44</f>
        <v>#N/A</v>
      </c>
      <c r="V53" s="68" t="e">
        <f ca="1">VLOOKUP("DAenergy_bought"&amp;"S1"&amp;V$39&amp;Hypothèses!$D$17&amp;Hypothèses!$D$18,INDIRECT("'"&amp;Hypothèses!$D$42&amp;"'!$A:$I"),6,FALSE) * V44</f>
        <v>#N/A</v>
      </c>
      <c r="W53" s="68" t="e">
        <f ca="1">VLOOKUP("DAenergy_bought"&amp;"S1"&amp;W$39&amp;Hypothèses!$D$17&amp;Hypothèses!$D$18,INDIRECT("'"&amp;Hypothèses!$D$42&amp;"'!$A:$I"),6,FALSE) * W44</f>
        <v>#N/A</v>
      </c>
      <c r="X53" s="68" t="e">
        <f ca="1">VLOOKUP("DAenergy_bought"&amp;"S1"&amp;X$39&amp;Hypothèses!$D$17&amp;Hypothèses!$D$18,INDIRECT("'"&amp;Hypothèses!$D$42&amp;"'!$A:$I"),6,FALSE) * X44</f>
        <v>#N/A</v>
      </c>
      <c r="Y53" s="68" t="e">
        <f ca="1">VLOOKUP("DAenergy_bought"&amp;"S1"&amp;Y$39&amp;Hypothèses!$D$17&amp;Hypothèses!$D$18,INDIRECT("'"&amp;Hypothèses!$D$42&amp;"'!$A:$I"),6,FALSE) * Y44</f>
        <v>#N/A</v>
      </c>
      <c r="Z53" s="68" t="e">
        <f ca="1">VLOOKUP("DAenergy_bought"&amp;"S1"&amp;Z$39&amp;Hypothèses!$D$17&amp;Hypothèses!$D$18,INDIRECT("'"&amp;Hypothèses!$D$42&amp;"'!$A:$I"),6,FALSE) * Z44</f>
        <v>#N/A</v>
      </c>
      <c r="AA53" s="68" t="e">
        <f ca="1">VLOOKUP("DAenergy_bought"&amp;"S1"&amp;AA$39&amp;Hypothèses!$D$17&amp;Hypothèses!$D$18,INDIRECT("'"&amp;Hypothèses!$D$42&amp;"'!$A:$I"),6,FALSE) * AA44</f>
        <v>#N/A</v>
      </c>
      <c r="AB53" s="68" t="e">
        <f ca="1">VLOOKUP("DAenergy_bought"&amp;"S1"&amp;AB$39&amp;Hypothèses!$D$17&amp;Hypothèses!$D$18,INDIRECT("'"&amp;Hypothèses!$D$42&amp;"'!$A:$I"),6,FALSE) * AB44</f>
        <v>#N/A</v>
      </c>
      <c r="AC53" s="68" t="e">
        <f ca="1">VLOOKUP("DAenergy_bought"&amp;"S1"&amp;AC$39&amp;Hypothèses!$D$17&amp;Hypothèses!$D$18,INDIRECT("'"&amp;Hypothèses!$D$42&amp;"'!$A:$I"),6,FALSE) * AC44</f>
        <v>#N/A</v>
      </c>
      <c r="AD53" s="68" t="e">
        <f ca="1">VLOOKUP("DAenergy_bought"&amp;"S1"&amp;AD$39&amp;Hypothèses!$D$17&amp;Hypothèses!$D$18,INDIRECT("'"&amp;Hypothèses!$D$42&amp;"'!$A:$I"),6,FALSE) * AD44</f>
        <v>#N/A</v>
      </c>
      <c r="AE53" s="68" t="e">
        <f ca="1">VLOOKUP("DAenergy_bought"&amp;"S1"&amp;AE$39&amp;Hypothèses!$D$17&amp;Hypothèses!$D$18,INDIRECT("'"&amp;Hypothèses!$D$42&amp;"'!$A:$I"),6,FALSE) * AE44</f>
        <v>#N/A</v>
      </c>
      <c r="AF53" s="68" t="e">
        <f ca="1">VLOOKUP("DAenergy_bought"&amp;"S1"&amp;AF$39&amp;Hypothèses!$D$17&amp;Hypothèses!$D$18,INDIRECT("'"&amp;Hypothèses!$D$42&amp;"'!$A:$I"),6,FALSE) * AF44</f>
        <v>#N/A</v>
      </c>
      <c r="AG53" s="68" t="e">
        <f ca="1">VLOOKUP("DAenergy_bought"&amp;"S1"&amp;AG$39&amp;Hypothèses!$D$17&amp;Hypothèses!$D$18,INDIRECT("'"&amp;Hypothèses!$D$42&amp;"'!$A:$I"),6,FALSE) * AG44</f>
        <v>#N/A</v>
      </c>
    </row>
    <row r="54" spans="2:34" ht="14.5" x14ac:dyDescent="0.35">
      <c r="B54" s="26" t="s">
        <v>26</v>
      </c>
      <c r="C54" s="10"/>
      <c r="D54" s="68"/>
      <c r="E54" s="135">
        <f t="shared" ref="E54" ca="1" si="89">E53/D53-1</f>
        <v>-2.5030077450942656E-2</v>
      </c>
      <c r="F54" s="135">
        <f t="shared" ref="F54" ca="1" si="90">F53/E53-1</f>
        <v>-2.5032920566899874E-2</v>
      </c>
      <c r="G54" s="135">
        <f t="shared" ref="G54" ca="1" si="91">G53/F53-1</f>
        <v>-2.5004293155456048E-2</v>
      </c>
      <c r="H54" s="135">
        <f t="shared" ref="H54" ca="1" si="92">H53/G53-1</f>
        <v>0.17543871402086153</v>
      </c>
      <c r="I54" s="135">
        <f t="shared" ref="I54" ca="1" si="93">I53/H53-1</f>
        <v>2.6163211321685758</v>
      </c>
      <c r="J54" s="135">
        <f t="shared" ref="J54" ca="1" si="94">J53/I53-1</f>
        <v>0.45354699480898963</v>
      </c>
      <c r="K54" s="135">
        <f t="shared" ref="K54" ca="1" si="95">K53/J53-1</f>
        <v>0.69904485020115636</v>
      </c>
      <c r="L54" s="135">
        <f t="shared" ref="L54" ca="1" si="96">L53/K53-1</f>
        <v>-0.2833430168989779</v>
      </c>
      <c r="M54" s="135">
        <f t="shared" ref="M54" ca="1" si="97">M53/L53-1</f>
        <v>1.4892607935166335E-2</v>
      </c>
      <c r="N54" s="135">
        <f t="shared" ref="N54" ca="1" si="98">N53/M53-1</f>
        <v>-0.1443805742146107</v>
      </c>
      <c r="O54" s="135">
        <f t="shared" ref="O54" ca="1" si="99">O53/N53-1</f>
        <v>0.31928476352622659</v>
      </c>
      <c r="P54" s="135">
        <f t="shared" ref="P54" ca="1" si="100">P53/O53-1</f>
        <v>-0.2243335924237766</v>
      </c>
      <c r="Q54" s="135">
        <f t="shared" ref="Q54" ca="1" si="101">Q53/P53-1</f>
        <v>0.57422061828277182</v>
      </c>
      <c r="R54" s="135">
        <f t="shared" ref="R54" ca="1" si="102">R53/Q53-1</f>
        <v>-0.17123128004219701</v>
      </c>
      <c r="S54" s="135">
        <f t="shared" ref="S54" ca="1" si="103">S53/R53-1</f>
        <v>1.4232358430975691</v>
      </c>
      <c r="T54" s="135">
        <f t="shared" ref="T54" ca="1" si="104">T53/S53-1</f>
        <v>0.45184221296245375</v>
      </c>
      <c r="U54" s="135" t="e">
        <f t="shared" ref="U54" ca="1" si="105">U53/T53-1</f>
        <v>#N/A</v>
      </c>
      <c r="V54" s="135" t="e">
        <f t="shared" ref="V54" ca="1" si="106">V53/U53-1</f>
        <v>#N/A</v>
      </c>
      <c r="W54" s="135" t="e">
        <f t="shared" ref="W54" ca="1" si="107">W53/V53-1</f>
        <v>#N/A</v>
      </c>
      <c r="X54" s="135" t="e">
        <f t="shared" ref="X54" ca="1" si="108">X53/W53-1</f>
        <v>#N/A</v>
      </c>
      <c r="Y54" s="135" t="e">
        <f t="shared" ref="Y54" ca="1" si="109">Y53/X53-1</f>
        <v>#N/A</v>
      </c>
      <c r="Z54" s="135" t="e">
        <f t="shared" ref="Z54" ca="1" si="110">Z53/Y53-1</f>
        <v>#N/A</v>
      </c>
      <c r="AA54" s="135" t="e">
        <f t="shared" ref="AA54" ca="1" si="111">AA53/Z53-1</f>
        <v>#N/A</v>
      </c>
      <c r="AB54" s="135" t="e">
        <f t="shared" ref="AB54" ca="1" si="112">AB53/AA53-1</f>
        <v>#N/A</v>
      </c>
      <c r="AC54" s="135" t="e">
        <f t="shared" ref="AC54" ca="1" si="113">AC53/AB53-1</f>
        <v>#N/A</v>
      </c>
      <c r="AD54" s="135" t="e">
        <f t="shared" ref="AD54" ca="1" si="114">AD53/AC53-1</f>
        <v>#N/A</v>
      </c>
      <c r="AE54" s="135" t="e">
        <f t="shared" ref="AE54" ca="1" si="115">AE53/AD53-1</f>
        <v>#N/A</v>
      </c>
      <c r="AF54" s="135" t="e">
        <f t="shared" ref="AF54" ca="1" si="116">AF53/AE53-1</f>
        <v>#N/A</v>
      </c>
      <c r="AG54" s="135" t="e">
        <f t="shared" ref="AG54" ca="1" si="117">AG53/AF53-1</f>
        <v>#N/A</v>
      </c>
    </row>
    <row r="55" spans="2:34" ht="14.5" x14ac:dyDescent="0.35">
      <c r="B55" s="26" t="s">
        <v>120</v>
      </c>
      <c r="C55" s="10"/>
      <c r="D55" s="68">
        <f ca="1">VLOOKUP("Dahours_bought"&amp;"S1"&amp;D$39&amp;Hypothèses!$D$17&amp;Hypothèses!$D$18,INDIRECT("'"&amp;Hypothèses!$D$42&amp;"'!$A:$I"),6,FALSE) * D44</f>
        <v>6237</v>
      </c>
      <c r="E55" s="68">
        <f ca="1">VLOOKUP("Dahours_bought"&amp;"S1"&amp;E$39&amp;Hypothèses!$D$17&amp;Hypothèses!$D$18,INDIRECT("'"&amp;Hypothèses!$D$42&amp;"'!$A:$I"),6,FALSE) * E44</f>
        <v>6805</v>
      </c>
      <c r="F55" s="68">
        <f ca="1">VLOOKUP("Dahours_bought"&amp;"S1"&amp;F$39&amp;Hypothèses!$D$17&amp;Hypothèses!$D$18,INDIRECT("'"&amp;Hypothèses!$D$42&amp;"'!$A:$I"),6,FALSE) * F44</f>
        <v>6000</v>
      </c>
      <c r="G55" s="68">
        <f ca="1">VLOOKUP("Dahours_bought"&amp;"S1"&amp;G$39&amp;Hypothèses!$D$17&amp;Hypothèses!$D$18,INDIRECT("'"&amp;Hypothèses!$D$42&amp;"'!$A:$I"),6,FALSE) * G44</f>
        <v>5908</v>
      </c>
      <c r="H55" s="68">
        <f ca="1">VLOOKUP("Dahours_bought"&amp;"S1"&amp;H$39&amp;Hypothèses!$D$17&amp;Hypothèses!$D$18,INDIRECT("'"&amp;Hypothèses!$D$42&amp;"'!$A:$I"),6,FALSE) * H44</f>
        <v>6475</v>
      </c>
      <c r="I55" s="68">
        <f ca="1">VLOOKUP("Dahours_bought"&amp;"S1"&amp;I$39&amp;Hypothèses!$D$17&amp;Hypothèses!$D$18,INDIRECT("'"&amp;Hypothèses!$D$42&amp;"'!$A:$I"),6,FALSE) * I44</f>
        <v>4367</v>
      </c>
      <c r="J55" s="68">
        <f ca="1">VLOOKUP("Dahours_bought"&amp;"S1"&amp;J$39&amp;Hypothèses!$D$17&amp;Hypothèses!$D$18,INDIRECT("'"&amp;Hypothèses!$D$42&amp;"'!$A:$I"),6,FALSE) * J44</f>
        <v>4485</v>
      </c>
      <c r="K55" s="68">
        <f ca="1">VLOOKUP("Dahours_bought"&amp;"S1"&amp;K$39&amp;Hypothèses!$D$17&amp;Hypothèses!$D$18,INDIRECT("'"&amp;Hypothèses!$D$42&amp;"'!$A:$I"),6,FALSE) * K44</f>
        <v>4298</v>
      </c>
      <c r="L55" s="68">
        <f ca="1">VLOOKUP("Dahours_bought"&amp;"S1"&amp;L$39&amp;Hypothèses!$D$17&amp;Hypothèses!$D$18,INDIRECT("'"&amp;Hypothèses!$D$42&amp;"'!$A:$I"),6,FALSE) * L44</f>
        <v>4491</v>
      </c>
      <c r="M55" s="68">
        <f ca="1">VLOOKUP("Dahours_bought"&amp;"S1"&amp;M$39&amp;Hypothèses!$D$17&amp;Hypothèses!$D$18,INDIRECT("'"&amp;Hypothèses!$D$42&amp;"'!$A:$I"),6,FALSE) * M44</f>
        <v>4563</v>
      </c>
      <c r="N55" s="68">
        <f ca="1">VLOOKUP("Dahours_bought"&amp;"S1"&amp;N$39&amp;Hypothèses!$D$17&amp;Hypothèses!$D$18,INDIRECT("'"&amp;Hypothèses!$D$42&amp;"'!$A:$I"),6,FALSE) * N44</f>
        <v>4624</v>
      </c>
      <c r="O55" s="68">
        <f ca="1">VLOOKUP("Dahours_bought"&amp;"S1"&amp;O$39&amp;Hypothèses!$D$17&amp;Hypothèses!$D$18,INDIRECT("'"&amp;Hypothèses!$D$42&amp;"'!$A:$I"),6,FALSE) * O44</f>
        <v>4221</v>
      </c>
      <c r="P55" s="68">
        <f ca="1">VLOOKUP("Dahours_bought"&amp;"S1"&amp;P$39&amp;Hypothèses!$D$17&amp;Hypothèses!$D$18,INDIRECT("'"&amp;Hypothèses!$D$42&amp;"'!$A:$I"),6,FALSE) * P44</f>
        <v>4737</v>
      </c>
      <c r="Q55" s="68">
        <f ca="1">VLOOKUP("Dahours_bought"&amp;"S1"&amp;Q$39&amp;Hypothèses!$D$17&amp;Hypothèses!$D$18,INDIRECT("'"&amp;Hypothèses!$D$42&amp;"'!$A:$I"),6,FALSE) * Q44</f>
        <v>4507</v>
      </c>
      <c r="R55" s="68">
        <f ca="1">VLOOKUP("Dahours_bought"&amp;"S1"&amp;R$39&amp;Hypothèses!$D$17&amp;Hypothèses!$D$18,INDIRECT("'"&amp;Hypothèses!$D$42&amp;"'!$A:$I"),6,FALSE) * R44</f>
        <v>4850</v>
      </c>
      <c r="S55" s="68">
        <f ca="1">VLOOKUP("Dahours_bought"&amp;"S1"&amp;S$39&amp;Hypothèses!$D$17&amp;Hypothèses!$D$18,INDIRECT("'"&amp;Hypothèses!$D$42&amp;"'!$A:$I"),6,FALSE) * S44</f>
        <v>3704</v>
      </c>
      <c r="T55" s="68">
        <f ca="1">VLOOKUP("Dahours_bought"&amp;"S1"&amp;T$39&amp;Hypothèses!$D$17&amp;Hypothèses!$D$18,INDIRECT("'"&amp;Hypothèses!$D$42&amp;"'!$A:$I"),6,FALSE) * T44</f>
        <v>3758</v>
      </c>
      <c r="U55" s="68" t="e">
        <f ca="1">VLOOKUP("Dahours_bought"&amp;"S1"&amp;U$39&amp;Hypothèses!$D$17&amp;Hypothèses!$D$18,INDIRECT("'"&amp;Hypothèses!$D$42&amp;"'!$A:$I"),6,FALSE) * U44</f>
        <v>#N/A</v>
      </c>
      <c r="V55" s="68" t="e">
        <f ca="1">VLOOKUP("Dahours_bought"&amp;"S1"&amp;V$39&amp;Hypothèses!$D$17&amp;Hypothèses!$D$18,INDIRECT("'"&amp;Hypothèses!$D$42&amp;"'!$A:$I"),6,FALSE) * V44</f>
        <v>#N/A</v>
      </c>
      <c r="W55" s="68" t="e">
        <f ca="1">VLOOKUP("Dahours_bought"&amp;"S1"&amp;W$39&amp;Hypothèses!$D$17&amp;Hypothèses!$D$18,INDIRECT("'"&amp;Hypothèses!$D$42&amp;"'!$A:$I"),6,FALSE) * W44</f>
        <v>#N/A</v>
      </c>
      <c r="X55" s="68" t="e">
        <f ca="1">VLOOKUP("Dahours_bought"&amp;"S1"&amp;X$39&amp;Hypothèses!$D$17&amp;Hypothèses!$D$18,INDIRECT("'"&amp;Hypothèses!$D$42&amp;"'!$A:$I"),6,FALSE) * X44</f>
        <v>#N/A</v>
      </c>
      <c r="Y55" s="68" t="e">
        <f ca="1">VLOOKUP("Dahours_bought"&amp;"S1"&amp;Y$39&amp;Hypothèses!$D$17&amp;Hypothèses!$D$18,INDIRECT("'"&amp;Hypothèses!$D$42&amp;"'!$A:$I"),6,FALSE) * Y44</f>
        <v>#N/A</v>
      </c>
      <c r="Z55" s="68" t="e">
        <f ca="1">VLOOKUP("Dahours_bought"&amp;"S1"&amp;Z$39&amp;Hypothèses!$D$17&amp;Hypothèses!$D$18,INDIRECT("'"&amp;Hypothèses!$D$42&amp;"'!$A:$I"),6,FALSE) * Z44</f>
        <v>#N/A</v>
      </c>
      <c r="AA55" s="68" t="e">
        <f ca="1">VLOOKUP("Dahours_bought"&amp;"S1"&amp;AA$39&amp;Hypothèses!$D$17&amp;Hypothèses!$D$18,INDIRECT("'"&amp;Hypothèses!$D$42&amp;"'!$A:$I"),6,FALSE) * AA44</f>
        <v>#N/A</v>
      </c>
      <c r="AB55" s="68" t="e">
        <f ca="1">VLOOKUP("Dahours_bought"&amp;"S1"&amp;AB$39&amp;Hypothèses!$D$17&amp;Hypothèses!$D$18,INDIRECT("'"&amp;Hypothèses!$D$42&amp;"'!$A:$I"),6,FALSE) * AB44</f>
        <v>#N/A</v>
      </c>
      <c r="AC55" s="68" t="e">
        <f ca="1">VLOOKUP("Dahours_bought"&amp;"S1"&amp;AC$39&amp;Hypothèses!$D$17&amp;Hypothèses!$D$18,INDIRECT("'"&amp;Hypothèses!$D$42&amp;"'!$A:$I"),6,FALSE) * AC44</f>
        <v>#N/A</v>
      </c>
      <c r="AD55" s="68" t="e">
        <f ca="1">VLOOKUP("Dahours_bought"&amp;"S1"&amp;AD$39&amp;Hypothèses!$D$17&amp;Hypothèses!$D$18,INDIRECT("'"&amp;Hypothèses!$D$42&amp;"'!$A:$I"),6,FALSE) * AD44</f>
        <v>#N/A</v>
      </c>
      <c r="AE55" s="68" t="e">
        <f ca="1">VLOOKUP("Dahours_bought"&amp;"S1"&amp;AE$39&amp;Hypothèses!$D$17&amp;Hypothèses!$D$18,INDIRECT("'"&amp;Hypothèses!$D$42&amp;"'!$A:$I"),6,FALSE) * AE44</f>
        <v>#N/A</v>
      </c>
      <c r="AF55" s="68" t="e">
        <f ca="1">VLOOKUP("Dahours_bought"&amp;"S1"&amp;AF$39&amp;Hypothèses!$D$17&amp;Hypothèses!$D$18,INDIRECT("'"&amp;Hypothèses!$D$42&amp;"'!$A:$I"),6,FALSE) * AF44</f>
        <v>#N/A</v>
      </c>
      <c r="AG55" s="68" t="e">
        <f ca="1">VLOOKUP("Dahours_bought"&amp;"S1"&amp;AG$39&amp;Hypothèses!$D$17&amp;Hypothèses!$D$18,INDIRECT("'"&amp;Hypothèses!$D$42&amp;"'!$A:$I"),6,FALSE) * AG44</f>
        <v>#N/A</v>
      </c>
    </row>
    <row r="56" spans="2:34" s="82" customFormat="1" hidden="1" outlineLevel="1" x14ac:dyDescent="0.3">
      <c r="B56" s="83" t="s">
        <v>128</v>
      </c>
    </row>
    <row r="57" spans="2:34" hidden="1" outlineLevel="1" x14ac:dyDescent="0.3">
      <c r="B57" s="77" t="s">
        <v>129</v>
      </c>
      <c r="C57" s="77"/>
      <c r="D57" s="71">
        <f ca="1">IF(Hypothèses!$D$39=1,VLOOKUP("IDincome"&amp;"S1"&amp;D$39&amp;Hypothèses!$D$17&amp;Hypothèses!$D$18,INDIRECT("'"&amp;Hypothèses!$D$42&amp;"'!$A:$I"),6,FALSE)*(1+$C$37)^C43 * D44,0)</f>
        <v>0</v>
      </c>
      <c r="E57" s="71">
        <f ca="1">IF(Hypothèses!$D$39=1,VLOOKUP("IDincome"&amp;"S1"&amp;E$39&amp;Hypothèses!$D$17&amp;Hypothèses!$D$18,INDIRECT("'"&amp;Hypothèses!$D$42&amp;"'!$A:$I"),6,FALSE)*(1+$C$37)^D43 * E44,0)</f>
        <v>0</v>
      </c>
      <c r="F57" s="71">
        <f ca="1">IF(Hypothèses!$D$39=1,VLOOKUP("IDincome"&amp;"S1"&amp;F$39&amp;Hypothèses!$D$17&amp;Hypothèses!$D$18,INDIRECT("'"&amp;Hypothèses!$D$42&amp;"'!$A:$I"),6,FALSE)*(1+$C$37)^E43 * F44,0)</f>
        <v>0</v>
      </c>
      <c r="G57" s="71">
        <f ca="1">IF(Hypothèses!$D$39=1,VLOOKUP("IDincome"&amp;"S1"&amp;G$39&amp;Hypothèses!$D$17&amp;Hypothèses!$D$18,INDIRECT("'"&amp;Hypothèses!$D$42&amp;"'!$A:$I"),6,FALSE)*(1+$C$37)^F43 * G44,0)</f>
        <v>0</v>
      </c>
      <c r="H57" s="71">
        <f ca="1">IF(Hypothèses!$D$39=1,VLOOKUP("IDincome"&amp;"S1"&amp;H$39&amp;Hypothèses!$D$17&amp;Hypothèses!$D$18,INDIRECT("'"&amp;Hypothèses!$D$42&amp;"'!$A:$I"),6,FALSE)*(1+$C$37)^G43 * H44,0)</f>
        <v>0</v>
      </c>
      <c r="I57" s="71">
        <f ca="1">IF(Hypothèses!$D$39=1,VLOOKUP("IDincome"&amp;"S1"&amp;I$39&amp;Hypothèses!$D$17&amp;Hypothèses!$D$18,INDIRECT("'"&amp;Hypothèses!$D$42&amp;"'!$A:$I"),6,FALSE)*(1+$C$37)^H43 * I44,0)</f>
        <v>0</v>
      </c>
      <c r="J57" s="71">
        <f ca="1">IF(Hypothèses!$D$39=1,VLOOKUP("IDincome"&amp;"S1"&amp;J$39&amp;Hypothèses!$D$17&amp;Hypothèses!$D$18,INDIRECT("'"&amp;Hypothèses!$D$42&amp;"'!$A:$I"),6,FALSE)*(1+$C$37)^I43 * J44,0)</f>
        <v>0</v>
      </c>
      <c r="K57" s="71">
        <f ca="1">IF(Hypothèses!$D$39=1,VLOOKUP("IDincome"&amp;"S1"&amp;K$39&amp;Hypothèses!$D$17&amp;Hypothèses!$D$18,INDIRECT("'"&amp;Hypothèses!$D$42&amp;"'!$A:$I"),6,FALSE)*(1+$C$37)^J43 * K44,0)</f>
        <v>0</v>
      </c>
      <c r="L57" s="71">
        <f ca="1">IF(Hypothèses!$D$39=1,VLOOKUP("IDincome"&amp;"S1"&amp;L$39&amp;Hypothèses!$D$17&amp;Hypothèses!$D$18,INDIRECT("'"&amp;Hypothèses!$D$42&amp;"'!$A:$I"),6,FALSE)*(1+$C$37)^K43 * L44,0)</f>
        <v>0</v>
      </c>
      <c r="M57" s="71">
        <f ca="1">IF(Hypothèses!$D$39=1,VLOOKUP("IDincome"&amp;"S1"&amp;M$39&amp;Hypothèses!$D$17&amp;Hypothèses!$D$18,INDIRECT("'"&amp;Hypothèses!$D$42&amp;"'!$A:$I"),6,FALSE)*(1+$C$37)^L43 * M44,0)</f>
        <v>0</v>
      </c>
      <c r="N57" s="71">
        <f ca="1">IF(Hypothèses!$D$39=1,VLOOKUP("IDincome"&amp;"S1"&amp;N$39&amp;Hypothèses!$D$17&amp;Hypothèses!$D$18,INDIRECT("'"&amp;Hypothèses!$D$42&amp;"'!$A:$I"),6,FALSE)*(1+$C$37)^M43 * N44,0)</f>
        <v>0</v>
      </c>
      <c r="O57" s="71">
        <f ca="1">IF(Hypothèses!$D$39=1,VLOOKUP("IDincome"&amp;"S1"&amp;O$39&amp;Hypothèses!$D$17&amp;Hypothèses!$D$18,INDIRECT("'"&amp;Hypothèses!$D$42&amp;"'!$A:$I"),6,FALSE)*(1+$C$37)^N43 * O44,0)</f>
        <v>0</v>
      </c>
      <c r="P57" s="71">
        <f ca="1">IF(Hypothèses!$D$39=1,VLOOKUP("IDincome"&amp;"S1"&amp;P$39&amp;Hypothèses!$D$17&amp;Hypothèses!$D$18,INDIRECT("'"&amp;Hypothèses!$D$42&amp;"'!$A:$I"),6,FALSE)*(1+$C$37)^O43 * P44,0)</f>
        <v>0</v>
      </c>
      <c r="Q57" s="71">
        <f ca="1">IF(Hypothèses!$D$39=1,VLOOKUP("IDincome"&amp;"S1"&amp;Q$39&amp;Hypothèses!$D$17&amp;Hypothèses!$D$18,INDIRECT("'"&amp;Hypothèses!$D$42&amp;"'!$A:$I"),6,FALSE)*(1+$C$37)^P43 * Q44,0)</f>
        <v>0</v>
      </c>
      <c r="R57" s="71">
        <f ca="1">IF(Hypothèses!$D$39=1,VLOOKUP("IDincome"&amp;"S1"&amp;R$39&amp;Hypothèses!$D$17&amp;Hypothèses!$D$18,INDIRECT("'"&amp;Hypothèses!$D$42&amp;"'!$A:$I"),6,FALSE)*(1+$C$37)^Q43 * R44,0)</f>
        <v>0</v>
      </c>
      <c r="S57" s="71">
        <f ca="1">IF(Hypothèses!$D$39=1,VLOOKUP("IDincome"&amp;"S1"&amp;S$39&amp;Hypothèses!$D$17&amp;Hypothèses!$D$18,INDIRECT("'"&amp;Hypothèses!$D$42&amp;"'!$A:$I"),6,FALSE)*(1+$C$37)^R43 * S44,0)</f>
        <v>0</v>
      </c>
      <c r="T57" s="71">
        <f ca="1">IF(Hypothèses!$D$39=1,VLOOKUP("IDincome"&amp;"S1"&amp;T$39&amp;Hypothèses!$D$17&amp;Hypothèses!$D$18,INDIRECT("'"&amp;Hypothèses!$D$42&amp;"'!$A:$I"),6,FALSE)*(1+$C$37)^S43 * T44,0)</f>
        <v>0</v>
      </c>
      <c r="U57" s="71">
        <f ca="1">IF(Hypothèses!$D$39=1,VLOOKUP("IDincome"&amp;"S1"&amp;U$39&amp;Hypothèses!$D$17&amp;Hypothèses!$D$18,INDIRECT("'"&amp;Hypothèses!$D$42&amp;"'!$A:$I"),6,FALSE)*(1+$C$37)^T43 * U44,0)</f>
        <v>0</v>
      </c>
      <c r="V57" s="71">
        <f ca="1">IF(Hypothèses!$D$39=1,VLOOKUP("IDincome"&amp;"S1"&amp;V$39&amp;Hypothèses!$D$17&amp;Hypothèses!$D$18,INDIRECT("'"&amp;Hypothèses!$D$42&amp;"'!$A:$I"),6,FALSE)*(1+$C$37)^U43 * V44,0)</f>
        <v>0</v>
      </c>
      <c r="W57" s="71">
        <f ca="1">IF(Hypothèses!$D$39=1,VLOOKUP("IDincome"&amp;"S1"&amp;W$39&amp;Hypothèses!$D$17&amp;Hypothèses!$D$18,INDIRECT("'"&amp;Hypothèses!$D$42&amp;"'!$A:$I"),6,FALSE)*(1+$C$37)^V43 * W44,0)</f>
        <v>0</v>
      </c>
      <c r="X57" s="71">
        <f ca="1">IF(Hypothèses!$D$39=1,VLOOKUP("IDincome"&amp;"S1"&amp;X$39&amp;Hypothèses!$D$17&amp;Hypothèses!$D$18,INDIRECT("'"&amp;Hypothèses!$D$42&amp;"'!$A:$I"),6,FALSE)*(1+$C$37)^W43 * X44,0)</f>
        <v>0</v>
      </c>
      <c r="Y57" s="71">
        <f ca="1">IF(Hypothèses!$D$39=1,VLOOKUP("IDincome"&amp;"S1"&amp;Y$39&amp;Hypothèses!$D$17&amp;Hypothèses!$D$18,INDIRECT("'"&amp;Hypothèses!$D$42&amp;"'!$A:$I"),6,FALSE)*(1+$C$37)^X43 * Y44,0)</f>
        <v>0</v>
      </c>
      <c r="Z57" s="71">
        <f ca="1">IF(Hypothèses!$D$39=1,VLOOKUP("IDincome"&amp;"S1"&amp;Z$39&amp;Hypothèses!$D$17&amp;Hypothèses!$D$18,INDIRECT("'"&amp;Hypothèses!$D$42&amp;"'!$A:$I"),6,FALSE)*(1+$C$37)^Y43 * Z44,0)</f>
        <v>0</v>
      </c>
      <c r="AA57" s="71">
        <f ca="1">IF(Hypothèses!$D$39=1,VLOOKUP("IDincome"&amp;"S1"&amp;AA$39&amp;Hypothèses!$D$17&amp;Hypothèses!$D$18,INDIRECT("'"&amp;Hypothèses!$D$42&amp;"'!$A:$I"),6,FALSE)*(1+$C$37)^Z43 * AA44,0)</f>
        <v>0</v>
      </c>
      <c r="AB57" s="71">
        <f ca="1">IF(Hypothèses!$D$39=1,VLOOKUP("IDincome"&amp;"S1"&amp;AB$39&amp;Hypothèses!$D$17&amp;Hypothèses!$D$18,INDIRECT("'"&amp;Hypothèses!$D$42&amp;"'!$A:$I"),6,FALSE)*(1+$C$37)^AA43 * AB44,0)</f>
        <v>0</v>
      </c>
      <c r="AC57" s="71">
        <f ca="1">IF(Hypothèses!$D$39=1,VLOOKUP("IDincome"&amp;"S1"&amp;AC$39&amp;Hypothèses!$D$17&amp;Hypothèses!$D$18,INDIRECT("'"&amp;Hypothèses!$D$42&amp;"'!$A:$I"),6,FALSE)*(1+$C$37)^AB43 * AC44,0)</f>
        <v>0</v>
      </c>
      <c r="AD57" s="71">
        <f ca="1">IF(Hypothèses!$D$39=1,VLOOKUP("IDincome"&amp;"S1"&amp;AD$39&amp;Hypothèses!$D$17&amp;Hypothèses!$D$18,INDIRECT("'"&amp;Hypothèses!$D$42&amp;"'!$A:$I"),6,FALSE)*(1+$C$37)^AC43 * AD44,0)</f>
        <v>0</v>
      </c>
      <c r="AE57" s="71">
        <f ca="1">IF(Hypothèses!$D$39=1,VLOOKUP("IDincome"&amp;"S1"&amp;AE$39&amp;Hypothèses!$D$17&amp;Hypothèses!$D$18,INDIRECT("'"&amp;Hypothèses!$D$42&amp;"'!$A:$I"),6,FALSE)*(1+$C$37)^AD43 * AE44,0)</f>
        <v>0</v>
      </c>
      <c r="AF57" s="71">
        <f ca="1">IF(Hypothèses!$D$39=1,VLOOKUP("IDincome"&amp;"S1"&amp;AF$39&amp;Hypothèses!$D$17&amp;Hypothèses!$D$18,INDIRECT("'"&amp;Hypothèses!$D$42&amp;"'!$A:$I"),6,FALSE)*(1+$C$37)^AE43 * AF44,0)</f>
        <v>0</v>
      </c>
      <c r="AG57" s="71">
        <f ca="1">IF(Hypothèses!$D$39=1,VLOOKUP("IDincome"&amp;"S1"&amp;AG$39&amp;Hypothèses!$D$17&amp;Hypothèses!$D$18,INDIRECT("'"&amp;Hypothèses!$D$42&amp;"'!$A:$I"),6,FALSE)*(1+$C$37)^AF43 * AG44,0)</f>
        <v>0</v>
      </c>
      <c r="AH57" s="74"/>
    </row>
    <row r="58" spans="2:34" ht="14.5" hidden="1" outlineLevel="1" x14ac:dyDescent="0.35">
      <c r="B58" s="84" t="s">
        <v>26</v>
      </c>
      <c r="C58" s="77"/>
      <c r="D58" s="135"/>
      <c r="E58" s="135" t="e">
        <f t="shared" ref="E58" ca="1" si="118">E57/D57-1</f>
        <v>#DIV/0!</v>
      </c>
      <c r="F58" s="135" t="e">
        <f t="shared" ref="F58" ca="1" si="119">F57/E57-1</f>
        <v>#DIV/0!</v>
      </c>
      <c r="G58" s="135" t="e">
        <f t="shared" ref="G58" ca="1" si="120">G57/F57-1</f>
        <v>#DIV/0!</v>
      </c>
      <c r="H58" s="135" t="e">
        <f t="shared" ref="H58" ca="1" si="121">H57/G57-1</f>
        <v>#DIV/0!</v>
      </c>
      <c r="I58" s="135" t="e">
        <f t="shared" ref="I58" ca="1" si="122">I57/H57-1</f>
        <v>#DIV/0!</v>
      </c>
      <c r="J58" s="135" t="e">
        <f t="shared" ref="J58" ca="1" si="123">J57/I57-1</f>
        <v>#DIV/0!</v>
      </c>
      <c r="K58" s="135" t="e">
        <f t="shared" ref="K58" ca="1" si="124">K57/J57-1</f>
        <v>#DIV/0!</v>
      </c>
      <c r="L58" s="135" t="e">
        <f t="shared" ref="L58" ca="1" si="125">L57/K57-1</f>
        <v>#DIV/0!</v>
      </c>
      <c r="M58" s="135" t="e">
        <f t="shared" ref="M58" ca="1" si="126">M57/L57-1</f>
        <v>#DIV/0!</v>
      </c>
      <c r="N58" s="135" t="e">
        <f t="shared" ref="N58" ca="1" si="127">N57/M57-1</f>
        <v>#DIV/0!</v>
      </c>
      <c r="O58" s="135" t="e">
        <f t="shared" ref="O58" ca="1" si="128">O57/N57-1</f>
        <v>#DIV/0!</v>
      </c>
      <c r="P58" s="135" t="e">
        <f t="shared" ref="P58" ca="1" si="129">P57/O57-1</f>
        <v>#DIV/0!</v>
      </c>
      <c r="Q58" s="135" t="e">
        <f t="shared" ref="Q58" ca="1" si="130">Q57/P57-1</f>
        <v>#DIV/0!</v>
      </c>
      <c r="R58" s="135" t="e">
        <f t="shared" ref="R58" ca="1" si="131">R57/Q57-1</f>
        <v>#DIV/0!</v>
      </c>
      <c r="S58" s="135" t="e">
        <f t="shared" ref="S58" ca="1" si="132">S57/R57-1</f>
        <v>#DIV/0!</v>
      </c>
      <c r="T58" s="135" t="e">
        <f t="shared" ref="T58" ca="1" si="133">T57/S57-1</f>
        <v>#DIV/0!</v>
      </c>
      <c r="U58" s="135" t="e">
        <f t="shared" ref="U58" ca="1" si="134">U57/T57-1</f>
        <v>#DIV/0!</v>
      </c>
      <c r="V58" s="135" t="e">
        <f t="shared" ref="V58" ca="1" si="135">V57/U57-1</f>
        <v>#DIV/0!</v>
      </c>
      <c r="W58" s="135" t="e">
        <f t="shared" ref="W58" ca="1" si="136">W57/V57-1</f>
        <v>#DIV/0!</v>
      </c>
      <c r="X58" s="135" t="e">
        <f t="shared" ref="X58" ca="1" si="137">X57/W57-1</f>
        <v>#DIV/0!</v>
      </c>
      <c r="Y58" s="135" t="e">
        <f t="shared" ref="Y58" ca="1" si="138">Y57/X57-1</f>
        <v>#DIV/0!</v>
      </c>
      <c r="Z58" s="135" t="e">
        <f t="shared" ref="Z58" ca="1" si="139">Z57/Y57-1</f>
        <v>#DIV/0!</v>
      </c>
      <c r="AA58" s="135" t="e">
        <f t="shared" ref="AA58" ca="1" si="140">AA57/Z57-1</f>
        <v>#DIV/0!</v>
      </c>
      <c r="AB58" s="135" t="e">
        <f t="shared" ref="AB58" ca="1" si="141">AB57/AA57-1</f>
        <v>#DIV/0!</v>
      </c>
      <c r="AC58" s="135" t="e">
        <f t="shared" ref="AC58" ca="1" si="142">AC57/AB57-1</f>
        <v>#DIV/0!</v>
      </c>
      <c r="AD58" s="135" t="e">
        <f t="shared" ref="AD58" ca="1" si="143">AD57/AC57-1</f>
        <v>#DIV/0!</v>
      </c>
      <c r="AE58" s="135" t="e">
        <f t="shared" ref="AE58" ca="1" si="144">AE57/AD57-1</f>
        <v>#DIV/0!</v>
      </c>
      <c r="AF58" s="135" t="e">
        <f t="shared" ref="AF58" ca="1" si="145">AF57/AE57-1</f>
        <v>#DIV/0!</v>
      </c>
      <c r="AG58" s="135" t="e">
        <f t="shared" ref="AG58" ca="1" si="146">AG57/AF57-1</f>
        <v>#DIV/0!</v>
      </c>
      <c r="AH58" s="74"/>
    </row>
    <row r="59" spans="2:34" hidden="1" outlineLevel="1" x14ac:dyDescent="0.3">
      <c r="B59" s="77" t="s">
        <v>130</v>
      </c>
      <c r="C59" s="77"/>
      <c r="D59" s="68">
        <f ca="1">IF(Hypothèses!$D$39=1,VLOOKUP("IDenergy_sold"&amp;"S1"&amp;D$39&amp;Hypothèses!$D$17&amp;Hypothèses!$D$18,INDIRECT("'"&amp;Hypothèses!$D$42&amp;"'!$A:$I"),6,FALSE) * D44,0)</f>
        <v>0</v>
      </c>
      <c r="E59" s="68">
        <f ca="1">IF(Hypothèses!$D$39=1,VLOOKUP("IDenergy_sold"&amp;"S1"&amp;E$39&amp;Hypothèses!$D$17&amp;Hypothèses!$D$18,INDIRECT("'"&amp;Hypothèses!$D$42&amp;"'!$A:$I"),6,FALSE) * E44,0)</f>
        <v>0</v>
      </c>
      <c r="F59" s="68">
        <f ca="1">IF(Hypothèses!$D$39=1,VLOOKUP("IDenergy_sold"&amp;"S1"&amp;F$39&amp;Hypothèses!$D$17&amp;Hypothèses!$D$18,INDIRECT("'"&amp;Hypothèses!$D$42&amp;"'!$A:$I"),6,FALSE) * F44,0)</f>
        <v>0</v>
      </c>
      <c r="G59" s="68">
        <f ca="1">IF(Hypothèses!$D$39=1,VLOOKUP("IDenergy_sold"&amp;"S1"&amp;G$39&amp;Hypothèses!$D$17&amp;Hypothèses!$D$18,INDIRECT("'"&amp;Hypothèses!$D$42&amp;"'!$A:$I"),6,FALSE) * G44,0)</f>
        <v>0</v>
      </c>
      <c r="H59" s="68">
        <f ca="1">IF(Hypothèses!$D$39=1,VLOOKUP("IDenergy_sold"&amp;"S1"&amp;H$39&amp;Hypothèses!$D$17&amp;Hypothèses!$D$18,INDIRECT("'"&amp;Hypothèses!$D$42&amp;"'!$A:$I"),6,FALSE) * H44,0)</f>
        <v>0</v>
      </c>
      <c r="I59" s="68">
        <f ca="1">IF(Hypothèses!$D$39=1,VLOOKUP("IDenergy_sold"&amp;"S1"&amp;I$39&amp;Hypothèses!$D$17&amp;Hypothèses!$D$18,INDIRECT("'"&amp;Hypothèses!$D$42&amp;"'!$A:$I"),6,FALSE) * I44,0)</f>
        <v>0</v>
      </c>
      <c r="J59" s="68">
        <f ca="1">IF(Hypothèses!$D$39=1,VLOOKUP("IDenergy_sold"&amp;"S1"&amp;J$39&amp;Hypothèses!$D$17&amp;Hypothèses!$D$18,INDIRECT("'"&amp;Hypothèses!$D$42&amp;"'!$A:$I"),6,FALSE) * J44,0)</f>
        <v>0</v>
      </c>
      <c r="K59" s="68">
        <f ca="1">IF(Hypothèses!$D$39=1,VLOOKUP("IDenergy_sold"&amp;"S1"&amp;K$39&amp;Hypothèses!$D$17&amp;Hypothèses!$D$18,INDIRECT("'"&amp;Hypothèses!$D$42&amp;"'!$A:$I"),6,FALSE) * K44,0)</f>
        <v>0</v>
      </c>
      <c r="L59" s="68">
        <f ca="1">IF(Hypothèses!$D$39=1,VLOOKUP("IDenergy_sold"&amp;"S1"&amp;L$39&amp;Hypothèses!$D$17&amp;Hypothèses!$D$18,INDIRECT("'"&amp;Hypothèses!$D$42&amp;"'!$A:$I"),6,FALSE) * L44,0)</f>
        <v>0</v>
      </c>
      <c r="M59" s="68">
        <f ca="1">IF(Hypothèses!$D$39=1,VLOOKUP("IDenergy_sold"&amp;"S1"&amp;M$39&amp;Hypothèses!$D$17&amp;Hypothèses!$D$18,INDIRECT("'"&amp;Hypothèses!$D$42&amp;"'!$A:$I"),6,FALSE) * M44,0)</f>
        <v>0</v>
      </c>
      <c r="N59" s="68">
        <f ca="1">IF(Hypothèses!$D$39=1,VLOOKUP("IDenergy_sold"&amp;"S1"&amp;N$39&amp;Hypothèses!$D$17&amp;Hypothèses!$D$18,INDIRECT("'"&amp;Hypothèses!$D$42&amp;"'!$A:$I"),6,FALSE) * N44,0)</f>
        <v>0</v>
      </c>
      <c r="O59" s="68">
        <f ca="1">IF(Hypothèses!$D$39=1,VLOOKUP("IDenergy_sold"&amp;"S1"&amp;O$39&amp;Hypothèses!$D$17&amp;Hypothèses!$D$18,INDIRECT("'"&amp;Hypothèses!$D$42&amp;"'!$A:$I"),6,FALSE) * O44,0)</f>
        <v>0</v>
      </c>
      <c r="P59" s="68">
        <f ca="1">IF(Hypothèses!$D$39=1,VLOOKUP("IDenergy_sold"&amp;"S1"&amp;P$39&amp;Hypothèses!$D$17&amp;Hypothèses!$D$18,INDIRECT("'"&amp;Hypothèses!$D$42&amp;"'!$A:$I"),6,FALSE) * P44,0)</f>
        <v>0</v>
      </c>
      <c r="Q59" s="68">
        <f ca="1">IF(Hypothèses!$D$39=1,VLOOKUP("IDenergy_sold"&amp;"S1"&amp;Q$39&amp;Hypothèses!$D$17&amp;Hypothèses!$D$18,INDIRECT("'"&amp;Hypothèses!$D$42&amp;"'!$A:$I"),6,FALSE) * Q44,0)</f>
        <v>0</v>
      </c>
      <c r="R59" s="68">
        <f ca="1">IF(Hypothèses!$D$39=1,VLOOKUP("IDenergy_sold"&amp;"S1"&amp;R$39&amp;Hypothèses!$D$17&amp;Hypothèses!$D$18,INDIRECT("'"&amp;Hypothèses!$D$42&amp;"'!$A:$I"),6,FALSE) * R44,0)</f>
        <v>0</v>
      </c>
      <c r="S59" s="68">
        <f ca="1">IF(Hypothèses!$D$39=1,VLOOKUP("IDenergy_sold"&amp;"S1"&amp;S$39&amp;Hypothèses!$D$17&amp;Hypothèses!$D$18,INDIRECT("'"&amp;Hypothèses!$D$42&amp;"'!$A:$I"),6,FALSE) * S44,0)</f>
        <v>0</v>
      </c>
      <c r="T59" s="68">
        <f ca="1">IF(Hypothèses!$D$39=1,VLOOKUP("IDenergy_sold"&amp;"S1"&amp;T$39&amp;Hypothèses!$D$17&amp;Hypothèses!$D$18,INDIRECT("'"&amp;Hypothèses!$D$42&amp;"'!$A:$I"),6,FALSE) * T44,0)</f>
        <v>0</v>
      </c>
      <c r="U59" s="68">
        <f ca="1">IF(Hypothèses!$D$39=1,VLOOKUP("IDenergy_sold"&amp;"S1"&amp;U$39&amp;Hypothèses!$D$17&amp;Hypothèses!$D$18,INDIRECT("'"&amp;Hypothèses!$D$42&amp;"'!$A:$I"),6,FALSE) * U44,0)</f>
        <v>0</v>
      </c>
      <c r="V59" s="68">
        <f ca="1">IF(Hypothèses!$D$39=1,VLOOKUP("IDenergy_sold"&amp;"S1"&amp;V$39&amp;Hypothèses!$D$17&amp;Hypothèses!$D$18,INDIRECT("'"&amp;Hypothèses!$D$42&amp;"'!$A:$I"),6,FALSE) * V44,0)</f>
        <v>0</v>
      </c>
      <c r="W59" s="68">
        <f ca="1">IF(Hypothèses!$D$39=1,VLOOKUP("IDenergy_sold"&amp;"S1"&amp;W$39&amp;Hypothèses!$D$17&amp;Hypothèses!$D$18,INDIRECT("'"&amp;Hypothèses!$D$42&amp;"'!$A:$I"),6,FALSE) * W44,0)</f>
        <v>0</v>
      </c>
      <c r="X59" s="68">
        <f ca="1">IF(Hypothèses!$D$39=1,VLOOKUP("IDenergy_sold"&amp;"S1"&amp;X$39&amp;Hypothèses!$D$17&amp;Hypothèses!$D$18,INDIRECT("'"&amp;Hypothèses!$D$42&amp;"'!$A:$I"),6,FALSE) * X44,0)</f>
        <v>0</v>
      </c>
      <c r="Y59" s="68">
        <f ca="1">IF(Hypothèses!$D$39=1,VLOOKUP("IDenergy_sold"&amp;"S1"&amp;Y$39&amp;Hypothèses!$D$17&amp;Hypothèses!$D$18,INDIRECT("'"&amp;Hypothèses!$D$42&amp;"'!$A:$I"),6,FALSE) * Y44,0)</f>
        <v>0</v>
      </c>
      <c r="Z59" s="68">
        <f ca="1">IF(Hypothèses!$D$39=1,VLOOKUP("IDenergy_sold"&amp;"S1"&amp;Z$39&amp;Hypothèses!$D$17&amp;Hypothèses!$D$18,INDIRECT("'"&amp;Hypothèses!$D$42&amp;"'!$A:$I"),6,FALSE) * Z44,0)</f>
        <v>0</v>
      </c>
      <c r="AA59" s="68">
        <f ca="1">IF(Hypothèses!$D$39=1,VLOOKUP("IDenergy_sold"&amp;"S1"&amp;AA$39&amp;Hypothèses!$D$17&amp;Hypothèses!$D$18,INDIRECT("'"&amp;Hypothèses!$D$42&amp;"'!$A:$I"),6,FALSE) * AA44,0)</f>
        <v>0</v>
      </c>
      <c r="AB59" s="68">
        <f ca="1">IF(Hypothèses!$D$39=1,VLOOKUP("IDenergy_sold"&amp;"S1"&amp;AB$39&amp;Hypothèses!$D$17&amp;Hypothèses!$D$18,INDIRECT("'"&amp;Hypothèses!$D$42&amp;"'!$A:$I"),6,FALSE) * AB44,0)</f>
        <v>0</v>
      </c>
      <c r="AC59" s="68">
        <f ca="1">IF(Hypothèses!$D$39=1,VLOOKUP("IDenergy_sold"&amp;"S1"&amp;AC$39&amp;Hypothèses!$D$17&amp;Hypothèses!$D$18,INDIRECT("'"&amp;Hypothèses!$D$42&amp;"'!$A:$I"),6,FALSE) * AC44,0)</f>
        <v>0</v>
      </c>
      <c r="AD59" s="68">
        <f ca="1">IF(Hypothèses!$D$39=1,VLOOKUP("IDenergy_sold"&amp;"S1"&amp;AD$39&amp;Hypothèses!$D$17&amp;Hypothèses!$D$18,INDIRECT("'"&amp;Hypothèses!$D$42&amp;"'!$A:$I"),6,FALSE) * AD44,0)</f>
        <v>0</v>
      </c>
      <c r="AE59" s="68">
        <f ca="1">IF(Hypothèses!$D$39=1,VLOOKUP("IDenergy_sold"&amp;"S1"&amp;AE$39&amp;Hypothèses!$D$17&amp;Hypothèses!$D$18,INDIRECT("'"&amp;Hypothèses!$D$42&amp;"'!$A:$I"),6,FALSE) * AE44,0)</f>
        <v>0</v>
      </c>
      <c r="AF59" s="68">
        <f ca="1">IF(Hypothèses!$D$39=1,VLOOKUP("IDenergy_sold"&amp;"S1"&amp;AF$39&amp;Hypothèses!$D$17&amp;Hypothèses!$D$18,INDIRECT("'"&amp;Hypothèses!$D$42&amp;"'!$A:$I"),6,FALSE) * AF44,0)</f>
        <v>0</v>
      </c>
      <c r="AG59" s="68">
        <f ca="1">IF(Hypothèses!$D$39=1,VLOOKUP("IDenergy_sold"&amp;"S1"&amp;AG$39&amp;Hypothèses!$D$17&amp;Hypothèses!$D$18,INDIRECT("'"&amp;Hypothèses!$D$42&amp;"'!$A:$I"),6,FALSE) * AG44,0)</f>
        <v>0</v>
      </c>
      <c r="AH59" s="74"/>
    </row>
    <row r="60" spans="2:34" ht="14.5" hidden="1" outlineLevel="1" x14ac:dyDescent="0.35">
      <c r="B60" s="84" t="s">
        <v>26</v>
      </c>
      <c r="C60" s="77"/>
      <c r="D60" s="135"/>
      <c r="E60" s="135" t="e">
        <f t="shared" ref="E60" ca="1" si="147">E59/D59-1</f>
        <v>#DIV/0!</v>
      </c>
      <c r="F60" s="135" t="e">
        <f t="shared" ref="F60" ca="1" si="148">F59/E59-1</f>
        <v>#DIV/0!</v>
      </c>
      <c r="G60" s="135" t="e">
        <f t="shared" ref="G60" ca="1" si="149">G59/F59-1</f>
        <v>#DIV/0!</v>
      </c>
      <c r="H60" s="135" t="e">
        <f t="shared" ref="H60" ca="1" si="150">H59/G59-1</f>
        <v>#DIV/0!</v>
      </c>
      <c r="I60" s="135" t="e">
        <f t="shared" ref="I60" ca="1" si="151">I59/H59-1</f>
        <v>#DIV/0!</v>
      </c>
      <c r="J60" s="135" t="e">
        <f t="shared" ref="J60" ca="1" si="152">J59/I59-1</f>
        <v>#DIV/0!</v>
      </c>
      <c r="K60" s="135" t="e">
        <f t="shared" ref="K60" ca="1" si="153">K59/J59-1</f>
        <v>#DIV/0!</v>
      </c>
      <c r="L60" s="135" t="e">
        <f t="shared" ref="L60" ca="1" si="154">L59/K59-1</f>
        <v>#DIV/0!</v>
      </c>
      <c r="M60" s="135" t="e">
        <f t="shared" ref="M60" ca="1" si="155">M59/L59-1</f>
        <v>#DIV/0!</v>
      </c>
      <c r="N60" s="135" t="e">
        <f t="shared" ref="N60" ca="1" si="156">N59/M59-1</f>
        <v>#DIV/0!</v>
      </c>
      <c r="O60" s="135" t="e">
        <f t="shared" ref="O60" ca="1" si="157">O59/N59-1</f>
        <v>#DIV/0!</v>
      </c>
      <c r="P60" s="135" t="e">
        <f t="shared" ref="P60" ca="1" si="158">P59/O59-1</f>
        <v>#DIV/0!</v>
      </c>
      <c r="Q60" s="135" t="e">
        <f t="shared" ref="Q60" ca="1" si="159">Q59/P59-1</f>
        <v>#DIV/0!</v>
      </c>
      <c r="R60" s="135" t="e">
        <f t="shared" ref="R60" ca="1" si="160">R59/Q59-1</f>
        <v>#DIV/0!</v>
      </c>
      <c r="S60" s="135" t="e">
        <f t="shared" ref="S60" ca="1" si="161">S59/R59-1</f>
        <v>#DIV/0!</v>
      </c>
      <c r="T60" s="135" t="e">
        <f t="shared" ref="T60" ca="1" si="162">T59/S59-1</f>
        <v>#DIV/0!</v>
      </c>
      <c r="U60" s="135" t="e">
        <f t="shared" ref="U60" ca="1" si="163">U59/T59-1</f>
        <v>#DIV/0!</v>
      </c>
      <c r="V60" s="135" t="e">
        <f t="shared" ref="V60" ca="1" si="164">V59/U59-1</f>
        <v>#DIV/0!</v>
      </c>
      <c r="W60" s="135" t="e">
        <f t="shared" ref="W60" ca="1" si="165">W59/V59-1</f>
        <v>#DIV/0!</v>
      </c>
      <c r="X60" s="135" t="e">
        <f t="shared" ref="X60" ca="1" si="166">X59/W59-1</f>
        <v>#DIV/0!</v>
      </c>
      <c r="Y60" s="135" t="e">
        <f t="shared" ref="Y60" ca="1" si="167">Y59/X59-1</f>
        <v>#DIV/0!</v>
      </c>
      <c r="Z60" s="135" t="e">
        <f t="shared" ref="Z60" ca="1" si="168">Z59/Y59-1</f>
        <v>#DIV/0!</v>
      </c>
      <c r="AA60" s="135" t="e">
        <f t="shared" ref="AA60" ca="1" si="169">AA59/Z59-1</f>
        <v>#DIV/0!</v>
      </c>
      <c r="AB60" s="135" t="e">
        <f t="shared" ref="AB60" ca="1" si="170">AB59/AA59-1</f>
        <v>#DIV/0!</v>
      </c>
      <c r="AC60" s="135" t="e">
        <f t="shared" ref="AC60" ca="1" si="171">AC59/AB59-1</f>
        <v>#DIV/0!</v>
      </c>
      <c r="AD60" s="135" t="e">
        <f t="shared" ref="AD60" ca="1" si="172">AD59/AC59-1</f>
        <v>#DIV/0!</v>
      </c>
      <c r="AE60" s="135" t="e">
        <f t="shared" ref="AE60" ca="1" si="173">AE59/AD59-1</f>
        <v>#DIV/0!</v>
      </c>
      <c r="AF60" s="135" t="e">
        <f t="shared" ref="AF60" ca="1" si="174">AF59/AE59-1</f>
        <v>#DIV/0!</v>
      </c>
      <c r="AG60" s="135" t="e">
        <f t="shared" ref="AG60" ca="1" si="175">AG59/AF59-1</f>
        <v>#DIV/0!</v>
      </c>
      <c r="AH60" s="74"/>
    </row>
    <row r="61" spans="2:34" ht="14.5" hidden="1" outlineLevel="1" x14ac:dyDescent="0.35">
      <c r="B61" s="84" t="s">
        <v>119</v>
      </c>
      <c r="C61" s="77"/>
      <c r="D61" s="68">
        <f ca="1">IF(Hypothèses!$D$39=1,VLOOKUP("IDhours_sold"&amp;"S1"&amp;D$39&amp;Hypothèses!$D$17&amp;Hypothèses!$D$18,INDIRECT("'"&amp;Hypothèses!$D$42&amp;"'!$A:$I"),6,FALSE)*D44,0)</f>
        <v>0</v>
      </c>
      <c r="E61" s="68">
        <f ca="1">IF(Hypothèses!$D$39=1,VLOOKUP("IDhours_sold"&amp;"S1"&amp;E$39&amp;Hypothèses!$D$17&amp;Hypothèses!$D$18,INDIRECT("'"&amp;Hypothèses!$D$42&amp;"'!$A:$I"),6,FALSE)*E44,0)</f>
        <v>0</v>
      </c>
      <c r="F61" s="68">
        <f ca="1">IF(Hypothèses!$D$39=1,VLOOKUP("IDhours_sold"&amp;"S1"&amp;F$39&amp;Hypothèses!$D$17&amp;Hypothèses!$D$18,INDIRECT("'"&amp;Hypothèses!$D$42&amp;"'!$A:$I"),6,FALSE)*F44,0)</f>
        <v>0</v>
      </c>
      <c r="G61" s="68">
        <f ca="1">IF(Hypothèses!$D$39=1,VLOOKUP("IDhours_sold"&amp;"S1"&amp;G$39&amp;Hypothèses!$D$17&amp;Hypothèses!$D$18,INDIRECT("'"&amp;Hypothèses!$D$42&amp;"'!$A:$I"),6,FALSE)*G44,0)</f>
        <v>0</v>
      </c>
      <c r="H61" s="68">
        <f ca="1">IF(Hypothèses!$D$39=1,VLOOKUP("IDhours_sold"&amp;"S1"&amp;H$39&amp;Hypothèses!$D$17&amp;Hypothèses!$D$18,INDIRECT("'"&amp;Hypothèses!$D$42&amp;"'!$A:$I"),6,FALSE)*H44,0)</f>
        <v>0</v>
      </c>
      <c r="I61" s="68">
        <f ca="1">IF(Hypothèses!$D$39=1,VLOOKUP("IDhours_sold"&amp;"S1"&amp;I$39&amp;Hypothèses!$D$17&amp;Hypothèses!$D$18,INDIRECT("'"&amp;Hypothèses!$D$42&amp;"'!$A:$I"),6,FALSE)*I44,0)</f>
        <v>0</v>
      </c>
      <c r="J61" s="68">
        <f ca="1">IF(Hypothèses!$D$39=1,VLOOKUP("IDhours_sold"&amp;"S1"&amp;J$39&amp;Hypothèses!$D$17&amp;Hypothèses!$D$18,INDIRECT("'"&amp;Hypothèses!$D$42&amp;"'!$A:$I"),6,FALSE)*J44,0)</f>
        <v>0</v>
      </c>
      <c r="K61" s="68">
        <f ca="1">IF(Hypothèses!$D$39=1,VLOOKUP("IDhours_sold"&amp;"S1"&amp;K$39&amp;Hypothèses!$D$17&amp;Hypothèses!$D$18,INDIRECT("'"&amp;Hypothèses!$D$42&amp;"'!$A:$I"),6,FALSE)*K44,0)</f>
        <v>0</v>
      </c>
      <c r="L61" s="68">
        <f ca="1">IF(Hypothèses!$D$39=1,VLOOKUP("IDhours_sold"&amp;"S1"&amp;L$39&amp;Hypothèses!$D$17&amp;Hypothèses!$D$18,INDIRECT("'"&amp;Hypothèses!$D$42&amp;"'!$A:$I"),6,FALSE)*L44,0)</f>
        <v>0</v>
      </c>
      <c r="M61" s="68">
        <f ca="1">IF(Hypothèses!$D$39=1,VLOOKUP("IDhours_sold"&amp;"S1"&amp;M$39&amp;Hypothèses!$D$17&amp;Hypothèses!$D$18,INDIRECT("'"&amp;Hypothèses!$D$42&amp;"'!$A:$I"),6,FALSE)*M44,0)</f>
        <v>0</v>
      </c>
      <c r="N61" s="68">
        <f ca="1">IF(Hypothèses!$D$39=1,VLOOKUP("IDhours_sold"&amp;"S1"&amp;N$39&amp;Hypothèses!$D$17&amp;Hypothèses!$D$18,INDIRECT("'"&amp;Hypothèses!$D$42&amp;"'!$A:$I"),6,FALSE)*N44,0)</f>
        <v>0</v>
      </c>
      <c r="O61" s="68">
        <f ca="1">IF(Hypothèses!$D$39=1,VLOOKUP("IDhours_sold"&amp;"S1"&amp;O$39&amp;Hypothèses!$D$17&amp;Hypothèses!$D$18,INDIRECT("'"&amp;Hypothèses!$D$42&amp;"'!$A:$I"),6,FALSE)*O44,0)</f>
        <v>0</v>
      </c>
      <c r="P61" s="68">
        <f ca="1">IF(Hypothèses!$D$39=1,VLOOKUP("IDhours_sold"&amp;"S1"&amp;P$39&amp;Hypothèses!$D$17&amp;Hypothèses!$D$18,INDIRECT("'"&amp;Hypothèses!$D$42&amp;"'!$A:$I"),6,FALSE)*P44,0)</f>
        <v>0</v>
      </c>
      <c r="Q61" s="68">
        <f ca="1">IF(Hypothèses!$D$39=1,VLOOKUP("IDhours_sold"&amp;"S1"&amp;Q$39&amp;Hypothèses!$D$17&amp;Hypothèses!$D$18,INDIRECT("'"&amp;Hypothèses!$D$42&amp;"'!$A:$I"),6,FALSE)*Q44,0)</f>
        <v>0</v>
      </c>
      <c r="R61" s="68">
        <f ca="1">IF(Hypothèses!$D$39=1,VLOOKUP("IDhours_sold"&amp;"S1"&amp;R$39&amp;Hypothèses!$D$17&amp;Hypothèses!$D$18,INDIRECT("'"&amp;Hypothèses!$D$42&amp;"'!$A:$I"),6,FALSE)*R44,0)</f>
        <v>0</v>
      </c>
      <c r="S61" s="68">
        <f ca="1">IF(Hypothèses!$D$39=1,VLOOKUP("IDhours_sold"&amp;"S1"&amp;S$39&amp;Hypothèses!$D$17&amp;Hypothèses!$D$18,INDIRECT("'"&amp;Hypothèses!$D$42&amp;"'!$A:$I"),6,FALSE)*S44,0)</f>
        <v>0</v>
      </c>
      <c r="T61" s="68">
        <f ca="1">IF(Hypothèses!$D$39=1,VLOOKUP("IDhours_sold"&amp;"S1"&amp;T$39&amp;Hypothèses!$D$17&amp;Hypothèses!$D$18,INDIRECT("'"&amp;Hypothèses!$D$42&amp;"'!$A:$I"),6,FALSE)*T44,0)</f>
        <v>0</v>
      </c>
      <c r="U61" s="68">
        <f ca="1">IF(Hypothèses!$D$39=1,VLOOKUP("IDhours_sold"&amp;"S1"&amp;U$39&amp;Hypothèses!$D$17&amp;Hypothèses!$D$18,INDIRECT("'"&amp;Hypothèses!$D$42&amp;"'!$A:$I"),6,FALSE)*U44,0)</f>
        <v>0</v>
      </c>
      <c r="V61" s="68">
        <f ca="1">IF(Hypothèses!$D$39=1,VLOOKUP("IDhours_sold"&amp;"S1"&amp;V$39&amp;Hypothèses!$D$17&amp;Hypothèses!$D$18,INDIRECT("'"&amp;Hypothèses!$D$42&amp;"'!$A:$I"),6,FALSE)*V44,0)</f>
        <v>0</v>
      </c>
      <c r="W61" s="68">
        <f ca="1">IF(Hypothèses!$D$39=1,VLOOKUP("IDhours_sold"&amp;"S1"&amp;W$39&amp;Hypothèses!$D$17&amp;Hypothèses!$D$18,INDIRECT("'"&amp;Hypothèses!$D$42&amp;"'!$A:$I"),6,FALSE)*W44,0)</f>
        <v>0</v>
      </c>
      <c r="X61" s="68">
        <f ca="1">IF(Hypothèses!$D$39=1,VLOOKUP("IDhours_sold"&amp;"S1"&amp;X$39&amp;Hypothèses!$D$17&amp;Hypothèses!$D$18,INDIRECT("'"&amp;Hypothèses!$D$42&amp;"'!$A:$I"),6,FALSE)*X44,0)</f>
        <v>0</v>
      </c>
      <c r="Y61" s="68">
        <f ca="1">IF(Hypothèses!$D$39=1,VLOOKUP("IDhours_sold"&amp;"S1"&amp;Y$39&amp;Hypothèses!$D$17&amp;Hypothèses!$D$18,INDIRECT("'"&amp;Hypothèses!$D$42&amp;"'!$A:$I"),6,FALSE)*Y44,0)</f>
        <v>0</v>
      </c>
      <c r="Z61" s="68">
        <f ca="1">IF(Hypothèses!$D$39=1,VLOOKUP("IDhours_sold"&amp;"S1"&amp;Z$39&amp;Hypothèses!$D$17&amp;Hypothèses!$D$18,INDIRECT("'"&amp;Hypothèses!$D$42&amp;"'!$A:$I"),6,FALSE)*Z44,0)</f>
        <v>0</v>
      </c>
      <c r="AA61" s="68">
        <f ca="1">IF(Hypothèses!$D$39=1,VLOOKUP("IDhours_sold"&amp;"S1"&amp;AA$39&amp;Hypothèses!$D$17&amp;Hypothèses!$D$18,INDIRECT("'"&amp;Hypothèses!$D$42&amp;"'!$A:$I"),6,FALSE)*AA44,0)</f>
        <v>0</v>
      </c>
      <c r="AB61" s="68">
        <f ca="1">IF(Hypothèses!$D$39=1,VLOOKUP("IDhours_sold"&amp;"S1"&amp;AB$39&amp;Hypothèses!$D$17&amp;Hypothèses!$D$18,INDIRECT("'"&amp;Hypothèses!$D$42&amp;"'!$A:$I"),6,FALSE)*AB44,0)</f>
        <v>0</v>
      </c>
      <c r="AC61" s="68">
        <f ca="1">IF(Hypothèses!$D$39=1,VLOOKUP("IDhours_sold"&amp;"S1"&amp;AC$39&amp;Hypothèses!$D$17&amp;Hypothèses!$D$18,INDIRECT("'"&amp;Hypothèses!$D$42&amp;"'!$A:$I"),6,FALSE)*AC44,0)</f>
        <v>0</v>
      </c>
      <c r="AD61" s="68">
        <f ca="1">IF(Hypothèses!$D$39=1,VLOOKUP("IDhours_sold"&amp;"S1"&amp;AD$39&amp;Hypothèses!$D$17&amp;Hypothèses!$D$18,INDIRECT("'"&amp;Hypothèses!$D$42&amp;"'!$A:$I"),6,FALSE)*AD44,0)</f>
        <v>0</v>
      </c>
      <c r="AE61" s="68">
        <f ca="1">IF(Hypothèses!$D$39=1,VLOOKUP("IDhours_sold"&amp;"S1"&amp;AE$39&amp;Hypothèses!$D$17&amp;Hypothèses!$D$18,INDIRECT("'"&amp;Hypothèses!$D$42&amp;"'!$A:$I"),6,FALSE)*AE44,0)</f>
        <v>0</v>
      </c>
      <c r="AF61" s="68">
        <f ca="1">IF(Hypothèses!$D$39=1,VLOOKUP("IDhours_sold"&amp;"S1"&amp;AF$39&amp;Hypothèses!$D$17&amp;Hypothèses!$D$18,INDIRECT("'"&amp;Hypothèses!$D$42&amp;"'!$A:$I"),6,FALSE)*AF44,0)</f>
        <v>0</v>
      </c>
      <c r="AG61" s="68">
        <f ca="1">IF(Hypothèses!$D$39=1,VLOOKUP("IDhours_sold"&amp;"S1"&amp;AG$39&amp;Hypothèses!$D$17&amp;Hypothèses!$D$18,INDIRECT("'"&amp;Hypothèses!$D$42&amp;"'!$A:$I"),6,FALSE)*AG44,0)</f>
        <v>0</v>
      </c>
      <c r="AH61" s="74"/>
    </row>
    <row r="62" spans="2:34" hidden="1" outlineLevel="1" x14ac:dyDescent="0.3">
      <c r="B62" s="77" t="s">
        <v>131</v>
      </c>
      <c r="C62" s="77"/>
      <c r="D62" s="71">
        <f ca="1">IF(Hypothèses!$D$39=1,VLOOKUP("IDcost"&amp;"S1"&amp;D$39&amp;Hypothèses!$D$17&amp;Hypothèses!$D$18,INDIRECT("'"&amp;Hypothèses!$D$42&amp;"'!$A:$I"),6,FALSE)*(1+$C$37)^C43 * D44,0)</f>
        <v>0</v>
      </c>
      <c r="E62" s="71">
        <f ca="1">IF(Hypothèses!$D$39=1,VLOOKUP("IDcost"&amp;"S1"&amp;E$39&amp;Hypothèses!$D$17&amp;Hypothèses!$D$18,INDIRECT("'"&amp;Hypothèses!$D$42&amp;"'!$A:$I"),6,FALSE)*(1+$C$37)^D43 * E44,0)</f>
        <v>0</v>
      </c>
      <c r="F62" s="71">
        <f ca="1">IF(Hypothèses!$D$39=1,VLOOKUP("IDcost"&amp;"S1"&amp;F$39&amp;Hypothèses!$D$17&amp;Hypothèses!$D$18,INDIRECT("'"&amp;Hypothèses!$D$42&amp;"'!$A:$I"),6,FALSE)*(1+$C$37)^E43 * F44,0)</f>
        <v>0</v>
      </c>
      <c r="G62" s="71">
        <f ca="1">IF(Hypothèses!$D$39=1,VLOOKUP("IDcost"&amp;"S1"&amp;G$39&amp;Hypothèses!$D$17&amp;Hypothèses!$D$18,INDIRECT("'"&amp;Hypothèses!$D$42&amp;"'!$A:$I"),6,FALSE)*(1+$C$37)^F43 * G44,0)</f>
        <v>0</v>
      </c>
      <c r="H62" s="71">
        <f ca="1">IF(Hypothèses!$D$39=1,VLOOKUP("IDcost"&amp;"S1"&amp;H$39&amp;Hypothèses!$D$17&amp;Hypothèses!$D$18,INDIRECT("'"&amp;Hypothèses!$D$42&amp;"'!$A:$I"),6,FALSE)*(1+$C$37)^G43 * H44,0)</f>
        <v>0</v>
      </c>
      <c r="I62" s="71">
        <f ca="1">IF(Hypothèses!$D$39=1,VLOOKUP("IDcost"&amp;"S1"&amp;I$39&amp;Hypothèses!$D$17&amp;Hypothèses!$D$18,INDIRECT("'"&amp;Hypothèses!$D$42&amp;"'!$A:$I"),6,FALSE)*(1+$C$37)^H43 * I44,0)</f>
        <v>0</v>
      </c>
      <c r="J62" s="71">
        <f ca="1">IF(Hypothèses!$D$39=1,VLOOKUP("IDcost"&amp;"S1"&amp;J$39&amp;Hypothèses!$D$17&amp;Hypothèses!$D$18,INDIRECT("'"&amp;Hypothèses!$D$42&amp;"'!$A:$I"),6,FALSE)*(1+$C$37)^I43 * J44,0)</f>
        <v>0</v>
      </c>
      <c r="K62" s="71">
        <f ca="1">IF(Hypothèses!$D$39=1,VLOOKUP("IDcost"&amp;"S1"&amp;K$39&amp;Hypothèses!$D$17&amp;Hypothèses!$D$18,INDIRECT("'"&amp;Hypothèses!$D$42&amp;"'!$A:$I"),6,FALSE)*(1+$C$37)^J43 * K44,0)</f>
        <v>0</v>
      </c>
      <c r="L62" s="71">
        <f ca="1">IF(Hypothèses!$D$39=1,VLOOKUP("IDcost"&amp;"S1"&amp;L$39&amp;Hypothèses!$D$17&amp;Hypothèses!$D$18,INDIRECT("'"&amp;Hypothèses!$D$42&amp;"'!$A:$I"),6,FALSE)*(1+$C$37)^K43 * L44,0)</f>
        <v>0</v>
      </c>
      <c r="M62" s="71">
        <f ca="1">IF(Hypothèses!$D$39=1,VLOOKUP("IDcost"&amp;"S1"&amp;M$39&amp;Hypothèses!$D$17&amp;Hypothèses!$D$18,INDIRECT("'"&amp;Hypothèses!$D$42&amp;"'!$A:$I"),6,FALSE)*(1+$C$37)^L43 * M44,0)</f>
        <v>0</v>
      </c>
      <c r="N62" s="71">
        <f ca="1">IF(Hypothèses!$D$39=1,VLOOKUP("IDcost"&amp;"S1"&amp;N$39&amp;Hypothèses!$D$17&amp;Hypothèses!$D$18,INDIRECT("'"&amp;Hypothèses!$D$42&amp;"'!$A:$I"),6,FALSE)*(1+$C$37)^M43 * N44,0)</f>
        <v>0</v>
      </c>
      <c r="O62" s="71">
        <f ca="1">IF(Hypothèses!$D$39=1,VLOOKUP("IDcost"&amp;"S1"&amp;O$39&amp;Hypothèses!$D$17&amp;Hypothèses!$D$18,INDIRECT("'"&amp;Hypothèses!$D$42&amp;"'!$A:$I"),6,FALSE)*(1+$C$37)^N43 * O44,0)</f>
        <v>0</v>
      </c>
      <c r="P62" s="71">
        <f ca="1">IF(Hypothèses!$D$39=1,VLOOKUP("IDcost"&amp;"S1"&amp;P$39&amp;Hypothèses!$D$17&amp;Hypothèses!$D$18,INDIRECT("'"&amp;Hypothèses!$D$42&amp;"'!$A:$I"),6,FALSE)*(1+$C$37)^O43 * P44,0)</f>
        <v>0</v>
      </c>
      <c r="Q62" s="71">
        <f ca="1">IF(Hypothèses!$D$39=1,VLOOKUP("IDcost"&amp;"S1"&amp;Q$39&amp;Hypothèses!$D$17&amp;Hypothèses!$D$18,INDIRECT("'"&amp;Hypothèses!$D$42&amp;"'!$A:$I"),6,FALSE)*(1+$C$37)^P43 * Q44,0)</f>
        <v>0</v>
      </c>
      <c r="R62" s="71">
        <f ca="1">IF(Hypothèses!$D$39=1,VLOOKUP("IDcost"&amp;"S1"&amp;R$39&amp;Hypothèses!$D$17&amp;Hypothèses!$D$18,INDIRECT("'"&amp;Hypothèses!$D$42&amp;"'!$A:$I"),6,FALSE)*(1+$C$37)^Q43 * R44,0)</f>
        <v>0</v>
      </c>
      <c r="S62" s="71">
        <f ca="1">IF(Hypothèses!$D$39=1,VLOOKUP("IDcost"&amp;"S1"&amp;S$39&amp;Hypothèses!$D$17&amp;Hypothèses!$D$18,INDIRECT("'"&amp;Hypothèses!$D$42&amp;"'!$A:$I"),6,FALSE)*(1+$C$37)^R43 * S44,0)</f>
        <v>0</v>
      </c>
      <c r="T62" s="71">
        <f ca="1">IF(Hypothèses!$D$39=1,VLOOKUP("IDcost"&amp;"S1"&amp;T$39&amp;Hypothèses!$D$17&amp;Hypothèses!$D$18,INDIRECT("'"&amp;Hypothèses!$D$42&amp;"'!$A:$I"),6,FALSE)*(1+$C$37)^S43 * T44,0)</f>
        <v>0</v>
      </c>
      <c r="U62" s="71">
        <f ca="1">IF(Hypothèses!$D$39=1,VLOOKUP("IDcost"&amp;"S1"&amp;U$39&amp;Hypothèses!$D$17&amp;Hypothèses!$D$18,INDIRECT("'"&amp;Hypothèses!$D$42&amp;"'!$A:$I"),6,FALSE)*(1+$C$37)^T43 * U44,0)</f>
        <v>0</v>
      </c>
      <c r="V62" s="71">
        <f ca="1">IF(Hypothèses!$D$39=1,VLOOKUP("IDcost"&amp;"S1"&amp;V$39&amp;Hypothèses!$D$17&amp;Hypothèses!$D$18,INDIRECT("'"&amp;Hypothèses!$D$42&amp;"'!$A:$I"),6,FALSE)*(1+$C$37)^U43 * V44,0)</f>
        <v>0</v>
      </c>
      <c r="W62" s="71">
        <f ca="1">IF(Hypothèses!$D$39=1,VLOOKUP("IDcost"&amp;"S1"&amp;W$39&amp;Hypothèses!$D$17&amp;Hypothèses!$D$18,INDIRECT("'"&amp;Hypothèses!$D$42&amp;"'!$A:$I"),6,FALSE)*(1+$C$37)^V43 * W44,0)</f>
        <v>0</v>
      </c>
      <c r="X62" s="71">
        <f ca="1">IF(Hypothèses!$D$39=1,VLOOKUP("IDcost"&amp;"S1"&amp;X$39&amp;Hypothèses!$D$17&amp;Hypothèses!$D$18,INDIRECT("'"&amp;Hypothèses!$D$42&amp;"'!$A:$I"),6,FALSE)*(1+$C$37)^W43 * X44,0)</f>
        <v>0</v>
      </c>
      <c r="Y62" s="71">
        <f ca="1">IF(Hypothèses!$D$39=1,VLOOKUP("IDcost"&amp;"S1"&amp;Y$39&amp;Hypothèses!$D$17&amp;Hypothèses!$D$18,INDIRECT("'"&amp;Hypothèses!$D$42&amp;"'!$A:$I"),6,FALSE)*(1+$C$37)^X43 * Y44,0)</f>
        <v>0</v>
      </c>
      <c r="Z62" s="71">
        <f ca="1">IF(Hypothèses!$D$39=1,VLOOKUP("IDcost"&amp;"S1"&amp;Z$39&amp;Hypothèses!$D$17&amp;Hypothèses!$D$18,INDIRECT("'"&amp;Hypothèses!$D$42&amp;"'!$A:$I"),6,FALSE)*(1+$C$37)^Y43 * Z44,0)</f>
        <v>0</v>
      </c>
      <c r="AA62" s="71">
        <f ca="1">IF(Hypothèses!$D$39=1,VLOOKUP("IDcost"&amp;"S1"&amp;AA$39&amp;Hypothèses!$D$17&amp;Hypothèses!$D$18,INDIRECT("'"&amp;Hypothèses!$D$42&amp;"'!$A:$I"),6,FALSE)*(1+$C$37)^Z43 * AA44,0)</f>
        <v>0</v>
      </c>
      <c r="AB62" s="71">
        <f ca="1">IF(Hypothèses!$D$39=1,VLOOKUP("IDcost"&amp;"S1"&amp;AB$39&amp;Hypothèses!$D$17&amp;Hypothèses!$D$18,INDIRECT("'"&amp;Hypothèses!$D$42&amp;"'!$A:$I"),6,FALSE)*(1+$C$37)^AA43 * AB44,0)</f>
        <v>0</v>
      </c>
      <c r="AC62" s="71">
        <f ca="1">IF(Hypothèses!$D$39=1,VLOOKUP("IDcost"&amp;"S1"&amp;AC$39&amp;Hypothèses!$D$17&amp;Hypothèses!$D$18,INDIRECT("'"&amp;Hypothèses!$D$42&amp;"'!$A:$I"),6,FALSE)*(1+$C$37)^AB43 * AC44,0)</f>
        <v>0</v>
      </c>
      <c r="AD62" s="71">
        <f ca="1">IF(Hypothèses!$D$39=1,VLOOKUP("IDcost"&amp;"S1"&amp;AD$39&amp;Hypothèses!$D$17&amp;Hypothèses!$D$18,INDIRECT("'"&amp;Hypothèses!$D$42&amp;"'!$A:$I"),6,FALSE)*(1+$C$37)^AC43 * AD44,0)</f>
        <v>0</v>
      </c>
      <c r="AE62" s="71">
        <f ca="1">IF(Hypothèses!$D$39=1,VLOOKUP("IDcost"&amp;"S1"&amp;AE$39&amp;Hypothèses!$D$17&amp;Hypothèses!$D$18,INDIRECT("'"&amp;Hypothèses!$D$42&amp;"'!$A:$I"),6,FALSE)*(1+$C$37)^AD43 * AE44,0)</f>
        <v>0</v>
      </c>
      <c r="AF62" s="71">
        <f ca="1">IF(Hypothèses!$D$39=1,VLOOKUP("IDcost"&amp;"S1"&amp;AF$39&amp;Hypothèses!$D$17&amp;Hypothèses!$D$18,INDIRECT("'"&amp;Hypothèses!$D$42&amp;"'!$A:$I"),6,FALSE)*(1+$C$37)^AE43 * AF44,0)</f>
        <v>0</v>
      </c>
      <c r="AG62" s="71">
        <f ca="1">IF(Hypothèses!$D$39=1,VLOOKUP("IDcost"&amp;"S1"&amp;AG$39&amp;Hypothèses!$D$17&amp;Hypothèses!$D$18,INDIRECT("'"&amp;Hypothèses!$D$42&amp;"'!$A:$I"),6,FALSE)*(1+$C$37)^AF43 * AG44,0)</f>
        <v>0</v>
      </c>
      <c r="AH62" s="74"/>
    </row>
    <row r="63" spans="2:34" ht="14.5" hidden="1" outlineLevel="1" x14ac:dyDescent="0.35">
      <c r="B63" s="84" t="s">
        <v>26</v>
      </c>
      <c r="C63" s="77"/>
      <c r="D63" s="135"/>
      <c r="E63" s="135" t="e">
        <f t="shared" ref="E63" ca="1" si="176">E62/D62-1</f>
        <v>#DIV/0!</v>
      </c>
      <c r="F63" s="135" t="e">
        <f t="shared" ref="F63" ca="1" si="177">F62/E62-1</f>
        <v>#DIV/0!</v>
      </c>
      <c r="G63" s="135" t="e">
        <f t="shared" ref="G63" ca="1" si="178">G62/F62-1</f>
        <v>#DIV/0!</v>
      </c>
      <c r="H63" s="135" t="e">
        <f t="shared" ref="H63" ca="1" si="179">H62/G62-1</f>
        <v>#DIV/0!</v>
      </c>
      <c r="I63" s="135" t="e">
        <f t="shared" ref="I63" ca="1" si="180">I62/H62-1</f>
        <v>#DIV/0!</v>
      </c>
      <c r="J63" s="135" t="e">
        <f t="shared" ref="J63" ca="1" si="181">J62/I62-1</f>
        <v>#DIV/0!</v>
      </c>
      <c r="K63" s="135" t="e">
        <f t="shared" ref="K63" ca="1" si="182">K62/J62-1</f>
        <v>#DIV/0!</v>
      </c>
      <c r="L63" s="135" t="e">
        <f t="shared" ref="L63" ca="1" si="183">L62/K62-1</f>
        <v>#DIV/0!</v>
      </c>
      <c r="M63" s="135" t="e">
        <f t="shared" ref="M63" ca="1" si="184">M62/L62-1</f>
        <v>#DIV/0!</v>
      </c>
      <c r="N63" s="135" t="e">
        <f t="shared" ref="N63" ca="1" si="185">N62/M62-1</f>
        <v>#DIV/0!</v>
      </c>
      <c r="O63" s="135" t="e">
        <f t="shared" ref="O63" ca="1" si="186">O62/N62-1</f>
        <v>#DIV/0!</v>
      </c>
      <c r="P63" s="135" t="e">
        <f t="shared" ref="P63" ca="1" si="187">P62/O62-1</f>
        <v>#DIV/0!</v>
      </c>
      <c r="Q63" s="135" t="e">
        <f t="shared" ref="Q63" ca="1" si="188">Q62/P62-1</f>
        <v>#DIV/0!</v>
      </c>
      <c r="R63" s="135" t="e">
        <f t="shared" ref="R63" ca="1" si="189">R62/Q62-1</f>
        <v>#DIV/0!</v>
      </c>
      <c r="S63" s="135" t="e">
        <f t="shared" ref="S63" ca="1" si="190">S62/R62-1</f>
        <v>#DIV/0!</v>
      </c>
      <c r="T63" s="135" t="e">
        <f t="shared" ref="T63" ca="1" si="191">T62/S62-1</f>
        <v>#DIV/0!</v>
      </c>
      <c r="U63" s="135" t="e">
        <f t="shared" ref="U63" ca="1" si="192">U62/T62-1</f>
        <v>#DIV/0!</v>
      </c>
      <c r="V63" s="135" t="e">
        <f t="shared" ref="V63" ca="1" si="193">V62/U62-1</f>
        <v>#DIV/0!</v>
      </c>
      <c r="W63" s="135" t="e">
        <f t="shared" ref="W63" ca="1" si="194">W62/V62-1</f>
        <v>#DIV/0!</v>
      </c>
      <c r="X63" s="135" t="e">
        <f t="shared" ref="X63" ca="1" si="195">X62/W62-1</f>
        <v>#DIV/0!</v>
      </c>
      <c r="Y63" s="135" t="e">
        <f t="shared" ref="Y63" ca="1" si="196">Y62/X62-1</f>
        <v>#DIV/0!</v>
      </c>
      <c r="Z63" s="135" t="e">
        <f t="shared" ref="Z63" ca="1" si="197">Z62/Y62-1</f>
        <v>#DIV/0!</v>
      </c>
      <c r="AA63" s="135" t="e">
        <f t="shared" ref="AA63" ca="1" si="198">AA62/Z62-1</f>
        <v>#DIV/0!</v>
      </c>
      <c r="AB63" s="135" t="e">
        <f t="shared" ref="AB63" ca="1" si="199">AB62/AA62-1</f>
        <v>#DIV/0!</v>
      </c>
      <c r="AC63" s="135" t="e">
        <f t="shared" ref="AC63" ca="1" si="200">AC62/AB62-1</f>
        <v>#DIV/0!</v>
      </c>
      <c r="AD63" s="135" t="e">
        <f t="shared" ref="AD63" ca="1" si="201">AD62/AC62-1</f>
        <v>#DIV/0!</v>
      </c>
      <c r="AE63" s="135" t="e">
        <f t="shared" ref="AE63" ca="1" si="202">AE62/AD62-1</f>
        <v>#DIV/0!</v>
      </c>
      <c r="AF63" s="135" t="e">
        <f t="shared" ref="AF63" ca="1" si="203">AF62/AE62-1</f>
        <v>#DIV/0!</v>
      </c>
      <c r="AG63" s="135" t="e">
        <f t="shared" ref="AG63" ca="1" si="204">AG62/AF62-1</f>
        <v>#DIV/0!</v>
      </c>
      <c r="AH63" s="74"/>
    </row>
    <row r="64" spans="2:34" hidden="1" outlineLevel="1" x14ac:dyDescent="0.3">
      <c r="B64" s="77" t="s">
        <v>132</v>
      </c>
      <c r="C64" s="77"/>
      <c r="D64" s="68">
        <f ca="1">IF(Hypothèses!$D$39=1,VLOOKUP("IDenergy_bought"&amp;"S1"&amp;D$39&amp;Hypothèses!$D$17&amp;Hypothèses!$D$18,INDIRECT("'"&amp;Hypothèses!$D$42&amp;"'!$A:$I"),6,FALSE) * D44,0)</f>
        <v>0</v>
      </c>
      <c r="E64" s="68">
        <f ca="1">IF(Hypothèses!$D$39=1,VLOOKUP("IDenergy_bought"&amp;"S1"&amp;E$39&amp;Hypothèses!$D$17&amp;Hypothèses!$D$18,INDIRECT("'"&amp;Hypothèses!$D$42&amp;"'!$A:$I"),6,FALSE) * E44,0)</f>
        <v>0</v>
      </c>
      <c r="F64" s="68">
        <f ca="1">IF(Hypothèses!$D$39=1,VLOOKUP("IDenergy_bought"&amp;"S1"&amp;F$39&amp;Hypothèses!$D$17&amp;Hypothèses!$D$18,INDIRECT("'"&amp;Hypothèses!$D$42&amp;"'!$A:$I"),6,FALSE) * F44,0)</f>
        <v>0</v>
      </c>
      <c r="G64" s="68">
        <f ca="1">IF(Hypothèses!$D$39=1,VLOOKUP("IDenergy_bought"&amp;"S1"&amp;G$39&amp;Hypothèses!$D$17&amp;Hypothèses!$D$18,INDIRECT("'"&amp;Hypothèses!$D$42&amp;"'!$A:$I"),6,FALSE) * G44,0)</f>
        <v>0</v>
      </c>
      <c r="H64" s="68">
        <f ca="1">IF(Hypothèses!$D$39=1,VLOOKUP("IDenergy_bought"&amp;"S1"&amp;H$39&amp;Hypothèses!$D$17&amp;Hypothèses!$D$18,INDIRECT("'"&amp;Hypothèses!$D$42&amp;"'!$A:$I"),6,FALSE) * H44,0)</f>
        <v>0</v>
      </c>
      <c r="I64" s="68">
        <f ca="1">IF(Hypothèses!$D$39=1,VLOOKUP("IDenergy_bought"&amp;"S1"&amp;I$39&amp;Hypothèses!$D$17&amp;Hypothèses!$D$18,INDIRECT("'"&amp;Hypothèses!$D$42&amp;"'!$A:$I"),6,FALSE) * I44,0)</f>
        <v>0</v>
      </c>
      <c r="J64" s="68">
        <f ca="1">IF(Hypothèses!$D$39=1,VLOOKUP("IDenergy_bought"&amp;"S1"&amp;J$39&amp;Hypothèses!$D$17&amp;Hypothèses!$D$18,INDIRECT("'"&amp;Hypothèses!$D$42&amp;"'!$A:$I"),6,FALSE) * J44,0)</f>
        <v>0</v>
      </c>
      <c r="K64" s="68">
        <f ca="1">IF(Hypothèses!$D$39=1,VLOOKUP("IDenergy_bought"&amp;"S1"&amp;K$39&amp;Hypothèses!$D$17&amp;Hypothèses!$D$18,INDIRECT("'"&amp;Hypothèses!$D$42&amp;"'!$A:$I"),6,FALSE) * K44,0)</f>
        <v>0</v>
      </c>
      <c r="L64" s="68">
        <f ca="1">IF(Hypothèses!$D$39=1,VLOOKUP("IDenergy_bought"&amp;"S1"&amp;L$39&amp;Hypothèses!$D$17&amp;Hypothèses!$D$18,INDIRECT("'"&amp;Hypothèses!$D$42&amp;"'!$A:$I"),6,FALSE) * L44,0)</f>
        <v>0</v>
      </c>
      <c r="M64" s="68">
        <f ca="1">IF(Hypothèses!$D$39=1,VLOOKUP("IDenergy_bought"&amp;"S1"&amp;M$39&amp;Hypothèses!$D$17&amp;Hypothèses!$D$18,INDIRECT("'"&amp;Hypothèses!$D$42&amp;"'!$A:$I"),6,FALSE) * M44,0)</f>
        <v>0</v>
      </c>
      <c r="N64" s="68">
        <f ca="1">IF(Hypothèses!$D$39=1,VLOOKUP("IDenergy_bought"&amp;"S1"&amp;N$39&amp;Hypothèses!$D$17&amp;Hypothèses!$D$18,INDIRECT("'"&amp;Hypothèses!$D$42&amp;"'!$A:$I"),6,FALSE) * N44,0)</f>
        <v>0</v>
      </c>
      <c r="O64" s="68">
        <f ca="1">IF(Hypothèses!$D$39=1,VLOOKUP("IDenergy_bought"&amp;"S1"&amp;O$39&amp;Hypothèses!$D$17&amp;Hypothèses!$D$18,INDIRECT("'"&amp;Hypothèses!$D$42&amp;"'!$A:$I"),6,FALSE) * O44,0)</f>
        <v>0</v>
      </c>
      <c r="P64" s="68">
        <f ca="1">IF(Hypothèses!$D$39=1,VLOOKUP("IDenergy_bought"&amp;"S1"&amp;P$39&amp;Hypothèses!$D$17&amp;Hypothèses!$D$18,INDIRECT("'"&amp;Hypothèses!$D$42&amp;"'!$A:$I"),6,FALSE) * P44,0)</f>
        <v>0</v>
      </c>
      <c r="Q64" s="68">
        <f ca="1">IF(Hypothèses!$D$39=1,VLOOKUP("IDenergy_bought"&amp;"S1"&amp;Q$39&amp;Hypothèses!$D$17&amp;Hypothèses!$D$18,INDIRECT("'"&amp;Hypothèses!$D$42&amp;"'!$A:$I"),6,FALSE) * Q44,0)</f>
        <v>0</v>
      </c>
      <c r="R64" s="68">
        <f ca="1">IF(Hypothèses!$D$39=1,VLOOKUP("IDenergy_bought"&amp;"S1"&amp;R$39&amp;Hypothèses!$D$17&amp;Hypothèses!$D$18,INDIRECT("'"&amp;Hypothèses!$D$42&amp;"'!$A:$I"),6,FALSE) * R44,0)</f>
        <v>0</v>
      </c>
      <c r="S64" s="68">
        <f ca="1">IF(Hypothèses!$D$39=1,VLOOKUP("IDenergy_bought"&amp;"S1"&amp;S$39&amp;Hypothèses!$D$17&amp;Hypothèses!$D$18,INDIRECT("'"&amp;Hypothèses!$D$42&amp;"'!$A:$I"),6,FALSE) * S44,0)</f>
        <v>0</v>
      </c>
      <c r="T64" s="68">
        <f ca="1">IF(Hypothèses!$D$39=1,VLOOKUP("IDenergy_bought"&amp;"S1"&amp;T$39&amp;Hypothèses!$D$17&amp;Hypothèses!$D$18,INDIRECT("'"&amp;Hypothèses!$D$42&amp;"'!$A:$I"),6,FALSE) * T44,0)</f>
        <v>0</v>
      </c>
      <c r="U64" s="68">
        <f ca="1">IF(Hypothèses!$D$39=1,VLOOKUP("IDenergy_bought"&amp;"S1"&amp;U$39&amp;Hypothèses!$D$17&amp;Hypothèses!$D$18,INDIRECT("'"&amp;Hypothèses!$D$42&amp;"'!$A:$I"),6,FALSE) * U44,0)</f>
        <v>0</v>
      </c>
      <c r="V64" s="68">
        <f ca="1">IF(Hypothèses!$D$39=1,VLOOKUP("IDenergy_bought"&amp;"S1"&amp;V$39&amp;Hypothèses!$D$17&amp;Hypothèses!$D$18,INDIRECT("'"&amp;Hypothèses!$D$42&amp;"'!$A:$I"),6,FALSE) * V44,0)</f>
        <v>0</v>
      </c>
      <c r="W64" s="68">
        <f ca="1">IF(Hypothèses!$D$39=1,VLOOKUP("IDenergy_bought"&amp;"S1"&amp;W$39&amp;Hypothèses!$D$17&amp;Hypothèses!$D$18,INDIRECT("'"&amp;Hypothèses!$D$42&amp;"'!$A:$I"),6,FALSE) * W44,0)</f>
        <v>0</v>
      </c>
      <c r="X64" s="68">
        <f ca="1">IF(Hypothèses!$D$39=1,VLOOKUP("IDenergy_bought"&amp;"S1"&amp;X$39&amp;Hypothèses!$D$17&amp;Hypothèses!$D$18,INDIRECT("'"&amp;Hypothèses!$D$42&amp;"'!$A:$I"),6,FALSE) * X44,0)</f>
        <v>0</v>
      </c>
      <c r="Y64" s="68">
        <f ca="1">IF(Hypothèses!$D$39=1,VLOOKUP("IDenergy_bought"&amp;"S1"&amp;Y$39&amp;Hypothèses!$D$17&amp;Hypothèses!$D$18,INDIRECT("'"&amp;Hypothèses!$D$42&amp;"'!$A:$I"),6,FALSE) * Y44,0)</f>
        <v>0</v>
      </c>
      <c r="Z64" s="68">
        <f ca="1">IF(Hypothèses!$D$39=1,VLOOKUP("IDenergy_bought"&amp;"S1"&amp;Z$39&amp;Hypothèses!$D$17&amp;Hypothèses!$D$18,INDIRECT("'"&amp;Hypothèses!$D$42&amp;"'!$A:$I"),6,FALSE) * Z44,0)</f>
        <v>0</v>
      </c>
      <c r="AA64" s="68">
        <f ca="1">IF(Hypothèses!$D$39=1,VLOOKUP("IDenergy_bought"&amp;"S1"&amp;AA$39&amp;Hypothèses!$D$17&amp;Hypothèses!$D$18,INDIRECT("'"&amp;Hypothèses!$D$42&amp;"'!$A:$I"),6,FALSE) * AA44,0)</f>
        <v>0</v>
      </c>
      <c r="AB64" s="68">
        <f ca="1">IF(Hypothèses!$D$39=1,VLOOKUP("IDenergy_bought"&amp;"S1"&amp;AB$39&amp;Hypothèses!$D$17&amp;Hypothèses!$D$18,INDIRECT("'"&amp;Hypothèses!$D$42&amp;"'!$A:$I"),6,FALSE) * AB44,0)</f>
        <v>0</v>
      </c>
      <c r="AC64" s="68">
        <f ca="1">IF(Hypothèses!$D$39=1,VLOOKUP("IDenergy_bought"&amp;"S1"&amp;AC$39&amp;Hypothèses!$D$17&amp;Hypothèses!$D$18,INDIRECT("'"&amp;Hypothèses!$D$42&amp;"'!$A:$I"),6,FALSE) * AC44,0)</f>
        <v>0</v>
      </c>
      <c r="AD64" s="68">
        <f ca="1">IF(Hypothèses!$D$39=1,VLOOKUP("IDenergy_bought"&amp;"S1"&amp;AD$39&amp;Hypothèses!$D$17&amp;Hypothèses!$D$18,INDIRECT("'"&amp;Hypothèses!$D$42&amp;"'!$A:$I"),6,FALSE) * AD44,0)</f>
        <v>0</v>
      </c>
      <c r="AE64" s="68">
        <f ca="1">IF(Hypothèses!$D$39=1,VLOOKUP("IDenergy_bought"&amp;"S1"&amp;AE$39&amp;Hypothèses!$D$17&amp;Hypothèses!$D$18,INDIRECT("'"&amp;Hypothèses!$D$42&amp;"'!$A:$I"),6,FALSE) * AE44,0)</f>
        <v>0</v>
      </c>
      <c r="AF64" s="68">
        <f ca="1">IF(Hypothèses!$D$39=1,VLOOKUP("IDenergy_bought"&amp;"S1"&amp;AF$39&amp;Hypothèses!$D$17&amp;Hypothèses!$D$18,INDIRECT("'"&amp;Hypothèses!$D$42&amp;"'!$A:$I"),6,FALSE) * AF44,0)</f>
        <v>0</v>
      </c>
      <c r="AG64" s="68">
        <f ca="1">IF(Hypothèses!$D$39=1,VLOOKUP("IDenergy_bought"&amp;"S1"&amp;AG$39&amp;Hypothèses!$D$17&amp;Hypothèses!$D$18,INDIRECT("'"&amp;Hypothèses!$D$42&amp;"'!$A:$I"),6,FALSE) * AG44,0)</f>
        <v>0</v>
      </c>
      <c r="AH64" s="74"/>
    </row>
    <row r="65" spans="2:34" ht="14.5" hidden="1" outlineLevel="1" x14ac:dyDescent="0.35">
      <c r="B65" s="84" t="s">
        <v>26</v>
      </c>
      <c r="C65" s="77"/>
      <c r="D65" s="135"/>
      <c r="E65" s="135" t="e">
        <f t="shared" ref="E65" ca="1" si="205">E64/D64-1</f>
        <v>#DIV/0!</v>
      </c>
      <c r="F65" s="135" t="e">
        <f t="shared" ref="F65" ca="1" si="206">F64/E64-1</f>
        <v>#DIV/0!</v>
      </c>
      <c r="G65" s="135" t="e">
        <f t="shared" ref="G65" ca="1" si="207">G64/F64-1</f>
        <v>#DIV/0!</v>
      </c>
      <c r="H65" s="135" t="e">
        <f t="shared" ref="H65" ca="1" si="208">H64/G64-1</f>
        <v>#DIV/0!</v>
      </c>
      <c r="I65" s="135" t="e">
        <f t="shared" ref="I65" ca="1" si="209">I64/H64-1</f>
        <v>#DIV/0!</v>
      </c>
      <c r="J65" s="135" t="e">
        <f t="shared" ref="J65" ca="1" si="210">J64/I64-1</f>
        <v>#DIV/0!</v>
      </c>
      <c r="K65" s="135" t="e">
        <f t="shared" ref="K65" ca="1" si="211">K64/J64-1</f>
        <v>#DIV/0!</v>
      </c>
      <c r="L65" s="135" t="e">
        <f t="shared" ref="L65" ca="1" si="212">L64/K64-1</f>
        <v>#DIV/0!</v>
      </c>
      <c r="M65" s="135" t="e">
        <f t="shared" ref="M65" ca="1" si="213">M64/L64-1</f>
        <v>#DIV/0!</v>
      </c>
      <c r="N65" s="135" t="e">
        <f t="shared" ref="N65" ca="1" si="214">N64/M64-1</f>
        <v>#DIV/0!</v>
      </c>
      <c r="O65" s="135" t="e">
        <f t="shared" ref="O65" ca="1" si="215">O64/N64-1</f>
        <v>#DIV/0!</v>
      </c>
      <c r="P65" s="135" t="e">
        <f t="shared" ref="P65" ca="1" si="216">P64/O64-1</f>
        <v>#DIV/0!</v>
      </c>
      <c r="Q65" s="135" t="e">
        <f t="shared" ref="Q65" ca="1" si="217">Q64/P64-1</f>
        <v>#DIV/0!</v>
      </c>
      <c r="R65" s="135" t="e">
        <f t="shared" ref="R65" ca="1" si="218">R64/Q64-1</f>
        <v>#DIV/0!</v>
      </c>
      <c r="S65" s="135" t="e">
        <f t="shared" ref="S65" ca="1" si="219">S64/R64-1</f>
        <v>#DIV/0!</v>
      </c>
      <c r="T65" s="135" t="e">
        <f t="shared" ref="T65" ca="1" si="220">T64/S64-1</f>
        <v>#DIV/0!</v>
      </c>
      <c r="U65" s="135" t="e">
        <f t="shared" ref="U65" ca="1" si="221">U64/T64-1</f>
        <v>#DIV/0!</v>
      </c>
      <c r="V65" s="135" t="e">
        <f t="shared" ref="V65" ca="1" si="222">V64/U64-1</f>
        <v>#DIV/0!</v>
      </c>
      <c r="W65" s="135" t="e">
        <f t="shared" ref="W65" ca="1" si="223">W64/V64-1</f>
        <v>#DIV/0!</v>
      </c>
      <c r="X65" s="135" t="e">
        <f t="shared" ref="X65" ca="1" si="224">X64/W64-1</f>
        <v>#DIV/0!</v>
      </c>
      <c r="Y65" s="135" t="e">
        <f t="shared" ref="Y65" ca="1" si="225">Y64/X64-1</f>
        <v>#DIV/0!</v>
      </c>
      <c r="Z65" s="135" t="e">
        <f t="shared" ref="Z65" ca="1" si="226">Z64/Y64-1</f>
        <v>#DIV/0!</v>
      </c>
      <c r="AA65" s="135" t="e">
        <f t="shared" ref="AA65" ca="1" si="227">AA64/Z64-1</f>
        <v>#DIV/0!</v>
      </c>
      <c r="AB65" s="135" t="e">
        <f t="shared" ref="AB65" ca="1" si="228">AB64/AA64-1</f>
        <v>#DIV/0!</v>
      </c>
      <c r="AC65" s="135" t="e">
        <f t="shared" ref="AC65" ca="1" si="229">AC64/AB64-1</f>
        <v>#DIV/0!</v>
      </c>
      <c r="AD65" s="135" t="e">
        <f t="shared" ref="AD65" ca="1" si="230">AD64/AC64-1</f>
        <v>#DIV/0!</v>
      </c>
      <c r="AE65" s="135" t="e">
        <f t="shared" ref="AE65" ca="1" si="231">AE64/AD64-1</f>
        <v>#DIV/0!</v>
      </c>
      <c r="AF65" s="135" t="e">
        <f t="shared" ref="AF65" ca="1" si="232">AF64/AE64-1</f>
        <v>#DIV/0!</v>
      </c>
      <c r="AG65" s="135" t="e">
        <f t="shared" ref="AG65" ca="1" si="233">AG64/AF64-1</f>
        <v>#DIV/0!</v>
      </c>
      <c r="AH65" s="74"/>
    </row>
    <row r="66" spans="2:34" ht="14.5" hidden="1" outlineLevel="1" x14ac:dyDescent="0.35">
      <c r="B66" s="84" t="s">
        <v>120</v>
      </c>
      <c r="C66" s="77"/>
      <c r="D66" s="68">
        <f ca="1">IF(Hypothèses!$D$39=1,VLOOKUP("IDhours_bought"&amp;"S1"&amp;D$39&amp;Hypothèses!$D$17&amp;Hypothèses!$D$18,INDIRECT("'"&amp;Hypothèses!$D$42&amp;"'!$A:$I"),6,FALSE) * D44,0)</f>
        <v>0</v>
      </c>
      <c r="E66" s="68">
        <f ca="1">IF(Hypothèses!$D$39=1,VLOOKUP("IDhours_bought"&amp;"S1"&amp;E$39&amp;Hypothèses!$D$17&amp;Hypothèses!$D$18,INDIRECT("'"&amp;Hypothèses!$D$42&amp;"'!$A:$I"),6,FALSE) * E44,0)</f>
        <v>0</v>
      </c>
      <c r="F66" s="68">
        <f ca="1">IF(Hypothèses!$D$39=1,VLOOKUP("IDhours_bought"&amp;"S1"&amp;F$39&amp;Hypothèses!$D$17&amp;Hypothèses!$D$18,INDIRECT("'"&amp;Hypothèses!$D$42&amp;"'!$A:$I"),6,FALSE) * F44,0)</f>
        <v>0</v>
      </c>
      <c r="G66" s="68">
        <f ca="1">IF(Hypothèses!$D$39=1,VLOOKUP("IDhours_bought"&amp;"S1"&amp;G$39&amp;Hypothèses!$D$17&amp;Hypothèses!$D$18,INDIRECT("'"&amp;Hypothèses!$D$42&amp;"'!$A:$I"),6,FALSE) * G44,0)</f>
        <v>0</v>
      </c>
      <c r="H66" s="68">
        <f ca="1">IF(Hypothèses!$D$39=1,VLOOKUP("IDhours_bought"&amp;"S1"&amp;H$39&amp;Hypothèses!$D$17&amp;Hypothèses!$D$18,INDIRECT("'"&amp;Hypothèses!$D$42&amp;"'!$A:$I"),6,FALSE) * H44,0)</f>
        <v>0</v>
      </c>
      <c r="I66" s="68">
        <f ca="1">IF(Hypothèses!$D$39=1,VLOOKUP("IDhours_bought"&amp;"S1"&amp;I$39&amp;Hypothèses!$D$17&amp;Hypothèses!$D$18,INDIRECT("'"&amp;Hypothèses!$D$42&amp;"'!$A:$I"),6,FALSE) * I44,0)</f>
        <v>0</v>
      </c>
      <c r="J66" s="68">
        <f ca="1">IF(Hypothèses!$D$39=1,VLOOKUP("IDhours_bought"&amp;"S1"&amp;J$39&amp;Hypothèses!$D$17&amp;Hypothèses!$D$18,INDIRECT("'"&amp;Hypothèses!$D$42&amp;"'!$A:$I"),6,FALSE) * J44,0)</f>
        <v>0</v>
      </c>
      <c r="K66" s="68">
        <f ca="1">IF(Hypothèses!$D$39=1,VLOOKUP("IDhours_bought"&amp;"S1"&amp;K$39&amp;Hypothèses!$D$17&amp;Hypothèses!$D$18,INDIRECT("'"&amp;Hypothèses!$D$42&amp;"'!$A:$I"),6,FALSE) * K44,0)</f>
        <v>0</v>
      </c>
      <c r="L66" s="68">
        <f ca="1">IF(Hypothèses!$D$39=1,VLOOKUP("IDhours_bought"&amp;"S1"&amp;L$39&amp;Hypothèses!$D$17&amp;Hypothèses!$D$18,INDIRECT("'"&amp;Hypothèses!$D$42&amp;"'!$A:$I"),6,FALSE) * L44,0)</f>
        <v>0</v>
      </c>
      <c r="M66" s="68">
        <f ca="1">IF(Hypothèses!$D$39=1,VLOOKUP("IDhours_bought"&amp;"S1"&amp;M$39&amp;Hypothèses!$D$17&amp;Hypothèses!$D$18,INDIRECT("'"&amp;Hypothèses!$D$42&amp;"'!$A:$I"),6,FALSE) * M44,0)</f>
        <v>0</v>
      </c>
      <c r="N66" s="68">
        <f ca="1">IF(Hypothèses!$D$39=1,VLOOKUP("IDhours_bought"&amp;"S1"&amp;N$39&amp;Hypothèses!$D$17&amp;Hypothèses!$D$18,INDIRECT("'"&amp;Hypothèses!$D$42&amp;"'!$A:$I"),6,FALSE) * N44,0)</f>
        <v>0</v>
      </c>
      <c r="O66" s="68">
        <f ca="1">IF(Hypothèses!$D$39=1,VLOOKUP("IDhours_bought"&amp;"S1"&amp;O$39&amp;Hypothèses!$D$17&amp;Hypothèses!$D$18,INDIRECT("'"&amp;Hypothèses!$D$42&amp;"'!$A:$I"),6,FALSE) * O44,0)</f>
        <v>0</v>
      </c>
      <c r="P66" s="68">
        <f ca="1">IF(Hypothèses!$D$39=1,VLOOKUP("IDhours_bought"&amp;"S1"&amp;P$39&amp;Hypothèses!$D$17&amp;Hypothèses!$D$18,INDIRECT("'"&amp;Hypothèses!$D$42&amp;"'!$A:$I"),6,FALSE) * P44,0)</f>
        <v>0</v>
      </c>
      <c r="Q66" s="68">
        <f ca="1">IF(Hypothèses!$D$39=1,VLOOKUP("IDhours_bought"&amp;"S1"&amp;Q$39&amp;Hypothèses!$D$17&amp;Hypothèses!$D$18,INDIRECT("'"&amp;Hypothèses!$D$42&amp;"'!$A:$I"),6,FALSE) * Q44,0)</f>
        <v>0</v>
      </c>
      <c r="R66" s="68">
        <f ca="1">IF(Hypothèses!$D$39=1,VLOOKUP("IDhours_bought"&amp;"S1"&amp;R$39&amp;Hypothèses!$D$17&amp;Hypothèses!$D$18,INDIRECT("'"&amp;Hypothèses!$D$42&amp;"'!$A:$I"),6,FALSE) * R44,0)</f>
        <v>0</v>
      </c>
      <c r="S66" s="68">
        <f ca="1">IF(Hypothèses!$D$39=1,VLOOKUP("IDhours_bought"&amp;"S1"&amp;S$39&amp;Hypothèses!$D$17&amp;Hypothèses!$D$18,INDIRECT("'"&amp;Hypothèses!$D$42&amp;"'!$A:$I"),6,FALSE) * S44,0)</f>
        <v>0</v>
      </c>
      <c r="T66" s="68">
        <f ca="1">IF(Hypothèses!$D$39=1,VLOOKUP("IDhours_bought"&amp;"S1"&amp;T$39&amp;Hypothèses!$D$17&amp;Hypothèses!$D$18,INDIRECT("'"&amp;Hypothèses!$D$42&amp;"'!$A:$I"),6,FALSE) * T44,0)</f>
        <v>0</v>
      </c>
      <c r="U66" s="68">
        <f ca="1">IF(Hypothèses!$D$39=1,VLOOKUP("IDhours_bought"&amp;"S1"&amp;U$39&amp;Hypothèses!$D$17&amp;Hypothèses!$D$18,INDIRECT("'"&amp;Hypothèses!$D$42&amp;"'!$A:$I"),6,FALSE) * U44,0)</f>
        <v>0</v>
      </c>
      <c r="V66" s="68">
        <f ca="1">IF(Hypothèses!$D$39=1,VLOOKUP("IDhours_bought"&amp;"S1"&amp;V$39&amp;Hypothèses!$D$17&amp;Hypothèses!$D$18,INDIRECT("'"&amp;Hypothèses!$D$42&amp;"'!$A:$I"),6,FALSE) * V44,0)</f>
        <v>0</v>
      </c>
      <c r="W66" s="68">
        <f ca="1">IF(Hypothèses!$D$39=1,VLOOKUP("IDhours_bought"&amp;"S1"&amp;W$39&amp;Hypothèses!$D$17&amp;Hypothèses!$D$18,INDIRECT("'"&amp;Hypothèses!$D$42&amp;"'!$A:$I"),6,FALSE) * W44,0)</f>
        <v>0</v>
      </c>
      <c r="X66" s="68">
        <f ca="1">IF(Hypothèses!$D$39=1,VLOOKUP("IDhours_bought"&amp;"S1"&amp;X$39&amp;Hypothèses!$D$17&amp;Hypothèses!$D$18,INDIRECT("'"&amp;Hypothèses!$D$42&amp;"'!$A:$I"),6,FALSE) * X44,0)</f>
        <v>0</v>
      </c>
      <c r="Y66" s="68">
        <f ca="1">IF(Hypothèses!$D$39=1,VLOOKUP("IDhours_bought"&amp;"S1"&amp;Y$39&amp;Hypothèses!$D$17&amp;Hypothèses!$D$18,INDIRECT("'"&amp;Hypothèses!$D$42&amp;"'!$A:$I"),6,FALSE) * Y44,0)</f>
        <v>0</v>
      </c>
      <c r="Z66" s="68">
        <f ca="1">IF(Hypothèses!$D$39=1,VLOOKUP("IDhours_bought"&amp;"S1"&amp;Z$39&amp;Hypothèses!$D$17&amp;Hypothèses!$D$18,INDIRECT("'"&amp;Hypothèses!$D$42&amp;"'!$A:$I"),6,FALSE) * Z44,0)</f>
        <v>0</v>
      </c>
      <c r="AA66" s="68">
        <f ca="1">IF(Hypothèses!$D$39=1,VLOOKUP("IDhours_bought"&amp;"S1"&amp;AA$39&amp;Hypothèses!$D$17&amp;Hypothèses!$D$18,INDIRECT("'"&amp;Hypothèses!$D$42&amp;"'!$A:$I"),6,FALSE) * AA44,0)</f>
        <v>0</v>
      </c>
      <c r="AB66" s="68">
        <f ca="1">IF(Hypothèses!$D$39=1,VLOOKUP("IDhours_bought"&amp;"S1"&amp;AB$39&amp;Hypothèses!$D$17&amp;Hypothèses!$D$18,INDIRECT("'"&amp;Hypothèses!$D$42&amp;"'!$A:$I"),6,FALSE) * AB44,0)</f>
        <v>0</v>
      </c>
      <c r="AC66" s="68">
        <f ca="1">IF(Hypothèses!$D$39=1,VLOOKUP("IDhours_bought"&amp;"S1"&amp;AC$39&amp;Hypothèses!$D$17&amp;Hypothèses!$D$18,INDIRECT("'"&amp;Hypothèses!$D$42&amp;"'!$A:$I"),6,FALSE) * AC44,0)</f>
        <v>0</v>
      </c>
      <c r="AD66" s="68">
        <f ca="1">IF(Hypothèses!$D$39=1,VLOOKUP("IDhours_bought"&amp;"S1"&amp;AD$39&amp;Hypothèses!$D$17&amp;Hypothèses!$D$18,INDIRECT("'"&amp;Hypothèses!$D$42&amp;"'!$A:$I"),6,FALSE) * AD44,0)</f>
        <v>0</v>
      </c>
      <c r="AE66" s="68">
        <f ca="1">IF(Hypothèses!$D$39=1,VLOOKUP("IDhours_bought"&amp;"S1"&amp;AE$39&amp;Hypothèses!$D$17&amp;Hypothèses!$D$18,INDIRECT("'"&amp;Hypothèses!$D$42&amp;"'!$A:$I"),6,FALSE) * AE44,0)</f>
        <v>0</v>
      </c>
      <c r="AF66" s="68">
        <f ca="1">IF(Hypothèses!$D$39=1,VLOOKUP("IDhours_bought"&amp;"S1"&amp;AF$39&amp;Hypothèses!$D$17&amp;Hypothèses!$D$18,INDIRECT("'"&amp;Hypothèses!$D$42&amp;"'!$A:$I"),6,FALSE) * AF44,0)</f>
        <v>0</v>
      </c>
      <c r="AG66" s="68">
        <f ca="1">IF(Hypothèses!$D$39=1,VLOOKUP("IDhours_bought"&amp;"S1"&amp;AG$39&amp;Hypothèses!$D$17&amp;Hypothèses!$D$18,INDIRECT("'"&amp;Hypothèses!$D$42&amp;"'!$A:$I"),6,FALSE) * AG44,0)</f>
        <v>0</v>
      </c>
      <c r="AH66" s="74"/>
    </row>
    <row r="67" spans="2:34" s="82" customFormat="1" hidden="1" outlineLevel="1" x14ac:dyDescent="0.3">
      <c r="B67" s="83" t="s">
        <v>137</v>
      </c>
    </row>
    <row r="68" spans="2:34" hidden="1" outlineLevel="1" x14ac:dyDescent="0.3">
      <c r="B68" s="77" t="s">
        <v>138</v>
      </c>
      <c r="C68" s="77"/>
      <c r="D68" s="71">
        <f ca="1">IF(Hypothèses!$D$40=1,VLOOKUP("MAincome"&amp;"S1"&amp;D$39&amp;Hypothèses!$D$17&amp;Hypothèses!$D$18,INDIRECT("'"&amp;Hypothèses!$D$42&amp;"'!$A:$I"),6,FALSE)*(1+$C$37)^C43 * D44,0)</f>
        <v>0</v>
      </c>
      <c r="E68" s="71">
        <f ca="1">IF(Hypothèses!$D$40=1,VLOOKUP("MAincome"&amp;"S1"&amp;E$39&amp;Hypothèses!$D$17&amp;Hypothèses!$D$18,INDIRECT("'"&amp;Hypothèses!$D$42&amp;"'!$A:$I"),6,FALSE)*(1+$C$37)^D43 * E44,0)</f>
        <v>0</v>
      </c>
      <c r="F68" s="71">
        <f ca="1">IF(Hypothèses!$D$40=1,VLOOKUP("MAincome"&amp;"S1"&amp;F$39&amp;Hypothèses!$D$17&amp;Hypothèses!$D$18,INDIRECT("'"&amp;Hypothèses!$D$42&amp;"'!$A:$I"),6,FALSE)*(1+$C$37)^E43 * F44,0)</f>
        <v>0</v>
      </c>
      <c r="G68" s="71">
        <f ca="1">IF(Hypothèses!$D$40=1,VLOOKUP("MAincome"&amp;"S1"&amp;G$39&amp;Hypothèses!$D$17&amp;Hypothèses!$D$18,INDIRECT("'"&amp;Hypothèses!$D$42&amp;"'!$A:$I"),6,FALSE)*(1+$C$37)^F43 * G44,0)</f>
        <v>0</v>
      </c>
      <c r="H68" s="71">
        <f ca="1">IF(Hypothèses!$D$40=1,VLOOKUP("MAincome"&amp;"S1"&amp;H$39&amp;Hypothèses!$D$17&amp;Hypothèses!$D$18,INDIRECT("'"&amp;Hypothèses!$D$42&amp;"'!$A:$I"),6,FALSE)*(1+$C$37)^G43 * H44,0)</f>
        <v>0</v>
      </c>
      <c r="I68" s="71">
        <f ca="1">IF(Hypothèses!$D$40=1,VLOOKUP("MAincome"&amp;"S1"&amp;I$39&amp;Hypothèses!$D$17&amp;Hypothèses!$D$18,INDIRECT("'"&amp;Hypothèses!$D$42&amp;"'!$A:$I"),6,FALSE)*(1+$C$37)^H43 * I44,0)</f>
        <v>0</v>
      </c>
      <c r="J68" s="71">
        <f ca="1">IF(Hypothèses!$D$40=1,VLOOKUP("MAincome"&amp;"S1"&amp;J$39&amp;Hypothèses!$D$17&amp;Hypothèses!$D$18,INDIRECT("'"&amp;Hypothèses!$D$42&amp;"'!$A:$I"),6,FALSE)*(1+$C$37)^I43 * J44,0)</f>
        <v>0</v>
      </c>
      <c r="K68" s="71">
        <f ca="1">IF(Hypothèses!$D$40=1,VLOOKUP("MAincome"&amp;"S1"&amp;K$39&amp;Hypothèses!$D$17&amp;Hypothèses!$D$18,INDIRECT("'"&amp;Hypothèses!$D$42&amp;"'!$A:$I"),6,FALSE)*(1+$C$37)^J43 * K44,0)</f>
        <v>0</v>
      </c>
      <c r="L68" s="71">
        <f ca="1">IF(Hypothèses!$D$40=1,VLOOKUP("MAincome"&amp;"S1"&amp;L$39&amp;Hypothèses!$D$17&amp;Hypothèses!$D$18,INDIRECT("'"&amp;Hypothèses!$D$42&amp;"'!$A:$I"),6,FALSE)*(1+$C$37)^K43 * L44,0)</f>
        <v>0</v>
      </c>
      <c r="M68" s="71">
        <f ca="1">IF(Hypothèses!$D$40=1,VLOOKUP("MAincome"&amp;"S1"&amp;M$39&amp;Hypothèses!$D$17&amp;Hypothèses!$D$18,INDIRECT("'"&amp;Hypothèses!$D$42&amp;"'!$A:$I"),6,FALSE)*(1+$C$37)^L43 * M44,0)</f>
        <v>0</v>
      </c>
      <c r="N68" s="71">
        <f ca="1">IF(Hypothèses!$D$40=1,VLOOKUP("MAincome"&amp;"S1"&amp;N$39&amp;Hypothèses!$D$17&amp;Hypothèses!$D$18,INDIRECT("'"&amp;Hypothèses!$D$42&amp;"'!$A:$I"),6,FALSE)*(1+$C$37)^M43 * N44,0)</f>
        <v>0</v>
      </c>
      <c r="O68" s="71">
        <f ca="1">IF(Hypothèses!$D$40=1,VLOOKUP("MAincome"&amp;"S1"&amp;O$39&amp;Hypothèses!$D$17&amp;Hypothèses!$D$18,INDIRECT("'"&amp;Hypothèses!$D$42&amp;"'!$A:$I"),6,FALSE)*(1+$C$37)^N43 * O44,0)</f>
        <v>0</v>
      </c>
      <c r="P68" s="71">
        <f ca="1">IF(Hypothèses!$D$40=1,VLOOKUP("MAincome"&amp;"S1"&amp;P$39&amp;Hypothèses!$D$17&amp;Hypothèses!$D$18,INDIRECT("'"&amp;Hypothèses!$D$42&amp;"'!$A:$I"),6,FALSE)*(1+$C$37)^O43 * P44,0)</f>
        <v>0</v>
      </c>
      <c r="Q68" s="71">
        <f ca="1">IF(Hypothèses!$D$40=1,VLOOKUP("MAincome"&amp;"S1"&amp;Q$39&amp;Hypothèses!$D$17&amp;Hypothèses!$D$18,INDIRECT("'"&amp;Hypothèses!$D$42&amp;"'!$A:$I"),6,FALSE)*(1+$C$37)^P43 * Q44,0)</f>
        <v>0</v>
      </c>
      <c r="R68" s="71">
        <f ca="1">IF(Hypothèses!$D$40=1,VLOOKUP("MAincome"&amp;"S1"&amp;R$39&amp;Hypothèses!$D$17&amp;Hypothèses!$D$18,INDIRECT("'"&amp;Hypothèses!$D$42&amp;"'!$A:$I"),6,FALSE)*(1+$C$37)^Q43 * R44,0)</f>
        <v>0</v>
      </c>
      <c r="S68" s="71">
        <f ca="1">IF(Hypothèses!$D$40=1,VLOOKUP("MAincome"&amp;"S1"&amp;S$39&amp;Hypothèses!$D$17&amp;Hypothèses!$D$18,INDIRECT("'"&amp;Hypothèses!$D$42&amp;"'!$A:$I"),6,FALSE)*(1+$C$37)^R43 * S44,0)</f>
        <v>0</v>
      </c>
      <c r="T68" s="71">
        <f ca="1">IF(Hypothèses!$D$40=1,VLOOKUP("MAincome"&amp;"S1"&amp;T$39&amp;Hypothèses!$D$17&amp;Hypothèses!$D$18,INDIRECT("'"&amp;Hypothèses!$D$42&amp;"'!$A:$I"),6,FALSE)*(1+$C$37)^S43 * T44,0)</f>
        <v>0</v>
      </c>
      <c r="U68" s="71">
        <f ca="1">IF(Hypothèses!$D$40=1,VLOOKUP("MAincome"&amp;"S1"&amp;U$39&amp;Hypothèses!$D$17&amp;Hypothèses!$D$18,INDIRECT("'"&amp;Hypothèses!$D$42&amp;"'!$A:$I"),6,FALSE)*(1+$C$37)^T43 * U44,0)</f>
        <v>0</v>
      </c>
      <c r="V68" s="71">
        <f ca="1">IF(Hypothèses!$D$40=1,VLOOKUP("MAincome"&amp;"S1"&amp;V$39&amp;Hypothèses!$D$17&amp;Hypothèses!$D$18,INDIRECT("'"&amp;Hypothèses!$D$42&amp;"'!$A:$I"),6,FALSE)*(1+$C$37)^U43 * V44,0)</f>
        <v>0</v>
      </c>
      <c r="W68" s="71">
        <f ca="1">IF(Hypothèses!$D$40=1,VLOOKUP("MAincome"&amp;"S1"&amp;W$39&amp;Hypothèses!$D$17&amp;Hypothèses!$D$18,INDIRECT("'"&amp;Hypothèses!$D$42&amp;"'!$A:$I"),6,FALSE)*(1+$C$37)^V43 * W44,0)</f>
        <v>0</v>
      </c>
      <c r="X68" s="71">
        <f ca="1">IF(Hypothèses!$D$40=1,VLOOKUP("MAincome"&amp;"S1"&amp;X$39&amp;Hypothèses!$D$17&amp;Hypothèses!$D$18,INDIRECT("'"&amp;Hypothèses!$D$42&amp;"'!$A:$I"),6,FALSE)*(1+$C$37)^W43 * X44,0)</f>
        <v>0</v>
      </c>
      <c r="Y68" s="71">
        <f ca="1">IF(Hypothèses!$D$40=1,VLOOKUP("MAincome"&amp;"S1"&amp;Y$39&amp;Hypothèses!$D$17&amp;Hypothèses!$D$18,INDIRECT("'"&amp;Hypothèses!$D$42&amp;"'!$A:$I"),6,FALSE)*(1+$C$37)^X43 * Y44,0)</f>
        <v>0</v>
      </c>
      <c r="Z68" s="71">
        <f ca="1">IF(Hypothèses!$D$40=1,VLOOKUP("MAincome"&amp;"S1"&amp;Z$39&amp;Hypothèses!$D$17&amp;Hypothèses!$D$18,INDIRECT("'"&amp;Hypothèses!$D$42&amp;"'!$A:$I"),6,FALSE)*(1+$C$37)^Y43 * Z44,0)</f>
        <v>0</v>
      </c>
      <c r="AA68" s="71">
        <f ca="1">IF(Hypothèses!$D$40=1,VLOOKUP("MAincome"&amp;"S1"&amp;AA$39&amp;Hypothèses!$D$17&amp;Hypothèses!$D$18,INDIRECT("'"&amp;Hypothèses!$D$42&amp;"'!$A:$I"),6,FALSE)*(1+$C$37)^Z43 * AA44,0)</f>
        <v>0</v>
      </c>
      <c r="AB68" s="71">
        <f ca="1">IF(Hypothèses!$D$40=1,VLOOKUP("MAincome"&amp;"S1"&amp;AB$39&amp;Hypothèses!$D$17&amp;Hypothèses!$D$18,INDIRECT("'"&amp;Hypothèses!$D$42&amp;"'!$A:$I"),6,FALSE)*(1+$C$37)^AA43 * AB44,0)</f>
        <v>0</v>
      </c>
      <c r="AC68" s="71">
        <f ca="1">IF(Hypothèses!$D$40=1,VLOOKUP("MAincome"&amp;"S1"&amp;AC$39&amp;Hypothèses!$D$17&amp;Hypothèses!$D$18,INDIRECT("'"&amp;Hypothèses!$D$42&amp;"'!$A:$I"),6,FALSE)*(1+$C$37)^AB43 * AC44,0)</f>
        <v>0</v>
      </c>
      <c r="AD68" s="71">
        <f ca="1">IF(Hypothèses!$D$40=1,VLOOKUP("MAincome"&amp;"S1"&amp;AD$39&amp;Hypothèses!$D$17&amp;Hypothèses!$D$18,INDIRECT("'"&amp;Hypothèses!$D$42&amp;"'!$A:$I"),6,FALSE)*(1+$C$37)^AC43 * AD44,0)</f>
        <v>0</v>
      </c>
      <c r="AE68" s="71">
        <f ca="1">IF(Hypothèses!$D$40=1,VLOOKUP("MAincome"&amp;"S1"&amp;AE$39&amp;Hypothèses!$D$17&amp;Hypothèses!$D$18,INDIRECT("'"&amp;Hypothèses!$D$42&amp;"'!$A:$I"),6,FALSE)*(1+$C$37)^AD43 * AE44,0)</f>
        <v>0</v>
      </c>
      <c r="AF68" s="71">
        <f ca="1">IF(Hypothèses!$D$40=1,VLOOKUP("MAincome"&amp;"S1"&amp;AF$39&amp;Hypothèses!$D$17&amp;Hypothèses!$D$18,INDIRECT("'"&amp;Hypothèses!$D$42&amp;"'!$A:$I"),6,FALSE)*(1+$C$37)^AE43 * AF44,0)</f>
        <v>0</v>
      </c>
      <c r="AG68" s="71">
        <f ca="1">IF(Hypothèses!$D$40=1,VLOOKUP("MAincome"&amp;"S1"&amp;AG$39&amp;Hypothèses!$D$17&amp;Hypothèses!$D$18,INDIRECT("'"&amp;Hypothèses!$D$42&amp;"'!$A:$I"),6,FALSE)*(1+$C$37)^AF43 * AG44,0)</f>
        <v>0</v>
      </c>
      <c r="AH68" s="74"/>
    </row>
    <row r="69" spans="2:34" ht="14.5" hidden="1" outlineLevel="1" x14ac:dyDescent="0.35">
      <c r="B69" s="84" t="s">
        <v>26</v>
      </c>
      <c r="C69" s="77"/>
      <c r="D69" s="135"/>
      <c r="E69" s="135" t="e">
        <f t="shared" ref="E69" ca="1" si="234">E68/D68-1</f>
        <v>#DIV/0!</v>
      </c>
      <c r="F69" s="135" t="e">
        <f t="shared" ref="F69" ca="1" si="235">F68/E68-1</f>
        <v>#DIV/0!</v>
      </c>
      <c r="G69" s="135" t="e">
        <f t="shared" ref="G69" ca="1" si="236">G68/F68-1</f>
        <v>#DIV/0!</v>
      </c>
      <c r="H69" s="135" t="e">
        <f t="shared" ref="H69" ca="1" si="237">H68/G68-1</f>
        <v>#DIV/0!</v>
      </c>
      <c r="I69" s="135" t="e">
        <f t="shared" ref="I69" ca="1" si="238">I68/H68-1</f>
        <v>#DIV/0!</v>
      </c>
      <c r="J69" s="135" t="e">
        <f t="shared" ref="J69" ca="1" si="239">J68/I68-1</f>
        <v>#DIV/0!</v>
      </c>
      <c r="K69" s="135" t="e">
        <f t="shared" ref="K69" ca="1" si="240">K68/J68-1</f>
        <v>#DIV/0!</v>
      </c>
      <c r="L69" s="135" t="e">
        <f t="shared" ref="L69" ca="1" si="241">L68/K68-1</f>
        <v>#DIV/0!</v>
      </c>
      <c r="M69" s="135" t="e">
        <f t="shared" ref="M69" ca="1" si="242">M68/L68-1</f>
        <v>#DIV/0!</v>
      </c>
      <c r="N69" s="135" t="e">
        <f t="shared" ref="N69" ca="1" si="243">N68/M68-1</f>
        <v>#DIV/0!</v>
      </c>
      <c r="O69" s="135" t="e">
        <f t="shared" ref="O69" ca="1" si="244">O68/N68-1</f>
        <v>#DIV/0!</v>
      </c>
      <c r="P69" s="135" t="e">
        <f t="shared" ref="P69" ca="1" si="245">P68/O68-1</f>
        <v>#DIV/0!</v>
      </c>
      <c r="Q69" s="135" t="e">
        <f t="shared" ref="Q69" ca="1" si="246">Q68/P68-1</f>
        <v>#DIV/0!</v>
      </c>
      <c r="R69" s="135" t="e">
        <f t="shared" ref="R69" ca="1" si="247">R68/Q68-1</f>
        <v>#DIV/0!</v>
      </c>
      <c r="S69" s="135" t="e">
        <f t="shared" ref="S69" ca="1" si="248">S68/R68-1</f>
        <v>#DIV/0!</v>
      </c>
      <c r="T69" s="135" t="e">
        <f t="shared" ref="T69" ca="1" si="249">T68/S68-1</f>
        <v>#DIV/0!</v>
      </c>
      <c r="U69" s="135" t="e">
        <f t="shared" ref="U69" ca="1" si="250">U68/T68-1</f>
        <v>#DIV/0!</v>
      </c>
      <c r="V69" s="135" t="e">
        <f t="shared" ref="V69" ca="1" si="251">V68/U68-1</f>
        <v>#DIV/0!</v>
      </c>
      <c r="W69" s="135" t="e">
        <f t="shared" ref="W69" ca="1" si="252">W68/V68-1</f>
        <v>#DIV/0!</v>
      </c>
      <c r="X69" s="135" t="e">
        <f t="shared" ref="X69" ca="1" si="253">X68/W68-1</f>
        <v>#DIV/0!</v>
      </c>
      <c r="Y69" s="135" t="e">
        <f t="shared" ref="Y69" ca="1" si="254">Y68/X68-1</f>
        <v>#DIV/0!</v>
      </c>
      <c r="Z69" s="135" t="e">
        <f t="shared" ref="Z69" ca="1" si="255">Z68/Y68-1</f>
        <v>#DIV/0!</v>
      </c>
      <c r="AA69" s="135" t="e">
        <f t="shared" ref="AA69" ca="1" si="256">AA68/Z68-1</f>
        <v>#DIV/0!</v>
      </c>
      <c r="AB69" s="135" t="e">
        <f t="shared" ref="AB69" ca="1" si="257">AB68/AA68-1</f>
        <v>#DIV/0!</v>
      </c>
      <c r="AC69" s="135" t="e">
        <f t="shared" ref="AC69" ca="1" si="258">AC68/AB68-1</f>
        <v>#DIV/0!</v>
      </c>
      <c r="AD69" s="135" t="e">
        <f t="shared" ref="AD69" ca="1" si="259">AD68/AC68-1</f>
        <v>#DIV/0!</v>
      </c>
      <c r="AE69" s="135" t="e">
        <f t="shared" ref="AE69" ca="1" si="260">AE68/AD68-1</f>
        <v>#DIV/0!</v>
      </c>
      <c r="AF69" s="135" t="e">
        <f t="shared" ref="AF69" ca="1" si="261">AF68/AE68-1</f>
        <v>#DIV/0!</v>
      </c>
      <c r="AG69" s="135" t="e">
        <f t="shared" ref="AG69" ca="1" si="262">AG68/AF68-1</f>
        <v>#DIV/0!</v>
      </c>
      <c r="AH69" s="74"/>
    </row>
    <row r="70" spans="2:34" hidden="1" outlineLevel="1" x14ac:dyDescent="0.3">
      <c r="B70" s="77" t="s">
        <v>139</v>
      </c>
      <c r="C70" s="77"/>
      <c r="D70" s="68">
        <f ca="1">IF(Hypothèses!$D$40=1,VLOOKUP("MAenergy_sold"&amp;"S1"&amp;D$39&amp;Hypothèses!$D$17&amp;Hypothèses!$D$18,INDIRECT("'"&amp;Hypothèses!$D$42&amp;"'!$A:$I"),6,FALSE) * D44,0)</f>
        <v>0</v>
      </c>
      <c r="E70" s="68">
        <f ca="1">IF(Hypothèses!$D$40=1,VLOOKUP("MAenergy_sold"&amp;"S1"&amp;E$39&amp;Hypothèses!$D$17&amp;Hypothèses!$D$18,INDIRECT("'"&amp;Hypothèses!$D$42&amp;"'!$A:$I"),6,FALSE) * E44,0)</f>
        <v>0</v>
      </c>
      <c r="F70" s="68">
        <f ca="1">IF(Hypothèses!$D$40=1,VLOOKUP("MAenergy_sold"&amp;"S1"&amp;F$39&amp;Hypothèses!$D$17&amp;Hypothèses!$D$18,INDIRECT("'"&amp;Hypothèses!$D$42&amp;"'!$A:$I"),6,FALSE) * F44,0)</f>
        <v>0</v>
      </c>
      <c r="G70" s="68">
        <f ca="1">IF(Hypothèses!$D$40=1,VLOOKUP("MAenergy_sold"&amp;"S1"&amp;G$39&amp;Hypothèses!$D$17&amp;Hypothèses!$D$18,INDIRECT("'"&amp;Hypothèses!$D$42&amp;"'!$A:$I"),6,FALSE) * G44,0)</f>
        <v>0</v>
      </c>
      <c r="H70" s="68">
        <f ca="1">IF(Hypothèses!$D$40=1,VLOOKUP("MAenergy_sold"&amp;"S1"&amp;H$39&amp;Hypothèses!$D$17&amp;Hypothèses!$D$18,INDIRECT("'"&amp;Hypothèses!$D$42&amp;"'!$A:$I"),6,FALSE) * H44,0)</f>
        <v>0</v>
      </c>
      <c r="I70" s="68">
        <f ca="1">IF(Hypothèses!$D$40=1,VLOOKUP("MAenergy_sold"&amp;"S1"&amp;I$39&amp;Hypothèses!$D$17&amp;Hypothèses!$D$18,INDIRECT("'"&amp;Hypothèses!$D$42&amp;"'!$A:$I"),6,FALSE) * I44,0)</f>
        <v>0</v>
      </c>
      <c r="J70" s="68">
        <f ca="1">IF(Hypothèses!$D$40=1,VLOOKUP("MAenergy_sold"&amp;"S1"&amp;J$39&amp;Hypothèses!$D$17&amp;Hypothèses!$D$18,INDIRECT("'"&amp;Hypothèses!$D$42&amp;"'!$A:$I"),6,FALSE) * J44,0)</f>
        <v>0</v>
      </c>
      <c r="K70" s="68">
        <f ca="1">IF(Hypothèses!$D$40=1,VLOOKUP("MAenergy_sold"&amp;"S1"&amp;K$39&amp;Hypothèses!$D$17&amp;Hypothèses!$D$18,INDIRECT("'"&amp;Hypothèses!$D$42&amp;"'!$A:$I"),6,FALSE) * K44,0)</f>
        <v>0</v>
      </c>
      <c r="L70" s="68">
        <f ca="1">IF(Hypothèses!$D$40=1,VLOOKUP("MAenergy_sold"&amp;"S1"&amp;L$39&amp;Hypothèses!$D$17&amp;Hypothèses!$D$18,INDIRECT("'"&amp;Hypothèses!$D$42&amp;"'!$A:$I"),6,FALSE) * L44,0)</f>
        <v>0</v>
      </c>
      <c r="M70" s="68">
        <f ca="1">IF(Hypothèses!$D$40=1,VLOOKUP("MAenergy_sold"&amp;"S1"&amp;M$39&amp;Hypothèses!$D$17&amp;Hypothèses!$D$18,INDIRECT("'"&amp;Hypothèses!$D$42&amp;"'!$A:$I"),6,FALSE) * M44,0)</f>
        <v>0</v>
      </c>
      <c r="N70" s="68">
        <f ca="1">IF(Hypothèses!$D$40=1,VLOOKUP("MAenergy_sold"&amp;"S1"&amp;N$39&amp;Hypothèses!$D$17&amp;Hypothèses!$D$18,INDIRECT("'"&amp;Hypothèses!$D$42&amp;"'!$A:$I"),6,FALSE) * N44,0)</f>
        <v>0</v>
      </c>
      <c r="O70" s="68">
        <f ca="1">IF(Hypothèses!$D$40=1,VLOOKUP("MAenergy_sold"&amp;"S1"&amp;O$39&amp;Hypothèses!$D$17&amp;Hypothèses!$D$18,INDIRECT("'"&amp;Hypothèses!$D$42&amp;"'!$A:$I"),6,FALSE) * O44,0)</f>
        <v>0</v>
      </c>
      <c r="P70" s="68">
        <f ca="1">IF(Hypothèses!$D$40=1,VLOOKUP("MAenergy_sold"&amp;"S1"&amp;P$39&amp;Hypothèses!$D$17&amp;Hypothèses!$D$18,INDIRECT("'"&amp;Hypothèses!$D$42&amp;"'!$A:$I"),6,FALSE) * P44,0)</f>
        <v>0</v>
      </c>
      <c r="Q70" s="68">
        <f ca="1">IF(Hypothèses!$D$40=1,VLOOKUP("MAenergy_sold"&amp;"S1"&amp;Q$39&amp;Hypothèses!$D$17&amp;Hypothèses!$D$18,INDIRECT("'"&amp;Hypothèses!$D$42&amp;"'!$A:$I"),6,FALSE) * Q44,0)</f>
        <v>0</v>
      </c>
      <c r="R70" s="68">
        <f ca="1">IF(Hypothèses!$D$40=1,VLOOKUP("MAenergy_sold"&amp;"S1"&amp;R$39&amp;Hypothèses!$D$17&amp;Hypothèses!$D$18,INDIRECT("'"&amp;Hypothèses!$D$42&amp;"'!$A:$I"),6,FALSE) * R44,0)</f>
        <v>0</v>
      </c>
      <c r="S70" s="68">
        <f ca="1">IF(Hypothèses!$D$40=1,VLOOKUP("MAenergy_sold"&amp;"S1"&amp;S$39&amp;Hypothèses!$D$17&amp;Hypothèses!$D$18,INDIRECT("'"&amp;Hypothèses!$D$42&amp;"'!$A:$I"),6,FALSE) * S44,0)</f>
        <v>0</v>
      </c>
      <c r="T70" s="68">
        <f ca="1">IF(Hypothèses!$D$40=1,VLOOKUP("MAenergy_sold"&amp;"S1"&amp;T$39&amp;Hypothèses!$D$17&amp;Hypothèses!$D$18,INDIRECT("'"&amp;Hypothèses!$D$42&amp;"'!$A:$I"),6,FALSE) * T44,0)</f>
        <v>0</v>
      </c>
      <c r="U70" s="68">
        <f ca="1">IF(Hypothèses!$D$40=1,VLOOKUP("MAenergy_sold"&amp;"S1"&amp;U$39&amp;Hypothèses!$D$17&amp;Hypothèses!$D$18,INDIRECT("'"&amp;Hypothèses!$D$42&amp;"'!$A:$I"),6,FALSE) * U44,0)</f>
        <v>0</v>
      </c>
      <c r="V70" s="68">
        <f ca="1">IF(Hypothèses!$D$40=1,VLOOKUP("MAenergy_sold"&amp;"S1"&amp;V$39&amp;Hypothèses!$D$17&amp;Hypothèses!$D$18,INDIRECT("'"&amp;Hypothèses!$D$42&amp;"'!$A:$I"),6,FALSE) * V44,0)</f>
        <v>0</v>
      </c>
      <c r="W70" s="68">
        <f ca="1">IF(Hypothèses!$D$40=1,VLOOKUP("MAenergy_sold"&amp;"S1"&amp;W$39&amp;Hypothèses!$D$17&amp;Hypothèses!$D$18,INDIRECT("'"&amp;Hypothèses!$D$42&amp;"'!$A:$I"),6,FALSE) * W44,0)</f>
        <v>0</v>
      </c>
      <c r="X70" s="68">
        <f ca="1">IF(Hypothèses!$D$40=1,VLOOKUP("MAenergy_sold"&amp;"S1"&amp;X$39&amp;Hypothèses!$D$17&amp;Hypothèses!$D$18,INDIRECT("'"&amp;Hypothèses!$D$42&amp;"'!$A:$I"),6,FALSE) * X44,0)</f>
        <v>0</v>
      </c>
      <c r="Y70" s="68">
        <f ca="1">IF(Hypothèses!$D$40=1,VLOOKUP("MAenergy_sold"&amp;"S1"&amp;Y$39&amp;Hypothèses!$D$17&amp;Hypothèses!$D$18,INDIRECT("'"&amp;Hypothèses!$D$42&amp;"'!$A:$I"),6,FALSE) * Y44,0)</f>
        <v>0</v>
      </c>
      <c r="Z70" s="68">
        <f ca="1">IF(Hypothèses!$D$40=1,VLOOKUP("MAenergy_sold"&amp;"S1"&amp;Z$39&amp;Hypothèses!$D$17&amp;Hypothèses!$D$18,INDIRECT("'"&amp;Hypothèses!$D$42&amp;"'!$A:$I"),6,FALSE) * Z44,0)</f>
        <v>0</v>
      </c>
      <c r="AA70" s="68">
        <f ca="1">IF(Hypothèses!$D$40=1,VLOOKUP("MAenergy_sold"&amp;"S1"&amp;AA$39&amp;Hypothèses!$D$17&amp;Hypothèses!$D$18,INDIRECT("'"&amp;Hypothèses!$D$42&amp;"'!$A:$I"),6,FALSE) * AA44,0)</f>
        <v>0</v>
      </c>
      <c r="AB70" s="68">
        <f ca="1">IF(Hypothèses!$D$40=1,VLOOKUP("MAenergy_sold"&amp;"S1"&amp;AB$39&amp;Hypothèses!$D$17&amp;Hypothèses!$D$18,INDIRECT("'"&amp;Hypothèses!$D$42&amp;"'!$A:$I"),6,FALSE) * AB44,0)</f>
        <v>0</v>
      </c>
      <c r="AC70" s="68">
        <f ca="1">IF(Hypothèses!$D$40=1,VLOOKUP("MAenergy_sold"&amp;"S1"&amp;AC$39&amp;Hypothèses!$D$17&amp;Hypothèses!$D$18,INDIRECT("'"&amp;Hypothèses!$D$42&amp;"'!$A:$I"),6,FALSE) * AC44,0)</f>
        <v>0</v>
      </c>
      <c r="AD70" s="68">
        <f ca="1">IF(Hypothèses!$D$40=1,VLOOKUP("MAenergy_sold"&amp;"S1"&amp;AD$39&amp;Hypothèses!$D$17&amp;Hypothèses!$D$18,INDIRECT("'"&amp;Hypothèses!$D$42&amp;"'!$A:$I"),6,FALSE) * AD44,0)</f>
        <v>0</v>
      </c>
      <c r="AE70" s="68">
        <f ca="1">IF(Hypothèses!$D$40=1,VLOOKUP("MAenergy_sold"&amp;"S1"&amp;AE$39&amp;Hypothèses!$D$17&amp;Hypothèses!$D$18,INDIRECT("'"&amp;Hypothèses!$D$42&amp;"'!$A:$I"),6,FALSE) * AE44,0)</f>
        <v>0</v>
      </c>
      <c r="AF70" s="68">
        <f ca="1">IF(Hypothèses!$D$40=1,VLOOKUP("MAenergy_sold"&amp;"S1"&amp;AF$39&amp;Hypothèses!$D$17&amp;Hypothèses!$D$18,INDIRECT("'"&amp;Hypothèses!$D$42&amp;"'!$A:$I"),6,FALSE) * AF44,0)</f>
        <v>0</v>
      </c>
      <c r="AG70" s="68">
        <f ca="1">IF(Hypothèses!$D$40=1,VLOOKUP("MAenergy_sold"&amp;"S1"&amp;AG$39&amp;Hypothèses!$D$17&amp;Hypothèses!$D$18,INDIRECT("'"&amp;Hypothèses!$D$42&amp;"'!$A:$I"),6,FALSE) * AG44,0)</f>
        <v>0</v>
      </c>
      <c r="AH70" s="74"/>
    </row>
    <row r="71" spans="2:34" ht="14.5" hidden="1" outlineLevel="1" x14ac:dyDescent="0.35">
      <c r="B71" s="84" t="s">
        <v>26</v>
      </c>
      <c r="C71" s="77"/>
      <c r="D71" s="135"/>
      <c r="E71" s="135" t="e">
        <f t="shared" ref="E71" ca="1" si="263">E70/D70-1</f>
        <v>#DIV/0!</v>
      </c>
      <c r="F71" s="135" t="e">
        <f t="shared" ref="F71" ca="1" si="264">F70/E70-1</f>
        <v>#DIV/0!</v>
      </c>
      <c r="G71" s="135" t="e">
        <f t="shared" ref="G71" ca="1" si="265">G70/F70-1</f>
        <v>#DIV/0!</v>
      </c>
      <c r="H71" s="135" t="e">
        <f t="shared" ref="H71" ca="1" si="266">H70/G70-1</f>
        <v>#DIV/0!</v>
      </c>
      <c r="I71" s="135" t="e">
        <f t="shared" ref="I71" ca="1" si="267">I70/H70-1</f>
        <v>#DIV/0!</v>
      </c>
      <c r="J71" s="135" t="e">
        <f t="shared" ref="J71" ca="1" si="268">J70/I70-1</f>
        <v>#DIV/0!</v>
      </c>
      <c r="K71" s="135" t="e">
        <f t="shared" ref="K71" ca="1" si="269">K70/J70-1</f>
        <v>#DIV/0!</v>
      </c>
      <c r="L71" s="135" t="e">
        <f t="shared" ref="L71" ca="1" si="270">L70/K70-1</f>
        <v>#DIV/0!</v>
      </c>
      <c r="M71" s="135" t="e">
        <f t="shared" ref="M71" ca="1" si="271">M70/L70-1</f>
        <v>#DIV/0!</v>
      </c>
      <c r="N71" s="135" t="e">
        <f t="shared" ref="N71" ca="1" si="272">N70/M70-1</f>
        <v>#DIV/0!</v>
      </c>
      <c r="O71" s="135" t="e">
        <f t="shared" ref="O71" ca="1" si="273">O70/N70-1</f>
        <v>#DIV/0!</v>
      </c>
      <c r="P71" s="135" t="e">
        <f t="shared" ref="P71" ca="1" si="274">P70/O70-1</f>
        <v>#DIV/0!</v>
      </c>
      <c r="Q71" s="135" t="e">
        <f t="shared" ref="Q71" ca="1" si="275">Q70/P70-1</f>
        <v>#DIV/0!</v>
      </c>
      <c r="R71" s="135" t="e">
        <f t="shared" ref="R71" ca="1" si="276">R70/Q70-1</f>
        <v>#DIV/0!</v>
      </c>
      <c r="S71" s="135" t="e">
        <f t="shared" ref="S71" ca="1" si="277">S70/R70-1</f>
        <v>#DIV/0!</v>
      </c>
      <c r="T71" s="135" t="e">
        <f t="shared" ref="T71" ca="1" si="278">T70/S70-1</f>
        <v>#DIV/0!</v>
      </c>
      <c r="U71" s="135" t="e">
        <f t="shared" ref="U71" ca="1" si="279">U70/T70-1</f>
        <v>#DIV/0!</v>
      </c>
      <c r="V71" s="135" t="e">
        <f t="shared" ref="V71" ca="1" si="280">V70/U70-1</f>
        <v>#DIV/0!</v>
      </c>
      <c r="W71" s="135" t="e">
        <f t="shared" ref="W71" ca="1" si="281">W70/V70-1</f>
        <v>#DIV/0!</v>
      </c>
      <c r="X71" s="135" t="e">
        <f t="shared" ref="X71" ca="1" si="282">X70/W70-1</f>
        <v>#DIV/0!</v>
      </c>
      <c r="Y71" s="135" t="e">
        <f t="shared" ref="Y71" ca="1" si="283">Y70/X70-1</f>
        <v>#DIV/0!</v>
      </c>
      <c r="Z71" s="135" t="e">
        <f t="shared" ref="Z71" ca="1" si="284">Z70/Y70-1</f>
        <v>#DIV/0!</v>
      </c>
      <c r="AA71" s="135" t="e">
        <f t="shared" ref="AA71" ca="1" si="285">AA70/Z70-1</f>
        <v>#DIV/0!</v>
      </c>
      <c r="AB71" s="135" t="e">
        <f t="shared" ref="AB71" ca="1" si="286">AB70/AA70-1</f>
        <v>#DIV/0!</v>
      </c>
      <c r="AC71" s="135" t="e">
        <f t="shared" ref="AC71" ca="1" si="287">AC70/AB70-1</f>
        <v>#DIV/0!</v>
      </c>
      <c r="AD71" s="135" t="e">
        <f t="shared" ref="AD71" ca="1" si="288">AD70/AC70-1</f>
        <v>#DIV/0!</v>
      </c>
      <c r="AE71" s="135" t="e">
        <f t="shared" ref="AE71" ca="1" si="289">AE70/AD70-1</f>
        <v>#DIV/0!</v>
      </c>
      <c r="AF71" s="135" t="e">
        <f t="shared" ref="AF71" ca="1" si="290">AF70/AE70-1</f>
        <v>#DIV/0!</v>
      </c>
      <c r="AG71" s="135" t="e">
        <f t="shared" ref="AG71" ca="1" si="291">AG70/AF70-1</f>
        <v>#DIV/0!</v>
      </c>
      <c r="AH71" s="74"/>
    </row>
    <row r="72" spans="2:34" ht="14.5" hidden="1" outlineLevel="1" x14ac:dyDescent="0.35">
      <c r="B72" s="84" t="s">
        <v>119</v>
      </c>
      <c r="C72" s="77"/>
      <c r="D72" s="68">
        <f ca="1">IF(Hypothèses!$D$40=1,VLOOKUP("MAhours_sold"&amp;"S1"&amp;D$39&amp;Hypothèses!$D$17&amp;Hypothèses!$D$18,INDIRECT("'"&amp;Hypothèses!$D$42&amp;"'!$A:$I"),6,FALSE) * D44,0)</f>
        <v>0</v>
      </c>
      <c r="E72" s="68">
        <f ca="1">IF(Hypothèses!$D$40=1,VLOOKUP("MAhours_sold"&amp;"S1"&amp;E$39&amp;Hypothèses!$D$17&amp;Hypothèses!$D$18,INDIRECT("'"&amp;Hypothèses!$D$42&amp;"'!$A:$I"),6,FALSE) * E44,0)</f>
        <v>0</v>
      </c>
      <c r="F72" s="68">
        <f ca="1">IF(Hypothèses!$D$40=1,VLOOKUP("MAhours_sold"&amp;"S1"&amp;F$39&amp;Hypothèses!$D$17&amp;Hypothèses!$D$18,INDIRECT("'"&amp;Hypothèses!$D$42&amp;"'!$A:$I"),6,FALSE) * F44,0)</f>
        <v>0</v>
      </c>
      <c r="G72" s="68">
        <f ca="1">IF(Hypothèses!$D$40=1,VLOOKUP("MAhours_sold"&amp;"S1"&amp;G$39&amp;Hypothèses!$D$17&amp;Hypothèses!$D$18,INDIRECT("'"&amp;Hypothèses!$D$42&amp;"'!$A:$I"),6,FALSE) * G44,0)</f>
        <v>0</v>
      </c>
      <c r="H72" s="68">
        <f ca="1">IF(Hypothèses!$D$40=1,VLOOKUP("MAhours_sold"&amp;"S1"&amp;H$39&amp;Hypothèses!$D$17&amp;Hypothèses!$D$18,INDIRECT("'"&amp;Hypothèses!$D$42&amp;"'!$A:$I"),6,FALSE) * H44,0)</f>
        <v>0</v>
      </c>
      <c r="I72" s="68">
        <f ca="1">IF(Hypothèses!$D$40=1,VLOOKUP("MAhours_sold"&amp;"S1"&amp;I$39&amp;Hypothèses!$D$17&amp;Hypothèses!$D$18,INDIRECT("'"&amp;Hypothèses!$D$42&amp;"'!$A:$I"),6,FALSE) * I44,0)</f>
        <v>0</v>
      </c>
      <c r="J72" s="68">
        <f ca="1">IF(Hypothèses!$D$40=1,VLOOKUP("MAhours_sold"&amp;"S1"&amp;J$39&amp;Hypothèses!$D$17&amp;Hypothèses!$D$18,INDIRECT("'"&amp;Hypothèses!$D$42&amp;"'!$A:$I"),6,FALSE) * J44,0)</f>
        <v>0</v>
      </c>
      <c r="K72" s="68">
        <f ca="1">IF(Hypothèses!$D$40=1,VLOOKUP("MAhours_sold"&amp;"S1"&amp;K$39&amp;Hypothèses!$D$17&amp;Hypothèses!$D$18,INDIRECT("'"&amp;Hypothèses!$D$42&amp;"'!$A:$I"),6,FALSE) * K44,0)</f>
        <v>0</v>
      </c>
      <c r="L72" s="68">
        <f ca="1">IF(Hypothèses!$D$40=1,VLOOKUP("MAhours_sold"&amp;"S1"&amp;L$39&amp;Hypothèses!$D$17&amp;Hypothèses!$D$18,INDIRECT("'"&amp;Hypothèses!$D$42&amp;"'!$A:$I"),6,FALSE) * L44,0)</f>
        <v>0</v>
      </c>
      <c r="M72" s="68">
        <f ca="1">IF(Hypothèses!$D$40=1,VLOOKUP("MAhours_sold"&amp;"S1"&amp;M$39&amp;Hypothèses!$D$17&amp;Hypothèses!$D$18,INDIRECT("'"&amp;Hypothèses!$D$42&amp;"'!$A:$I"),6,FALSE) * M44,0)</f>
        <v>0</v>
      </c>
      <c r="N72" s="68">
        <f ca="1">IF(Hypothèses!$D$40=1,VLOOKUP("MAhours_sold"&amp;"S1"&amp;N$39&amp;Hypothèses!$D$17&amp;Hypothèses!$D$18,INDIRECT("'"&amp;Hypothèses!$D$42&amp;"'!$A:$I"),6,FALSE) * N44,0)</f>
        <v>0</v>
      </c>
      <c r="O72" s="68">
        <f ca="1">IF(Hypothèses!$D$40=1,VLOOKUP("MAhours_sold"&amp;"S1"&amp;O$39&amp;Hypothèses!$D$17&amp;Hypothèses!$D$18,INDIRECT("'"&amp;Hypothèses!$D$42&amp;"'!$A:$I"),6,FALSE) * O44,0)</f>
        <v>0</v>
      </c>
      <c r="P72" s="68">
        <f ca="1">IF(Hypothèses!$D$40=1,VLOOKUP("MAhours_sold"&amp;"S1"&amp;P$39&amp;Hypothèses!$D$17&amp;Hypothèses!$D$18,INDIRECT("'"&amp;Hypothèses!$D$42&amp;"'!$A:$I"),6,FALSE) * P44,0)</f>
        <v>0</v>
      </c>
      <c r="Q72" s="68">
        <f ca="1">IF(Hypothèses!$D$40=1,VLOOKUP("MAhours_sold"&amp;"S1"&amp;Q$39&amp;Hypothèses!$D$17&amp;Hypothèses!$D$18,INDIRECT("'"&amp;Hypothèses!$D$42&amp;"'!$A:$I"),6,FALSE) * Q44,0)</f>
        <v>0</v>
      </c>
      <c r="R72" s="68">
        <f ca="1">IF(Hypothèses!$D$40=1,VLOOKUP("MAhours_sold"&amp;"S1"&amp;R$39&amp;Hypothèses!$D$17&amp;Hypothèses!$D$18,INDIRECT("'"&amp;Hypothèses!$D$42&amp;"'!$A:$I"),6,FALSE) * R44,0)</f>
        <v>0</v>
      </c>
      <c r="S72" s="68">
        <f ca="1">IF(Hypothèses!$D$40=1,VLOOKUP("MAhours_sold"&amp;"S1"&amp;S$39&amp;Hypothèses!$D$17&amp;Hypothèses!$D$18,INDIRECT("'"&amp;Hypothèses!$D$42&amp;"'!$A:$I"),6,FALSE) * S44,0)</f>
        <v>0</v>
      </c>
      <c r="T72" s="68">
        <f ca="1">IF(Hypothèses!$D$40=1,VLOOKUP("MAhours_sold"&amp;"S1"&amp;T$39&amp;Hypothèses!$D$17&amp;Hypothèses!$D$18,INDIRECT("'"&amp;Hypothèses!$D$42&amp;"'!$A:$I"),6,FALSE) * T44,0)</f>
        <v>0</v>
      </c>
      <c r="U72" s="68">
        <f ca="1">IF(Hypothèses!$D$40=1,VLOOKUP("MAhours_sold"&amp;"S1"&amp;U$39&amp;Hypothèses!$D$17&amp;Hypothèses!$D$18,INDIRECT("'"&amp;Hypothèses!$D$42&amp;"'!$A:$I"),6,FALSE) * U44,0)</f>
        <v>0</v>
      </c>
      <c r="V72" s="68">
        <f ca="1">IF(Hypothèses!$D$40=1,VLOOKUP("MAhours_sold"&amp;"S1"&amp;V$39&amp;Hypothèses!$D$17&amp;Hypothèses!$D$18,INDIRECT("'"&amp;Hypothèses!$D$42&amp;"'!$A:$I"),6,FALSE) * V44,0)</f>
        <v>0</v>
      </c>
      <c r="W72" s="68">
        <f ca="1">IF(Hypothèses!$D$40=1,VLOOKUP("MAhours_sold"&amp;"S1"&amp;W$39&amp;Hypothèses!$D$17&amp;Hypothèses!$D$18,INDIRECT("'"&amp;Hypothèses!$D$42&amp;"'!$A:$I"),6,FALSE) * W44,0)</f>
        <v>0</v>
      </c>
      <c r="X72" s="68">
        <f ca="1">IF(Hypothèses!$D$40=1,VLOOKUP("MAhours_sold"&amp;"S1"&amp;X$39&amp;Hypothèses!$D$17&amp;Hypothèses!$D$18,INDIRECT("'"&amp;Hypothèses!$D$42&amp;"'!$A:$I"),6,FALSE) * X44,0)</f>
        <v>0</v>
      </c>
      <c r="Y72" s="68">
        <f ca="1">IF(Hypothèses!$D$40=1,VLOOKUP("MAhours_sold"&amp;"S1"&amp;Y$39&amp;Hypothèses!$D$17&amp;Hypothèses!$D$18,INDIRECT("'"&amp;Hypothèses!$D$42&amp;"'!$A:$I"),6,FALSE) * Y44,0)</f>
        <v>0</v>
      </c>
      <c r="Z72" s="68">
        <f ca="1">IF(Hypothèses!$D$40=1,VLOOKUP("MAhours_sold"&amp;"S1"&amp;Z$39&amp;Hypothèses!$D$17&amp;Hypothèses!$D$18,INDIRECT("'"&amp;Hypothèses!$D$42&amp;"'!$A:$I"),6,FALSE) * Z44,0)</f>
        <v>0</v>
      </c>
      <c r="AA72" s="68">
        <f ca="1">IF(Hypothèses!$D$40=1,VLOOKUP("MAhours_sold"&amp;"S1"&amp;AA$39&amp;Hypothèses!$D$17&amp;Hypothèses!$D$18,INDIRECT("'"&amp;Hypothèses!$D$42&amp;"'!$A:$I"),6,FALSE) * AA44,0)</f>
        <v>0</v>
      </c>
      <c r="AB72" s="68">
        <f ca="1">IF(Hypothèses!$D$40=1,VLOOKUP("MAhours_sold"&amp;"S1"&amp;AB$39&amp;Hypothèses!$D$17&amp;Hypothèses!$D$18,INDIRECT("'"&amp;Hypothèses!$D$42&amp;"'!$A:$I"),6,FALSE) * AB44,0)</f>
        <v>0</v>
      </c>
      <c r="AC72" s="68">
        <f ca="1">IF(Hypothèses!$D$40=1,VLOOKUP("MAhours_sold"&amp;"S1"&amp;AC$39&amp;Hypothèses!$D$17&amp;Hypothèses!$D$18,INDIRECT("'"&amp;Hypothèses!$D$42&amp;"'!$A:$I"),6,FALSE) * AC44,0)</f>
        <v>0</v>
      </c>
      <c r="AD72" s="68">
        <f ca="1">IF(Hypothèses!$D$40=1,VLOOKUP("MAhours_sold"&amp;"S1"&amp;AD$39&amp;Hypothèses!$D$17&amp;Hypothèses!$D$18,INDIRECT("'"&amp;Hypothèses!$D$42&amp;"'!$A:$I"),6,FALSE) * AD44,0)</f>
        <v>0</v>
      </c>
      <c r="AE72" s="68">
        <f ca="1">IF(Hypothèses!$D$40=1,VLOOKUP("MAhours_sold"&amp;"S1"&amp;AE$39&amp;Hypothèses!$D$17&amp;Hypothèses!$D$18,INDIRECT("'"&amp;Hypothèses!$D$42&amp;"'!$A:$I"),6,FALSE) * AE44,0)</f>
        <v>0</v>
      </c>
      <c r="AF72" s="68">
        <f ca="1">IF(Hypothèses!$D$40=1,VLOOKUP("MAhours_sold"&amp;"S1"&amp;AF$39&amp;Hypothèses!$D$17&amp;Hypothèses!$D$18,INDIRECT("'"&amp;Hypothèses!$D$42&amp;"'!$A:$I"),6,FALSE) * AF44,0)</f>
        <v>0</v>
      </c>
      <c r="AG72" s="68">
        <f ca="1">IF(Hypothèses!$D$40=1,VLOOKUP("MAhours_sold"&amp;"S1"&amp;AG$39&amp;Hypothèses!$D$17&amp;Hypothèses!$D$18,INDIRECT("'"&amp;Hypothèses!$D$42&amp;"'!$A:$I"),6,FALSE) * AG44,0)</f>
        <v>0</v>
      </c>
      <c r="AH72" s="74"/>
    </row>
    <row r="73" spans="2:34" hidden="1" outlineLevel="1" x14ac:dyDescent="0.3">
      <c r="B73" s="77" t="s">
        <v>140</v>
      </c>
      <c r="C73" s="77"/>
      <c r="D73" s="71">
        <f ca="1">IF(Hypothèses!$D$40=1,VLOOKUP("MAcost"&amp;"S1"&amp;D$39&amp;Hypothèses!$D$17&amp;Hypothèses!$D$18,INDIRECT("'"&amp;Hypothèses!$D$42&amp;"'!$A:$I"),6,FALSE)*(1+$C$37)^C43 * D44,0)</f>
        <v>0</v>
      </c>
      <c r="E73" s="71">
        <f ca="1">IF(Hypothèses!$D$40=1,VLOOKUP("MAcost"&amp;"S1"&amp;E$39&amp;Hypothèses!$D$17&amp;Hypothèses!$D$18,INDIRECT("'"&amp;Hypothèses!$D$42&amp;"'!$A:$I"),6,FALSE)*(1+$C$37)^D43 * E44,0)</f>
        <v>0</v>
      </c>
      <c r="F73" s="71">
        <f ca="1">IF(Hypothèses!$D$40=1,VLOOKUP("MAcost"&amp;"S1"&amp;F$39&amp;Hypothèses!$D$17&amp;Hypothèses!$D$18,INDIRECT("'"&amp;Hypothèses!$D$42&amp;"'!$A:$I"),6,FALSE)*(1+$C$37)^E43 * F44,0)</f>
        <v>0</v>
      </c>
      <c r="G73" s="71">
        <f ca="1">IF(Hypothèses!$D$40=1,VLOOKUP("MAcost"&amp;"S1"&amp;G$39&amp;Hypothèses!$D$17&amp;Hypothèses!$D$18,INDIRECT("'"&amp;Hypothèses!$D$42&amp;"'!$A:$I"),6,FALSE)*(1+$C$37)^F43 * G44,0)</f>
        <v>0</v>
      </c>
      <c r="H73" s="71">
        <f ca="1">IF(Hypothèses!$D$40=1,VLOOKUP("MAcost"&amp;"S1"&amp;H$39&amp;Hypothèses!$D$17&amp;Hypothèses!$D$18,INDIRECT("'"&amp;Hypothèses!$D$42&amp;"'!$A:$I"),6,FALSE)*(1+$C$37)^G43 * H44,0)</f>
        <v>0</v>
      </c>
      <c r="I73" s="71">
        <f ca="1">IF(Hypothèses!$D$40=1,VLOOKUP("MAcost"&amp;"S1"&amp;I$39&amp;Hypothèses!$D$17&amp;Hypothèses!$D$18,INDIRECT("'"&amp;Hypothèses!$D$42&amp;"'!$A:$I"),6,FALSE)*(1+$C$37)^H43 * I44,0)</f>
        <v>0</v>
      </c>
      <c r="J73" s="71">
        <f ca="1">IF(Hypothèses!$D$40=1,VLOOKUP("MAcost"&amp;"S1"&amp;J$39&amp;Hypothèses!$D$17&amp;Hypothèses!$D$18,INDIRECT("'"&amp;Hypothèses!$D$42&amp;"'!$A:$I"),6,FALSE)*(1+$C$37)^I43 * J44,0)</f>
        <v>0</v>
      </c>
      <c r="K73" s="71">
        <f ca="1">IF(Hypothèses!$D$40=1,VLOOKUP("MAcost"&amp;"S1"&amp;K$39&amp;Hypothèses!$D$17&amp;Hypothèses!$D$18,INDIRECT("'"&amp;Hypothèses!$D$42&amp;"'!$A:$I"),6,FALSE)*(1+$C$37)^J43 * K44,0)</f>
        <v>0</v>
      </c>
      <c r="L73" s="71">
        <f ca="1">IF(Hypothèses!$D$40=1,VLOOKUP("MAcost"&amp;"S1"&amp;L$39&amp;Hypothèses!$D$17&amp;Hypothèses!$D$18,INDIRECT("'"&amp;Hypothèses!$D$42&amp;"'!$A:$I"),6,FALSE)*(1+$C$37)^K43 * L44,0)</f>
        <v>0</v>
      </c>
      <c r="M73" s="71">
        <f ca="1">IF(Hypothèses!$D$40=1,VLOOKUP("MAcost"&amp;"S1"&amp;M$39&amp;Hypothèses!$D$17&amp;Hypothèses!$D$18,INDIRECT("'"&amp;Hypothèses!$D$42&amp;"'!$A:$I"),6,FALSE)*(1+$C$37)^L43 * M44,0)</f>
        <v>0</v>
      </c>
      <c r="N73" s="71">
        <f ca="1">IF(Hypothèses!$D$40=1,VLOOKUP("MAcost"&amp;"S1"&amp;N$39&amp;Hypothèses!$D$17&amp;Hypothèses!$D$18,INDIRECT("'"&amp;Hypothèses!$D$42&amp;"'!$A:$I"),6,FALSE)*(1+$C$37)^M43 * N44,0)</f>
        <v>0</v>
      </c>
      <c r="O73" s="71">
        <f ca="1">IF(Hypothèses!$D$40=1,VLOOKUP("MAcost"&amp;"S1"&amp;O$39&amp;Hypothèses!$D$17&amp;Hypothèses!$D$18,INDIRECT("'"&amp;Hypothèses!$D$42&amp;"'!$A:$I"),6,FALSE)*(1+$C$37)^N43 * O44,0)</f>
        <v>0</v>
      </c>
      <c r="P73" s="71">
        <f ca="1">IF(Hypothèses!$D$40=1,VLOOKUP("MAcost"&amp;"S1"&amp;P$39&amp;Hypothèses!$D$17&amp;Hypothèses!$D$18,INDIRECT("'"&amp;Hypothèses!$D$42&amp;"'!$A:$I"),6,FALSE)*(1+$C$37)^O43 * P44,0)</f>
        <v>0</v>
      </c>
      <c r="Q73" s="71">
        <f ca="1">IF(Hypothèses!$D$40=1,VLOOKUP("MAcost"&amp;"S1"&amp;Q$39&amp;Hypothèses!$D$17&amp;Hypothèses!$D$18,INDIRECT("'"&amp;Hypothèses!$D$42&amp;"'!$A:$I"),6,FALSE)*(1+$C$37)^P43 * Q44,0)</f>
        <v>0</v>
      </c>
      <c r="R73" s="71">
        <f ca="1">IF(Hypothèses!$D$40=1,VLOOKUP("MAcost"&amp;"S1"&amp;R$39&amp;Hypothèses!$D$17&amp;Hypothèses!$D$18,INDIRECT("'"&amp;Hypothèses!$D$42&amp;"'!$A:$I"),6,FALSE)*(1+$C$37)^Q43 * R44,0)</f>
        <v>0</v>
      </c>
      <c r="S73" s="71">
        <f ca="1">IF(Hypothèses!$D$40=1,VLOOKUP("MAcost"&amp;"S1"&amp;S$39&amp;Hypothèses!$D$17&amp;Hypothèses!$D$18,INDIRECT("'"&amp;Hypothèses!$D$42&amp;"'!$A:$I"),6,FALSE)*(1+$C$37)^R43 * S44,0)</f>
        <v>0</v>
      </c>
      <c r="T73" s="71">
        <f ca="1">IF(Hypothèses!$D$40=1,VLOOKUP("MAcost"&amp;"S1"&amp;T$39&amp;Hypothèses!$D$17&amp;Hypothèses!$D$18,INDIRECT("'"&amp;Hypothèses!$D$42&amp;"'!$A:$I"),6,FALSE)*(1+$C$37)^S43 * T44,0)</f>
        <v>0</v>
      </c>
      <c r="U73" s="71">
        <f ca="1">IF(Hypothèses!$D$40=1,VLOOKUP("MAcost"&amp;"S1"&amp;U$39&amp;Hypothèses!$D$17&amp;Hypothèses!$D$18,INDIRECT("'"&amp;Hypothèses!$D$42&amp;"'!$A:$I"),6,FALSE)*(1+$C$37)^T43 * U44,0)</f>
        <v>0</v>
      </c>
      <c r="V73" s="71">
        <f ca="1">IF(Hypothèses!$D$40=1,VLOOKUP("MAcost"&amp;"S1"&amp;V$39&amp;Hypothèses!$D$17&amp;Hypothèses!$D$18,INDIRECT("'"&amp;Hypothèses!$D$42&amp;"'!$A:$I"),6,FALSE)*(1+$C$37)^U43 * V44,0)</f>
        <v>0</v>
      </c>
      <c r="W73" s="71">
        <f ca="1">IF(Hypothèses!$D$40=1,VLOOKUP("MAcost"&amp;"S1"&amp;W$39&amp;Hypothèses!$D$17&amp;Hypothèses!$D$18,INDIRECT("'"&amp;Hypothèses!$D$42&amp;"'!$A:$I"),6,FALSE)*(1+$C$37)^V43 * W44,0)</f>
        <v>0</v>
      </c>
      <c r="X73" s="71">
        <f ca="1">IF(Hypothèses!$D$40=1,VLOOKUP("MAcost"&amp;"S1"&amp;X$39&amp;Hypothèses!$D$17&amp;Hypothèses!$D$18,INDIRECT("'"&amp;Hypothèses!$D$42&amp;"'!$A:$I"),6,FALSE)*(1+$C$37)^W43 * X44,0)</f>
        <v>0</v>
      </c>
      <c r="Y73" s="71">
        <f ca="1">IF(Hypothèses!$D$40=1,VLOOKUP("MAcost"&amp;"S1"&amp;Y$39&amp;Hypothèses!$D$17&amp;Hypothèses!$D$18,INDIRECT("'"&amp;Hypothèses!$D$42&amp;"'!$A:$I"),6,FALSE)*(1+$C$37)^X43 * Y44,0)</f>
        <v>0</v>
      </c>
      <c r="Z73" s="71">
        <f ca="1">IF(Hypothèses!$D$40=1,VLOOKUP("MAcost"&amp;"S1"&amp;Z$39&amp;Hypothèses!$D$17&amp;Hypothèses!$D$18,INDIRECT("'"&amp;Hypothèses!$D$42&amp;"'!$A:$I"),6,FALSE)*(1+$C$37)^Y43 * Z44,0)</f>
        <v>0</v>
      </c>
      <c r="AA73" s="71">
        <f ca="1">IF(Hypothèses!$D$40=1,VLOOKUP("MAcost"&amp;"S1"&amp;AA$39&amp;Hypothèses!$D$17&amp;Hypothèses!$D$18,INDIRECT("'"&amp;Hypothèses!$D$42&amp;"'!$A:$I"),6,FALSE)*(1+$C$37)^Z43 * AA44,0)</f>
        <v>0</v>
      </c>
      <c r="AB73" s="71">
        <f ca="1">IF(Hypothèses!$D$40=1,VLOOKUP("MAcost"&amp;"S1"&amp;AB$39&amp;Hypothèses!$D$17&amp;Hypothèses!$D$18,INDIRECT("'"&amp;Hypothèses!$D$42&amp;"'!$A:$I"),6,FALSE)*(1+$C$37)^AA43 * AB44,0)</f>
        <v>0</v>
      </c>
      <c r="AC73" s="71">
        <f ca="1">IF(Hypothèses!$D$40=1,VLOOKUP("MAcost"&amp;"S1"&amp;AC$39&amp;Hypothèses!$D$17&amp;Hypothèses!$D$18,INDIRECT("'"&amp;Hypothèses!$D$42&amp;"'!$A:$I"),6,FALSE)*(1+$C$37)^AB43 * AC44,0)</f>
        <v>0</v>
      </c>
      <c r="AD73" s="71">
        <f ca="1">IF(Hypothèses!$D$40=1,VLOOKUP("MAcost"&amp;"S1"&amp;AD$39&amp;Hypothèses!$D$17&amp;Hypothèses!$D$18,INDIRECT("'"&amp;Hypothèses!$D$42&amp;"'!$A:$I"),6,FALSE)*(1+$C$37)^AC43 * AD44,0)</f>
        <v>0</v>
      </c>
      <c r="AE73" s="71">
        <f ca="1">IF(Hypothèses!$D$40=1,VLOOKUP("MAcost"&amp;"S1"&amp;AE$39&amp;Hypothèses!$D$17&amp;Hypothèses!$D$18,INDIRECT("'"&amp;Hypothèses!$D$42&amp;"'!$A:$I"),6,FALSE)*(1+$C$37)^AD43 * AE44,0)</f>
        <v>0</v>
      </c>
      <c r="AF73" s="71">
        <f ca="1">IF(Hypothèses!$D$40=1,VLOOKUP("MAcost"&amp;"S1"&amp;AF$39&amp;Hypothèses!$D$17&amp;Hypothèses!$D$18,INDIRECT("'"&amp;Hypothèses!$D$42&amp;"'!$A:$I"),6,FALSE)*(1+$C$37)^AE43 * AF44,0)</f>
        <v>0</v>
      </c>
      <c r="AG73" s="71">
        <f ca="1">IF(Hypothèses!$D$40=1,VLOOKUP("MAcost"&amp;"S1"&amp;AG$39&amp;Hypothèses!$D$17&amp;Hypothèses!$D$18,INDIRECT("'"&amp;Hypothèses!$D$42&amp;"'!$A:$I"),6,FALSE)*(1+$C$37)^AF43 * AG44,0)</f>
        <v>0</v>
      </c>
      <c r="AH73" s="74"/>
    </row>
    <row r="74" spans="2:34" ht="14.5" hidden="1" outlineLevel="1" x14ac:dyDescent="0.35">
      <c r="B74" s="84" t="s">
        <v>26</v>
      </c>
      <c r="C74" s="77"/>
      <c r="D74" s="135"/>
      <c r="E74" s="135" t="e">
        <f t="shared" ref="E74" ca="1" si="292">E73/D73-1</f>
        <v>#DIV/0!</v>
      </c>
      <c r="F74" s="135" t="e">
        <f t="shared" ref="F74" ca="1" si="293">F73/E73-1</f>
        <v>#DIV/0!</v>
      </c>
      <c r="G74" s="135" t="e">
        <f t="shared" ref="G74" ca="1" si="294">G73/F73-1</f>
        <v>#DIV/0!</v>
      </c>
      <c r="H74" s="135" t="e">
        <f t="shared" ref="H74" ca="1" si="295">H73/G73-1</f>
        <v>#DIV/0!</v>
      </c>
      <c r="I74" s="135" t="e">
        <f t="shared" ref="I74" ca="1" si="296">I73/H73-1</f>
        <v>#DIV/0!</v>
      </c>
      <c r="J74" s="135" t="e">
        <f t="shared" ref="J74" ca="1" si="297">J73/I73-1</f>
        <v>#DIV/0!</v>
      </c>
      <c r="K74" s="135" t="e">
        <f t="shared" ref="K74" ca="1" si="298">K73/J73-1</f>
        <v>#DIV/0!</v>
      </c>
      <c r="L74" s="135" t="e">
        <f t="shared" ref="L74" ca="1" si="299">L73/K73-1</f>
        <v>#DIV/0!</v>
      </c>
      <c r="M74" s="135" t="e">
        <f t="shared" ref="M74" ca="1" si="300">M73/L73-1</f>
        <v>#DIV/0!</v>
      </c>
      <c r="N74" s="135" t="e">
        <f t="shared" ref="N74" ca="1" si="301">N73/M73-1</f>
        <v>#DIV/0!</v>
      </c>
      <c r="O74" s="135" t="e">
        <f t="shared" ref="O74" ca="1" si="302">O73/N73-1</f>
        <v>#DIV/0!</v>
      </c>
      <c r="P74" s="135" t="e">
        <f t="shared" ref="P74" ca="1" si="303">P73/O73-1</f>
        <v>#DIV/0!</v>
      </c>
      <c r="Q74" s="135" t="e">
        <f t="shared" ref="Q74" ca="1" si="304">Q73/P73-1</f>
        <v>#DIV/0!</v>
      </c>
      <c r="R74" s="135" t="e">
        <f t="shared" ref="R74" ca="1" si="305">R73/Q73-1</f>
        <v>#DIV/0!</v>
      </c>
      <c r="S74" s="135" t="e">
        <f t="shared" ref="S74" ca="1" si="306">S73/R73-1</f>
        <v>#DIV/0!</v>
      </c>
      <c r="T74" s="135" t="e">
        <f t="shared" ref="T74" ca="1" si="307">T73/S73-1</f>
        <v>#DIV/0!</v>
      </c>
      <c r="U74" s="135" t="e">
        <f t="shared" ref="U74" ca="1" si="308">U73/T73-1</f>
        <v>#DIV/0!</v>
      </c>
      <c r="V74" s="135" t="e">
        <f t="shared" ref="V74" ca="1" si="309">V73/U73-1</f>
        <v>#DIV/0!</v>
      </c>
      <c r="W74" s="135" t="e">
        <f t="shared" ref="W74" ca="1" si="310">W73/V73-1</f>
        <v>#DIV/0!</v>
      </c>
      <c r="X74" s="135" t="e">
        <f t="shared" ref="X74" ca="1" si="311">X73/W73-1</f>
        <v>#DIV/0!</v>
      </c>
      <c r="Y74" s="135" t="e">
        <f t="shared" ref="Y74" ca="1" si="312">Y73/X73-1</f>
        <v>#DIV/0!</v>
      </c>
      <c r="Z74" s="135" t="e">
        <f t="shared" ref="Z74" ca="1" si="313">Z73/Y73-1</f>
        <v>#DIV/0!</v>
      </c>
      <c r="AA74" s="135" t="e">
        <f t="shared" ref="AA74" ca="1" si="314">AA73/Z73-1</f>
        <v>#DIV/0!</v>
      </c>
      <c r="AB74" s="135" t="e">
        <f t="shared" ref="AB74" ca="1" si="315">AB73/AA73-1</f>
        <v>#DIV/0!</v>
      </c>
      <c r="AC74" s="135" t="e">
        <f t="shared" ref="AC74" ca="1" si="316">AC73/AB73-1</f>
        <v>#DIV/0!</v>
      </c>
      <c r="AD74" s="135" t="e">
        <f t="shared" ref="AD74" ca="1" si="317">AD73/AC73-1</f>
        <v>#DIV/0!</v>
      </c>
      <c r="AE74" s="135" t="e">
        <f t="shared" ref="AE74" ca="1" si="318">AE73/AD73-1</f>
        <v>#DIV/0!</v>
      </c>
      <c r="AF74" s="135" t="e">
        <f t="shared" ref="AF74" ca="1" si="319">AF73/AE73-1</f>
        <v>#DIV/0!</v>
      </c>
      <c r="AG74" s="135" t="e">
        <f t="shared" ref="AG74" ca="1" si="320">AG73/AF73-1</f>
        <v>#DIV/0!</v>
      </c>
      <c r="AH74" s="74"/>
    </row>
    <row r="75" spans="2:34" hidden="1" outlineLevel="1" x14ac:dyDescent="0.3">
      <c r="B75" s="77" t="s">
        <v>141</v>
      </c>
      <c r="C75" s="77"/>
      <c r="D75" s="68">
        <f ca="1">IF(Hypothèses!$D$40=1,VLOOKUP("MAenergy_bought"&amp;"S1"&amp;D$39&amp;Hypothèses!$D$17&amp;Hypothèses!$D$18,INDIRECT("'"&amp;Hypothèses!$D$42&amp;"'!$A:$I"),6,FALSE) * D44,0)</f>
        <v>0</v>
      </c>
      <c r="E75" s="68">
        <f ca="1">IF(Hypothèses!$D$40=1,VLOOKUP("MAenergy_bought"&amp;"S1"&amp;E$39&amp;Hypothèses!$D$17&amp;Hypothèses!$D$18,INDIRECT("'"&amp;Hypothèses!$D$42&amp;"'!$A:$I"),6,FALSE) * E44,0)</f>
        <v>0</v>
      </c>
      <c r="F75" s="68">
        <f ca="1">IF(Hypothèses!$D$40=1,VLOOKUP("MAenergy_bought"&amp;"S1"&amp;F$39&amp;Hypothèses!$D$17&amp;Hypothèses!$D$18,INDIRECT("'"&amp;Hypothèses!$D$42&amp;"'!$A:$I"),6,FALSE) * F44,0)</f>
        <v>0</v>
      </c>
      <c r="G75" s="68">
        <f ca="1">IF(Hypothèses!$D$40=1,VLOOKUP("MAenergy_bought"&amp;"S1"&amp;G$39&amp;Hypothèses!$D$17&amp;Hypothèses!$D$18,INDIRECT("'"&amp;Hypothèses!$D$42&amp;"'!$A:$I"),6,FALSE) * G44,0)</f>
        <v>0</v>
      </c>
      <c r="H75" s="68">
        <f ca="1">IF(Hypothèses!$D$40=1,VLOOKUP("MAenergy_bought"&amp;"S1"&amp;H$39&amp;Hypothèses!$D$17&amp;Hypothèses!$D$18,INDIRECT("'"&amp;Hypothèses!$D$42&amp;"'!$A:$I"),6,FALSE) * H44,0)</f>
        <v>0</v>
      </c>
      <c r="I75" s="68">
        <f ca="1">IF(Hypothèses!$D$40=1,VLOOKUP("MAenergy_bought"&amp;"S1"&amp;I$39&amp;Hypothèses!$D$17&amp;Hypothèses!$D$18,INDIRECT("'"&amp;Hypothèses!$D$42&amp;"'!$A:$I"),6,FALSE) * I44,0)</f>
        <v>0</v>
      </c>
      <c r="J75" s="68">
        <f ca="1">IF(Hypothèses!$D$40=1,VLOOKUP("MAenergy_bought"&amp;"S1"&amp;J$39&amp;Hypothèses!$D$17&amp;Hypothèses!$D$18,INDIRECT("'"&amp;Hypothèses!$D$42&amp;"'!$A:$I"),6,FALSE) * J44,0)</f>
        <v>0</v>
      </c>
      <c r="K75" s="68">
        <f ca="1">IF(Hypothèses!$D$40=1,VLOOKUP("MAenergy_bought"&amp;"S1"&amp;K$39&amp;Hypothèses!$D$17&amp;Hypothèses!$D$18,INDIRECT("'"&amp;Hypothèses!$D$42&amp;"'!$A:$I"),6,FALSE) * K44,0)</f>
        <v>0</v>
      </c>
      <c r="L75" s="68">
        <f ca="1">IF(Hypothèses!$D$40=1,VLOOKUP("MAenergy_bought"&amp;"S1"&amp;L$39&amp;Hypothèses!$D$17&amp;Hypothèses!$D$18,INDIRECT("'"&amp;Hypothèses!$D$42&amp;"'!$A:$I"),6,FALSE) * L44,0)</f>
        <v>0</v>
      </c>
      <c r="M75" s="68">
        <f ca="1">IF(Hypothèses!$D$40=1,VLOOKUP("MAenergy_bought"&amp;"S1"&amp;M$39&amp;Hypothèses!$D$17&amp;Hypothèses!$D$18,INDIRECT("'"&amp;Hypothèses!$D$42&amp;"'!$A:$I"),6,FALSE) * M44,0)</f>
        <v>0</v>
      </c>
      <c r="N75" s="68">
        <f ca="1">IF(Hypothèses!$D$40=1,VLOOKUP("MAenergy_bought"&amp;"S1"&amp;N$39&amp;Hypothèses!$D$17&amp;Hypothèses!$D$18,INDIRECT("'"&amp;Hypothèses!$D$42&amp;"'!$A:$I"),6,FALSE) * N44,0)</f>
        <v>0</v>
      </c>
      <c r="O75" s="68">
        <f ca="1">IF(Hypothèses!$D$40=1,VLOOKUP("MAenergy_bought"&amp;"S1"&amp;O$39&amp;Hypothèses!$D$17&amp;Hypothèses!$D$18,INDIRECT("'"&amp;Hypothèses!$D$42&amp;"'!$A:$I"),6,FALSE) * O44,0)</f>
        <v>0</v>
      </c>
      <c r="P75" s="68">
        <f ca="1">IF(Hypothèses!$D$40=1,VLOOKUP("MAenergy_bought"&amp;"S1"&amp;P$39&amp;Hypothèses!$D$17&amp;Hypothèses!$D$18,INDIRECT("'"&amp;Hypothèses!$D$42&amp;"'!$A:$I"),6,FALSE) * P44,0)</f>
        <v>0</v>
      </c>
      <c r="Q75" s="68">
        <f ca="1">IF(Hypothèses!$D$40=1,VLOOKUP("MAenergy_bought"&amp;"S1"&amp;Q$39&amp;Hypothèses!$D$17&amp;Hypothèses!$D$18,INDIRECT("'"&amp;Hypothèses!$D$42&amp;"'!$A:$I"),6,FALSE) * Q44,0)</f>
        <v>0</v>
      </c>
      <c r="R75" s="68">
        <f ca="1">IF(Hypothèses!$D$40=1,VLOOKUP("MAenergy_bought"&amp;"S1"&amp;R$39&amp;Hypothèses!$D$17&amp;Hypothèses!$D$18,INDIRECT("'"&amp;Hypothèses!$D$42&amp;"'!$A:$I"),6,FALSE) * R44,0)</f>
        <v>0</v>
      </c>
      <c r="S75" s="68">
        <f ca="1">IF(Hypothèses!$D$40=1,VLOOKUP("MAenergy_bought"&amp;"S1"&amp;S$39&amp;Hypothèses!$D$17&amp;Hypothèses!$D$18,INDIRECT("'"&amp;Hypothèses!$D$42&amp;"'!$A:$I"),6,FALSE) * S44,0)</f>
        <v>0</v>
      </c>
      <c r="T75" s="68">
        <f ca="1">IF(Hypothèses!$D$40=1,VLOOKUP("MAenergy_bought"&amp;"S1"&amp;T$39&amp;Hypothèses!$D$17&amp;Hypothèses!$D$18,INDIRECT("'"&amp;Hypothèses!$D$42&amp;"'!$A:$I"),6,FALSE) * T44,0)</f>
        <v>0</v>
      </c>
      <c r="U75" s="68">
        <f ca="1">IF(Hypothèses!$D$40=1,VLOOKUP("MAenergy_bought"&amp;"S1"&amp;U$39&amp;Hypothèses!$D$17&amp;Hypothèses!$D$18,INDIRECT("'"&amp;Hypothèses!$D$42&amp;"'!$A:$I"),6,FALSE) * U44,0)</f>
        <v>0</v>
      </c>
      <c r="V75" s="68">
        <f ca="1">IF(Hypothèses!$D$40=1,VLOOKUP("MAenergy_bought"&amp;"S1"&amp;V$39&amp;Hypothèses!$D$17&amp;Hypothèses!$D$18,INDIRECT("'"&amp;Hypothèses!$D$42&amp;"'!$A:$I"),6,FALSE) * V44,0)</f>
        <v>0</v>
      </c>
      <c r="W75" s="68">
        <f ca="1">IF(Hypothèses!$D$40=1,VLOOKUP("MAenergy_bought"&amp;"S1"&amp;W$39&amp;Hypothèses!$D$17&amp;Hypothèses!$D$18,INDIRECT("'"&amp;Hypothèses!$D$42&amp;"'!$A:$I"),6,FALSE) * W44,0)</f>
        <v>0</v>
      </c>
      <c r="X75" s="68">
        <f ca="1">IF(Hypothèses!$D$40=1,VLOOKUP("MAenergy_bought"&amp;"S1"&amp;X$39&amp;Hypothèses!$D$17&amp;Hypothèses!$D$18,INDIRECT("'"&amp;Hypothèses!$D$42&amp;"'!$A:$I"),6,FALSE) * X44,0)</f>
        <v>0</v>
      </c>
      <c r="Y75" s="68">
        <f ca="1">IF(Hypothèses!$D$40=1,VLOOKUP("MAenergy_bought"&amp;"S1"&amp;Y$39&amp;Hypothèses!$D$17&amp;Hypothèses!$D$18,INDIRECT("'"&amp;Hypothèses!$D$42&amp;"'!$A:$I"),6,FALSE) * Y44,0)</f>
        <v>0</v>
      </c>
      <c r="Z75" s="68">
        <f ca="1">IF(Hypothèses!$D$40=1,VLOOKUP("MAenergy_bought"&amp;"S1"&amp;Z$39&amp;Hypothèses!$D$17&amp;Hypothèses!$D$18,INDIRECT("'"&amp;Hypothèses!$D$42&amp;"'!$A:$I"),6,FALSE) * Z44,0)</f>
        <v>0</v>
      </c>
      <c r="AA75" s="68">
        <f ca="1">IF(Hypothèses!$D$40=1,VLOOKUP("MAenergy_bought"&amp;"S1"&amp;AA$39&amp;Hypothèses!$D$17&amp;Hypothèses!$D$18,INDIRECT("'"&amp;Hypothèses!$D$42&amp;"'!$A:$I"),6,FALSE) * AA44,0)</f>
        <v>0</v>
      </c>
      <c r="AB75" s="68">
        <f ca="1">IF(Hypothèses!$D$40=1,VLOOKUP("MAenergy_bought"&amp;"S1"&amp;AB$39&amp;Hypothèses!$D$17&amp;Hypothèses!$D$18,INDIRECT("'"&amp;Hypothèses!$D$42&amp;"'!$A:$I"),6,FALSE) * AB44,0)</f>
        <v>0</v>
      </c>
      <c r="AC75" s="68">
        <f ca="1">IF(Hypothèses!$D$40=1,VLOOKUP("MAenergy_bought"&amp;"S1"&amp;AC$39&amp;Hypothèses!$D$17&amp;Hypothèses!$D$18,INDIRECT("'"&amp;Hypothèses!$D$42&amp;"'!$A:$I"),6,FALSE) * AC44,0)</f>
        <v>0</v>
      </c>
      <c r="AD75" s="68">
        <f ca="1">IF(Hypothèses!$D$40=1,VLOOKUP("MAenergy_bought"&amp;"S1"&amp;AD$39&amp;Hypothèses!$D$17&amp;Hypothèses!$D$18,INDIRECT("'"&amp;Hypothèses!$D$42&amp;"'!$A:$I"),6,FALSE) * AD44,0)</f>
        <v>0</v>
      </c>
      <c r="AE75" s="68">
        <f ca="1">IF(Hypothèses!$D$40=1,VLOOKUP("MAenergy_bought"&amp;"S1"&amp;AE$39&amp;Hypothèses!$D$17&amp;Hypothèses!$D$18,INDIRECT("'"&amp;Hypothèses!$D$42&amp;"'!$A:$I"),6,FALSE) * AE44,0)</f>
        <v>0</v>
      </c>
      <c r="AF75" s="68">
        <f ca="1">IF(Hypothèses!$D$40=1,VLOOKUP("MAenergy_bought"&amp;"S1"&amp;AF$39&amp;Hypothèses!$D$17&amp;Hypothèses!$D$18,INDIRECT("'"&amp;Hypothèses!$D$42&amp;"'!$A:$I"),6,FALSE) * AF44,0)</f>
        <v>0</v>
      </c>
      <c r="AG75" s="68">
        <f ca="1">IF(Hypothèses!$D$40=1,VLOOKUP("MAenergy_bought"&amp;"S1"&amp;AG$39&amp;Hypothèses!$D$17&amp;Hypothèses!$D$18,INDIRECT("'"&amp;Hypothèses!$D$42&amp;"'!$A:$I"),6,FALSE) * AG44,0)</f>
        <v>0</v>
      </c>
      <c r="AH75" s="74"/>
    </row>
    <row r="76" spans="2:34" ht="14.5" hidden="1" outlineLevel="1" x14ac:dyDescent="0.35">
      <c r="B76" s="84" t="s">
        <v>26</v>
      </c>
      <c r="C76" s="77"/>
      <c r="D76" s="135"/>
      <c r="E76" s="135" t="e">
        <f t="shared" ref="E76" ca="1" si="321">E75/D75-1</f>
        <v>#DIV/0!</v>
      </c>
      <c r="F76" s="135" t="e">
        <f t="shared" ref="F76" ca="1" si="322">F75/E75-1</f>
        <v>#DIV/0!</v>
      </c>
      <c r="G76" s="135" t="e">
        <f t="shared" ref="G76" ca="1" si="323">G75/F75-1</f>
        <v>#DIV/0!</v>
      </c>
      <c r="H76" s="135" t="e">
        <f t="shared" ref="H76" ca="1" si="324">H75/G75-1</f>
        <v>#DIV/0!</v>
      </c>
      <c r="I76" s="135" t="e">
        <f t="shared" ref="I76" ca="1" si="325">I75/H75-1</f>
        <v>#DIV/0!</v>
      </c>
      <c r="J76" s="135" t="e">
        <f t="shared" ref="J76" ca="1" si="326">J75/I75-1</f>
        <v>#DIV/0!</v>
      </c>
      <c r="K76" s="135" t="e">
        <f t="shared" ref="K76" ca="1" si="327">K75/J75-1</f>
        <v>#DIV/0!</v>
      </c>
      <c r="L76" s="135" t="e">
        <f t="shared" ref="L76" ca="1" si="328">L75/K75-1</f>
        <v>#DIV/0!</v>
      </c>
      <c r="M76" s="135" t="e">
        <f t="shared" ref="M76" ca="1" si="329">M75/L75-1</f>
        <v>#DIV/0!</v>
      </c>
      <c r="N76" s="135" t="e">
        <f t="shared" ref="N76" ca="1" si="330">N75/M75-1</f>
        <v>#DIV/0!</v>
      </c>
      <c r="O76" s="135" t="e">
        <f t="shared" ref="O76" ca="1" si="331">O75/N75-1</f>
        <v>#DIV/0!</v>
      </c>
      <c r="P76" s="135" t="e">
        <f t="shared" ref="P76" ca="1" si="332">P75/O75-1</f>
        <v>#DIV/0!</v>
      </c>
      <c r="Q76" s="135" t="e">
        <f t="shared" ref="Q76" ca="1" si="333">Q75/P75-1</f>
        <v>#DIV/0!</v>
      </c>
      <c r="R76" s="135" t="e">
        <f t="shared" ref="R76" ca="1" si="334">R75/Q75-1</f>
        <v>#DIV/0!</v>
      </c>
      <c r="S76" s="135" t="e">
        <f t="shared" ref="S76" ca="1" si="335">S75/R75-1</f>
        <v>#DIV/0!</v>
      </c>
      <c r="T76" s="135" t="e">
        <f t="shared" ref="T76" ca="1" si="336">T75/S75-1</f>
        <v>#DIV/0!</v>
      </c>
      <c r="U76" s="135" t="e">
        <f t="shared" ref="U76" ca="1" si="337">U75/T75-1</f>
        <v>#DIV/0!</v>
      </c>
      <c r="V76" s="135" t="e">
        <f t="shared" ref="V76" ca="1" si="338">V75/U75-1</f>
        <v>#DIV/0!</v>
      </c>
      <c r="W76" s="135" t="e">
        <f t="shared" ref="W76" ca="1" si="339">W75/V75-1</f>
        <v>#DIV/0!</v>
      </c>
      <c r="X76" s="135" t="e">
        <f t="shared" ref="X76" ca="1" si="340">X75/W75-1</f>
        <v>#DIV/0!</v>
      </c>
      <c r="Y76" s="135" t="e">
        <f t="shared" ref="Y76" ca="1" si="341">Y75/X75-1</f>
        <v>#DIV/0!</v>
      </c>
      <c r="Z76" s="135" t="e">
        <f t="shared" ref="Z76" ca="1" si="342">Z75/Y75-1</f>
        <v>#DIV/0!</v>
      </c>
      <c r="AA76" s="135" t="e">
        <f t="shared" ref="AA76" ca="1" si="343">AA75/Z75-1</f>
        <v>#DIV/0!</v>
      </c>
      <c r="AB76" s="135" t="e">
        <f t="shared" ref="AB76" ca="1" si="344">AB75/AA75-1</f>
        <v>#DIV/0!</v>
      </c>
      <c r="AC76" s="135" t="e">
        <f t="shared" ref="AC76" ca="1" si="345">AC75/AB75-1</f>
        <v>#DIV/0!</v>
      </c>
      <c r="AD76" s="135" t="e">
        <f t="shared" ref="AD76" ca="1" si="346">AD75/AC75-1</f>
        <v>#DIV/0!</v>
      </c>
      <c r="AE76" s="135" t="e">
        <f t="shared" ref="AE76" ca="1" si="347">AE75/AD75-1</f>
        <v>#DIV/0!</v>
      </c>
      <c r="AF76" s="135" t="e">
        <f t="shared" ref="AF76" ca="1" si="348">AF75/AE75-1</f>
        <v>#DIV/0!</v>
      </c>
      <c r="AG76" s="135" t="e">
        <f t="shared" ref="AG76" ca="1" si="349">AG75/AF75-1</f>
        <v>#DIV/0!</v>
      </c>
      <c r="AH76" s="74"/>
    </row>
    <row r="77" spans="2:34" ht="14.5" hidden="1" outlineLevel="1" x14ac:dyDescent="0.35">
      <c r="B77" s="84" t="s">
        <v>120</v>
      </c>
      <c r="C77" s="77"/>
      <c r="D77" s="68">
        <f ca="1">IF(Hypothèses!$D$40=1,VLOOKUP("MAhours_bought"&amp;"S1"&amp;D$39&amp;Hypothèses!$D$17&amp;Hypothèses!$D$18,INDIRECT("'"&amp;Hypothèses!$D$42&amp;"'!$A:$I"),6,FALSE) * D44,0)</f>
        <v>0</v>
      </c>
      <c r="E77" s="68">
        <f ca="1">IF(Hypothèses!$D$40=1,VLOOKUP("MAhours_bought"&amp;"S1"&amp;E$39&amp;Hypothèses!$D$17&amp;Hypothèses!$D$18,INDIRECT("'"&amp;Hypothèses!$D$42&amp;"'!$A:$I"),6,FALSE) * E44,0)</f>
        <v>0</v>
      </c>
      <c r="F77" s="68">
        <f ca="1">IF(Hypothèses!$D$40=1,VLOOKUP("MAhours_bought"&amp;"S1"&amp;F$39&amp;Hypothèses!$D$17&amp;Hypothèses!$D$18,INDIRECT("'"&amp;Hypothèses!$D$42&amp;"'!$A:$I"),6,FALSE) * F44,0)</f>
        <v>0</v>
      </c>
      <c r="G77" s="68">
        <f ca="1">IF(Hypothèses!$D$40=1,VLOOKUP("MAhours_bought"&amp;"S1"&amp;G$39&amp;Hypothèses!$D$17&amp;Hypothèses!$D$18,INDIRECT("'"&amp;Hypothèses!$D$42&amp;"'!$A:$I"),6,FALSE) * G44,0)</f>
        <v>0</v>
      </c>
      <c r="H77" s="68">
        <f ca="1">IF(Hypothèses!$D$40=1,VLOOKUP("MAhours_bought"&amp;"S1"&amp;H$39&amp;Hypothèses!$D$17&amp;Hypothèses!$D$18,INDIRECT("'"&amp;Hypothèses!$D$42&amp;"'!$A:$I"),6,FALSE) * H44,0)</f>
        <v>0</v>
      </c>
      <c r="I77" s="68">
        <f ca="1">IF(Hypothèses!$D$40=1,VLOOKUP("MAhours_bought"&amp;"S1"&amp;I$39&amp;Hypothèses!$D$17&amp;Hypothèses!$D$18,INDIRECT("'"&amp;Hypothèses!$D$42&amp;"'!$A:$I"),6,FALSE) * I44,0)</f>
        <v>0</v>
      </c>
      <c r="J77" s="68">
        <f ca="1">IF(Hypothèses!$D$40=1,VLOOKUP("MAhours_bought"&amp;"S1"&amp;J$39&amp;Hypothèses!$D$17&amp;Hypothèses!$D$18,INDIRECT("'"&amp;Hypothèses!$D$42&amp;"'!$A:$I"),6,FALSE) * J44,0)</f>
        <v>0</v>
      </c>
      <c r="K77" s="68">
        <f ca="1">IF(Hypothèses!$D$40=1,VLOOKUP("MAhours_bought"&amp;"S1"&amp;K$39&amp;Hypothèses!$D$17&amp;Hypothèses!$D$18,INDIRECT("'"&amp;Hypothèses!$D$42&amp;"'!$A:$I"),6,FALSE) * K44,0)</f>
        <v>0</v>
      </c>
      <c r="L77" s="68">
        <f ca="1">IF(Hypothèses!$D$40=1,VLOOKUP("MAhours_bought"&amp;"S1"&amp;L$39&amp;Hypothèses!$D$17&amp;Hypothèses!$D$18,INDIRECT("'"&amp;Hypothèses!$D$42&amp;"'!$A:$I"),6,FALSE) * L44,0)</f>
        <v>0</v>
      </c>
      <c r="M77" s="68">
        <f ca="1">IF(Hypothèses!$D$40=1,VLOOKUP("MAhours_bought"&amp;"S1"&amp;M$39&amp;Hypothèses!$D$17&amp;Hypothèses!$D$18,INDIRECT("'"&amp;Hypothèses!$D$42&amp;"'!$A:$I"),6,FALSE) * M44,0)</f>
        <v>0</v>
      </c>
      <c r="N77" s="68">
        <f ca="1">IF(Hypothèses!$D$40=1,VLOOKUP("MAhours_bought"&amp;"S1"&amp;N$39&amp;Hypothèses!$D$17&amp;Hypothèses!$D$18,INDIRECT("'"&amp;Hypothèses!$D$42&amp;"'!$A:$I"),6,FALSE) * N44,0)</f>
        <v>0</v>
      </c>
      <c r="O77" s="68">
        <f ca="1">IF(Hypothèses!$D$40=1,VLOOKUP("MAhours_bought"&amp;"S1"&amp;O$39&amp;Hypothèses!$D$17&amp;Hypothèses!$D$18,INDIRECT("'"&amp;Hypothèses!$D$42&amp;"'!$A:$I"),6,FALSE) * O44,0)</f>
        <v>0</v>
      </c>
      <c r="P77" s="68">
        <f ca="1">IF(Hypothèses!$D$40=1,VLOOKUP("MAhours_bought"&amp;"S1"&amp;P$39&amp;Hypothèses!$D$17&amp;Hypothèses!$D$18,INDIRECT("'"&amp;Hypothèses!$D$42&amp;"'!$A:$I"),6,FALSE) * P44,0)</f>
        <v>0</v>
      </c>
      <c r="Q77" s="68">
        <f ca="1">IF(Hypothèses!$D$40=1,VLOOKUP("MAhours_bought"&amp;"S1"&amp;Q$39&amp;Hypothèses!$D$17&amp;Hypothèses!$D$18,INDIRECT("'"&amp;Hypothèses!$D$42&amp;"'!$A:$I"),6,FALSE) * Q44,0)</f>
        <v>0</v>
      </c>
      <c r="R77" s="68">
        <f ca="1">IF(Hypothèses!$D$40=1,VLOOKUP("MAhours_bought"&amp;"S1"&amp;R$39&amp;Hypothèses!$D$17&amp;Hypothèses!$D$18,INDIRECT("'"&amp;Hypothèses!$D$42&amp;"'!$A:$I"),6,FALSE) * R44,0)</f>
        <v>0</v>
      </c>
      <c r="S77" s="68">
        <f ca="1">IF(Hypothèses!$D$40=1,VLOOKUP("MAhours_bought"&amp;"S1"&amp;S$39&amp;Hypothèses!$D$17&amp;Hypothèses!$D$18,INDIRECT("'"&amp;Hypothèses!$D$42&amp;"'!$A:$I"),6,FALSE) * S44,0)</f>
        <v>0</v>
      </c>
      <c r="T77" s="68">
        <f ca="1">IF(Hypothèses!$D$40=1,VLOOKUP("MAhours_bought"&amp;"S1"&amp;T$39&amp;Hypothèses!$D$17&amp;Hypothèses!$D$18,INDIRECT("'"&amp;Hypothèses!$D$42&amp;"'!$A:$I"),6,FALSE) * T44,0)</f>
        <v>0</v>
      </c>
      <c r="U77" s="68">
        <f ca="1">IF(Hypothèses!$D$40=1,VLOOKUP("MAhours_bought"&amp;"S1"&amp;U$39&amp;Hypothèses!$D$17&amp;Hypothèses!$D$18,INDIRECT("'"&amp;Hypothèses!$D$42&amp;"'!$A:$I"),6,FALSE) * U44,0)</f>
        <v>0</v>
      </c>
      <c r="V77" s="68">
        <f ca="1">IF(Hypothèses!$D$40=1,VLOOKUP("MAhours_bought"&amp;"S1"&amp;V$39&amp;Hypothèses!$D$17&amp;Hypothèses!$D$18,INDIRECT("'"&amp;Hypothèses!$D$42&amp;"'!$A:$I"),6,FALSE) * V44,0)</f>
        <v>0</v>
      </c>
      <c r="W77" s="68">
        <f ca="1">IF(Hypothèses!$D$40=1,VLOOKUP("MAhours_bought"&amp;"S1"&amp;W$39&amp;Hypothèses!$D$17&amp;Hypothèses!$D$18,INDIRECT("'"&amp;Hypothèses!$D$42&amp;"'!$A:$I"),6,FALSE) * W44,0)</f>
        <v>0</v>
      </c>
      <c r="X77" s="68">
        <f ca="1">IF(Hypothèses!$D$40=1,VLOOKUP("MAhours_bought"&amp;"S1"&amp;X$39&amp;Hypothèses!$D$17&amp;Hypothèses!$D$18,INDIRECT("'"&amp;Hypothèses!$D$42&amp;"'!$A:$I"),6,FALSE) * X44,0)</f>
        <v>0</v>
      </c>
      <c r="Y77" s="68">
        <f ca="1">IF(Hypothèses!$D$40=1,VLOOKUP("MAhours_bought"&amp;"S1"&amp;Y$39&amp;Hypothèses!$D$17&amp;Hypothèses!$D$18,INDIRECT("'"&amp;Hypothèses!$D$42&amp;"'!$A:$I"),6,FALSE) * Y44,0)</f>
        <v>0</v>
      </c>
      <c r="Z77" s="68">
        <f ca="1">IF(Hypothèses!$D$40=1,VLOOKUP("MAhours_bought"&amp;"S1"&amp;Z$39&amp;Hypothèses!$D$17&amp;Hypothèses!$D$18,INDIRECT("'"&amp;Hypothèses!$D$42&amp;"'!$A:$I"),6,FALSE) * Z44,0)</f>
        <v>0</v>
      </c>
      <c r="AA77" s="68">
        <f ca="1">IF(Hypothèses!$D$40=1,VLOOKUP("MAhours_bought"&amp;"S1"&amp;AA$39&amp;Hypothèses!$D$17&amp;Hypothèses!$D$18,INDIRECT("'"&amp;Hypothèses!$D$42&amp;"'!$A:$I"),6,FALSE) * AA44,0)</f>
        <v>0</v>
      </c>
      <c r="AB77" s="68">
        <f ca="1">IF(Hypothèses!$D$40=1,VLOOKUP("MAhours_bought"&amp;"S1"&amp;AB$39&amp;Hypothèses!$D$17&amp;Hypothèses!$D$18,INDIRECT("'"&amp;Hypothèses!$D$42&amp;"'!$A:$I"),6,FALSE) * AB44,0)</f>
        <v>0</v>
      </c>
      <c r="AC77" s="68">
        <f ca="1">IF(Hypothèses!$D$40=1,VLOOKUP("MAhours_bought"&amp;"S1"&amp;AC$39&amp;Hypothèses!$D$17&amp;Hypothèses!$D$18,INDIRECT("'"&amp;Hypothèses!$D$42&amp;"'!$A:$I"),6,FALSE) * AC44,0)</f>
        <v>0</v>
      </c>
      <c r="AD77" s="68">
        <f ca="1">IF(Hypothèses!$D$40=1,VLOOKUP("MAhours_bought"&amp;"S1"&amp;AD$39&amp;Hypothèses!$D$17&amp;Hypothèses!$D$18,INDIRECT("'"&amp;Hypothèses!$D$42&amp;"'!$A:$I"),6,FALSE) * AD44,0)</f>
        <v>0</v>
      </c>
      <c r="AE77" s="68">
        <f ca="1">IF(Hypothèses!$D$40=1,VLOOKUP("MAhours_bought"&amp;"S1"&amp;AE$39&amp;Hypothèses!$D$17&amp;Hypothèses!$D$18,INDIRECT("'"&amp;Hypothèses!$D$42&amp;"'!$A:$I"),6,FALSE) * AE44,0)</f>
        <v>0</v>
      </c>
      <c r="AF77" s="68">
        <f ca="1">IF(Hypothèses!$D$40=1,VLOOKUP("MAhours_bought"&amp;"S1"&amp;AF$39&amp;Hypothèses!$D$17&amp;Hypothèses!$D$18,INDIRECT("'"&amp;Hypothèses!$D$42&amp;"'!$A:$I"),6,FALSE) * AF44,0)</f>
        <v>0</v>
      </c>
      <c r="AG77" s="68">
        <f ca="1">IF(Hypothèses!$D$40=1,VLOOKUP("MAhours_bought"&amp;"S1"&amp;AG$39&amp;Hypothèses!$D$17&amp;Hypothèses!$D$18,INDIRECT("'"&amp;Hypothèses!$D$42&amp;"'!$A:$I"),6,FALSE) * AG44,0)</f>
        <v>0</v>
      </c>
      <c r="AH77" s="74"/>
    </row>
    <row r="78" spans="2:34" s="75" customFormat="1" collapsed="1" x14ac:dyDescent="0.3">
      <c r="B78" s="78" t="s">
        <v>81</v>
      </c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</row>
    <row r="79" spans="2:34" x14ac:dyDescent="0.3">
      <c r="B79" s="10" t="s">
        <v>82</v>
      </c>
      <c r="C79" s="10"/>
      <c r="D79" s="71">
        <f ca="1">VLOOKUP("fcrincome"&amp;"S1"&amp;D$39&amp;Hypothèses!$D$17&amp;Hypothèses!$D$18,INDIRECT("'"&amp;Hypothèses!$D$42&amp;"'!$A:$I"),6,FALSE)*(1+$C$32)^C43 * D44</f>
        <v>0</v>
      </c>
      <c r="E79" s="71">
        <f ca="1">VLOOKUP("fcrincome"&amp;"S1"&amp;E$39&amp;Hypothèses!$D$17&amp;Hypothèses!$D$18,INDIRECT("'"&amp;Hypothèses!$D$42&amp;"'!$A:$I"),6,FALSE)*(1+$C$32)^D43 * E44</f>
        <v>0</v>
      </c>
      <c r="F79" s="71">
        <f ca="1">VLOOKUP("fcrincome"&amp;"S1"&amp;F$39&amp;Hypothèses!$D$17&amp;Hypothèses!$D$18,INDIRECT("'"&amp;Hypothèses!$D$42&amp;"'!$A:$I"),6,FALSE)*(1+$C$32)^E43 * F44</f>
        <v>0</v>
      </c>
      <c r="G79" s="71">
        <f ca="1">VLOOKUP("fcrincome"&amp;"S1"&amp;G$39&amp;Hypothèses!$D$17&amp;Hypothèses!$D$18,INDIRECT("'"&amp;Hypothèses!$D$42&amp;"'!$A:$I"),6,FALSE)*(1+$C$32)^F43 * G44</f>
        <v>0</v>
      </c>
      <c r="H79" s="71">
        <f ca="1">VLOOKUP("fcrincome"&amp;"S1"&amp;H$39&amp;Hypothèses!$D$17&amp;Hypothèses!$D$18,INDIRECT("'"&amp;Hypothèses!$D$42&amp;"'!$A:$I"),6,FALSE)*(1+$C$32)^G43 * H44</f>
        <v>0</v>
      </c>
      <c r="I79" s="71">
        <f ca="1">VLOOKUP("fcrincome"&amp;"S1"&amp;I$39&amp;Hypothèses!$D$17&amp;Hypothèses!$D$18,INDIRECT("'"&amp;Hypothèses!$D$42&amp;"'!$A:$I"),6,FALSE)*(1+$C$32)^H43 * I44</f>
        <v>2.4840031406104929E-2</v>
      </c>
      <c r="J79" s="71">
        <f ca="1">VLOOKUP("fcrincome"&amp;"S1"&amp;J$39&amp;Hypothèses!$D$17&amp;Hypothèses!$D$18,INDIRECT("'"&amp;Hypothèses!$D$42&amp;"'!$A:$I"),6,FALSE)*(1+$C$32)^I43 * J44</f>
        <v>9.8732007774484602E-3</v>
      </c>
      <c r="K79" s="71">
        <f ca="1">VLOOKUP("fcrincome"&amp;"S1"&amp;K$39&amp;Hypothèses!$D$17&amp;Hypothèses!$D$18,INDIRECT("'"&amp;Hypothèses!$D$42&amp;"'!$A:$I"),6,FALSE)*(1+$C$32)^J43 * K44</f>
        <v>9.9118774653914415E-2</v>
      </c>
      <c r="L79" s="71">
        <f ca="1">VLOOKUP("fcrincome"&amp;"S1"&amp;L$39&amp;Hypothèses!$D$17&amp;Hypothèses!$D$18,INDIRECT("'"&amp;Hypothèses!$D$42&amp;"'!$A:$I"),6,FALSE)*(1+$C$32)^K43 * L44</f>
        <v>2.5092486430198058E-2</v>
      </c>
      <c r="M79" s="71">
        <f ca="1">VLOOKUP("fcrincome"&amp;"S1"&amp;M$39&amp;Hypothèses!$D$17&amp;Hypothèses!$D$18,INDIRECT("'"&amp;Hypothèses!$D$42&amp;"'!$A:$I"),6,FALSE)*(1+$C$32)^L43 * M44</f>
        <v>2.107470838047458E-2</v>
      </c>
      <c r="N79" s="71">
        <f ca="1">VLOOKUP("fcrincome"&amp;"S1"&amp;N$39&amp;Hypothèses!$D$17&amp;Hypothèses!$D$18,INDIRECT("'"&amp;Hypothèses!$D$42&amp;"'!$A:$I"),6,FALSE)*(1+$C$32)^M43 * N44</f>
        <v>0</v>
      </c>
      <c r="O79" s="71">
        <f ca="1">VLOOKUP("fcrincome"&amp;"S1"&amp;O$39&amp;Hypothèses!$D$17&amp;Hypothèses!$D$18,INDIRECT("'"&amp;Hypothèses!$D$42&amp;"'!$A:$I"),6,FALSE)*(1+$C$32)^N43 * O44</f>
        <v>0</v>
      </c>
      <c r="P79" s="71">
        <f ca="1">VLOOKUP("fcrincome"&amp;"S1"&amp;P$39&amp;Hypothèses!$D$17&amp;Hypothèses!$D$18,INDIRECT("'"&amp;Hypothèses!$D$42&amp;"'!$A:$I"),6,FALSE)*(1+$C$32)^O43 * P44</f>
        <v>2.458883657617161E-2</v>
      </c>
      <c r="Q79" s="71">
        <f ca="1">VLOOKUP("fcrincome"&amp;"S1"&amp;Q$39&amp;Hypothèses!$D$17&amp;Hypothèses!$D$18,INDIRECT("'"&amp;Hypothèses!$D$42&amp;"'!$A:$I"),6,FALSE)*(1+$C$32)^P43 * Q44</f>
        <v>6.2502581734125147E-7</v>
      </c>
      <c r="R79" s="71">
        <f ca="1">VLOOKUP("fcrincome"&amp;"S1"&amp;R$39&amp;Hypothèses!$D$17&amp;Hypothèses!$D$18,INDIRECT("'"&amp;Hypothèses!$D$42&amp;"'!$A:$I"),6,FALSE)*(1+$C$32)^Q43 * R44</f>
        <v>0</v>
      </c>
      <c r="S79" s="71">
        <f ca="1">VLOOKUP("fcrincome"&amp;"S1"&amp;S$39&amp;Hypothèses!$D$17&amp;Hypothèses!$D$18,INDIRECT("'"&amp;Hypothèses!$D$42&amp;"'!$A:$I"),6,FALSE)*(1+$C$32)^R43 * S44</f>
        <v>0.30918662728835211</v>
      </c>
      <c r="T79" s="71">
        <f ca="1">VLOOKUP("fcrincome"&amp;"S1"&amp;T$39&amp;Hypothèses!$D$17&amp;Hypothèses!$D$18,INDIRECT("'"&amp;Hypothèses!$D$42&amp;"'!$A:$I"),6,FALSE)*(1+$C$32)^S43 * T44</f>
        <v>1.5861595678044049</v>
      </c>
      <c r="U79" s="71" t="e">
        <f ca="1">VLOOKUP("fcrincome"&amp;"S1"&amp;U$39&amp;Hypothèses!$D$17&amp;Hypothèses!$D$18,INDIRECT("'"&amp;Hypothèses!$D$42&amp;"'!$A:$I"),6,FALSE)*(1+$C$32)^T43 * U44</f>
        <v>#N/A</v>
      </c>
      <c r="V79" s="71" t="e">
        <f ca="1">VLOOKUP("fcrincome"&amp;"S1"&amp;V$39&amp;Hypothèses!$D$17&amp;Hypothèses!$D$18,INDIRECT("'"&amp;Hypothèses!$D$42&amp;"'!$A:$I"),6,FALSE)*(1+$C$32)^U43 * V44</f>
        <v>#N/A</v>
      </c>
      <c r="W79" s="71" t="e">
        <f ca="1">VLOOKUP("fcrincome"&amp;"S1"&amp;W$39&amp;Hypothèses!$D$17&amp;Hypothèses!$D$18,INDIRECT("'"&amp;Hypothèses!$D$42&amp;"'!$A:$I"),6,FALSE)*(1+$C$32)^V43 * W44</f>
        <v>#N/A</v>
      </c>
      <c r="X79" s="71" t="e">
        <f ca="1">VLOOKUP("fcrincome"&amp;"S1"&amp;X$39&amp;Hypothèses!$D$17&amp;Hypothèses!$D$18,INDIRECT("'"&amp;Hypothèses!$D$42&amp;"'!$A:$I"),6,FALSE)*(1+$C$32)^W43 * X44</f>
        <v>#N/A</v>
      </c>
      <c r="Y79" s="71" t="e">
        <f ca="1">VLOOKUP("fcrincome"&amp;"S1"&amp;Y$39&amp;Hypothèses!$D$17&amp;Hypothèses!$D$18,INDIRECT("'"&amp;Hypothèses!$D$42&amp;"'!$A:$I"),6,FALSE)*(1+$C$32)^X43 * Y44</f>
        <v>#N/A</v>
      </c>
      <c r="Z79" s="71" t="e">
        <f ca="1">VLOOKUP("fcrincome"&amp;"S1"&amp;Z$39&amp;Hypothèses!$D$17&amp;Hypothèses!$D$18,INDIRECT("'"&amp;Hypothèses!$D$42&amp;"'!$A:$I"),6,FALSE)*(1+$C$32)^Y43 * Z44</f>
        <v>#N/A</v>
      </c>
      <c r="AA79" s="71" t="e">
        <f ca="1">VLOOKUP("fcrincome"&amp;"S1"&amp;AA$39&amp;Hypothèses!$D$17&amp;Hypothèses!$D$18,INDIRECT("'"&amp;Hypothèses!$D$42&amp;"'!$A:$I"),6,FALSE)*(1+$C$32)^Z43 * AA44</f>
        <v>#N/A</v>
      </c>
      <c r="AB79" s="71" t="e">
        <f ca="1">VLOOKUP("fcrincome"&amp;"S1"&amp;AB$39&amp;Hypothèses!$D$17&amp;Hypothèses!$D$18,INDIRECT("'"&amp;Hypothèses!$D$42&amp;"'!$A:$I"),6,FALSE)*(1+$C$32)^AA43 * AB44</f>
        <v>#N/A</v>
      </c>
      <c r="AC79" s="71" t="e">
        <f ca="1">VLOOKUP("fcrincome"&amp;"S1"&amp;AC$39&amp;Hypothèses!$D$17&amp;Hypothèses!$D$18,INDIRECT("'"&amp;Hypothèses!$D$42&amp;"'!$A:$I"),6,FALSE)*(1+$C$32)^AB43 * AC44</f>
        <v>#N/A</v>
      </c>
      <c r="AD79" s="71" t="e">
        <f ca="1">VLOOKUP("fcrincome"&amp;"S1"&amp;AD$39&amp;Hypothèses!$D$17&amp;Hypothèses!$D$18,INDIRECT("'"&amp;Hypothèses!$D$42&amp;"'!$A:$I"),6,FALSE)*(1+$C$32)^AC43 * AD44</f>
        <v>#N/A</v>
      </c>
      <c r="AE79" s="71" t="e">
        <f ca="1">VLOOKUP("fcrincome"&amp;"S1"&amp;AE$39&amp;Hypothèses!$D$17&amp;Hypothèses!$D$18,INDIRECT("'"&amp;Hypothèses!$D$42&amp;"'!$A:$I"),6,FALSE)*(1+$C$32)^AD43 * AE44</f>
        <v>#N/A</v>
      </c>
      <c r="AF79" s="71" t="e">
        <f ca="1">VLOOKUP("fcrincome"&amp;"S1"&amp;AF$39&amp;Hypothèses!$D$17&amp;Hypothèses!$D$18,INDIRECT("'"&amp;Hypothèses!$D$42&amp;"'!$A:$I"),6,FALSE)*(1+$C$32)^AE43 * AF44</f>
        <v>#N/A</v>
      </c>
      <c r="AG79" s="71" t="e">
        <f ca="1">VLOOKUP("fcrincome"&amp;"S1"&amp;AG$39&amp;Hypothèses!$D$17&amp;Hypothèses!$D$18,INDIRECT("'"&amp;Hypothèses!$D$42&amp;"'!$A:$I"),6,FALSE)*(1+$C$32)^AF43 * AG44</f>
        <v>#N/A</v>
      </c>
      <c r="AH79" s="31"/>
    </row>
    <row r="80" spans="2:34" ht="14.5" x14ac:dyDescent="0.35">
      <c r="B80" s="26" t="s">
        <v>26</v>
      </c>
      <c r="C80" s="10"/>
      <c r="D80" s="68"/>
      <c r="E80" s="135" t="e">
        <f t="shared" ref="E80" ca="1" si="350">E79/D79-1</f>
        <v>#DIV/0!</v>
      </c>
      <c r="F80" s="135" t="e">
        <f t="shared" ref="F80" ca="1" si="351">F79/E79-1</f>
        <v>#DIV/0!</v>
      </c>
      <c r="G80" s="135" t="e">
        <f t="shared" ref="G80" ca="1" si="352">G79/F79-1</f>
        <v>#DIV/0!</v>
      </c>
      <c r="H80" s="135" t="e">
        <f t="shared" ref="H80" ca="1" si="353">H79/G79-1</f>
        <v>#DIV/0!</v>
      </c>
      <c r="I80" s="135" t="e">
        <f t="shared" ref="I80" ca="1" si="354">I79/H79-1</f>
        <v>#DIV/0!</v>
      </c>
      <c r="J80" s="135">
        <f t="shared" ref="J80" ca="1" si="355">J79/I79-1</f>
        <v>-0.60252865159333391</v>
      </c>
      <c r="K80" s="135">
        <f t="shared" ref="K80" ca="1" si="356">K79/J79-1</f>
        <v>9.0391734036558073</v>
      </c>
      <c r="L80" s="135">
        <f t="shared" ref="L80" ca="1" si="357">L79/K79-1</f>
        <v>-0.74684426318009267</v>
      </c>
      <c r="M80" s="135">
        <f t="shared" ref="M80" ca="1" si="358">M79/L79-1</f>
        <v>-0.16011876945316195</v>
      </c>
      <c r="N80" s="135">
        <f t="shared" ref="N80" ca="1" si="359">N79/M79-1</f>
        <v>-1</v>
      </c>
      <c r="O80" s="135" t="e">
        <f t="shared" ref="O80" ca="1" si="360">O79/N79-1</f>
        <v>#DIV/0!</v>
      </c>
      <c r="P80" s="135" t="e">
        <f t="shared" ref="P80" ca="1" si="361">P79/O79-1</f>
        <v>#DIV/0!</v>
      </c>
      <c r="Q80" s="135">
        <f t="shared" ref="Q80" ca="1" si="362">Q79/P79-1</f>
        <v>-0.99997458091132518</v>
      </c>
      <c r="R80" s="135">
        <f t="shared" ref="R80" ca="1" si="363">R79/Q79-1</f>
        <v>-1</v>
      </c>
      <c r="S80" s="135" t="e">
        <f t="shared" ref="S80" ca="1" si="364">S79/R79-1</f>
        <v>#DIV/0!</v>
      </c>
      <c r="T80" s="135">
        <f t="shared" ref="T80" ca="1" si="365">T79/S79-1</f>
        <v>4.1301040465929617</v>
      </c>
      <c r="U80" s="135" t="e">
        <f t="shared" ref="U80" ca="1" si="366">U79/T79-1</f>
        <v>#N/A</v>
      </c>
      <c r="V80" s="135" t="e">
        <f t="shared" ref="V80" ca="1" si="367">V79/U79-1</f>
        <v>#N/A</v>
      </c>
      <c r="W80" s="135" t="e">
        <f t="shared" ref="W80" ca="1" si="368">W79/V79-1</f>
        <v>#N/A</v>
      </c>
      <c r="X80" s="135" t="e">
        <f t="shared" ref="X80" ca="1" si="369">X79/W79-1</f>
        <v>#N/A</v>
      </c>
      <c r="Y80" s="135" t="e">
        <f t="shared" ref="Y80" ca="1" si="370">Y79/X79-1</f>
        <v>#N/A</v>
      </c>
      <c r="Z80" s="135" t="e">
        <f t="shared" ref="Z80" ca="1" si="371">Z79/Y79-1</f>
        <v>#N/A</v>
      </c>
      <c r="AA80" s="135" t="e">
        <f t="shared" ref="AA80" ca="1" si="372">AA79/Z79-1</f>
        <v>#N/A</v>
      </c>
      <c r="AB80" s="135" t="e">
        <f t="shared" ref="AB80" ca="1" si="373">AB79/AA79-1</f>
        <v>#N/A</v>
      </c>
      <c r="AC80" s="135" t="e">
        <f t="shared" ref="AC80" ca="1" si="374">AC79/AB79-1</f>
        <v>#N/A</v>
      </c>
      <c r="AD80" s="135" t="e">
        <f t="shared" ref="AD80" ca="1" si="375">AD79/AC79-1</f>
        <v>#N/A</v>
      </c>
      <c r="AE80" s="135" t="e">
        <f t="shared" ref="AE80" ca="1" si="376">AE79/AD79-1</f>
        <v>#N/A</v>
      </c>
      <c r="AF80" s="135" t="e">
        <f t="shared" ref="AF80" ca="1" si="377">AF79/AE79-1</f>
        <v>#N/A</v>
      </c>
      <c r="AG80" s="135" t="e">
        <f ca="1">AG79/AF79-1</f>
        <v>#N/A</v>
      </c>
    </row>
    <row r="81" spans="2:33" ht="14.5" x14ac:dyDescent="0.35">
      <c r="B81" s="26" t="s">
        <v>122</v>
      </c>
      <c r="C81" s="10"/>
      <c r="D81" s="68">
        <f ca="1">VLOOKUP("fcractivation_hours"&amp;"S1"&amp;D$39&amp;Hypothèses!$D$17&amp;Hypothèses!$D$18,INDIRECT("'"&amp;Hypothèses!$D$42&amp;"'!$A:$I"),6,FALSE) * D44</f>
        <v>0</v>
      </c>
      <c r="E81" s="68">
        <f ca="1">VLOOKUP("fcractivation_hours"&amp;"S1"&amp;E$39&amp;Hypothèses!$D$17&amp;Hypothèses!$D$18,INDIRECT("'"&amp;Hypothèses!$D$42&amp;"'!$A:$I"),6,FALSE) * E44</f>
        <v>0</v>
      </c>
      <c r="F81" s="68">
        <f ca="1">VLOOKUP("fcractivation_hours"&amp;"S1"&amp;F$39&amp;Hypothèses!$D$17&amp;Hypothèses!$D$18,INDIRECT("'"&amp;Hypothèses!$D$42&amp;"'!$A:$I"),6,FALSE) * F44</f>
        <v>0</v>
      </c>
      <c r="G81" s="68">
        <f ca="1">VLOOKUP("fcractivation_hours"&amp;"S1"&amp;G$39&amp;Hypothèses!$D$17&amp;Hypothèses!$D$18,INDIRECT("'"&amp;Hypothèses!$D$42&amp;"'!$A:$I"),6,FALSE) * G44</f>
        <v>0</v>
      </c>
      <c r="H81" s="68">
        <f ca="1">VLOOKUP("fcractivation_hours"&amp;"S1"&amp;H$39&amp;Hypothèses!$D$17&amp;Hypothèses!$D$18,INDIRECT("'"&amp;Hypothèses!$D$42&amp;"'!$A:$I"),6,FALSE) * H44</f>
        <v>0</v>
      </c>
      <c r="I81" s="68">
        <f ca="1">VLOOKUP("fcractivation_hours"&amp;"S1"&amp;I$39&amp;Hypothèses!$D$17&amp;Hypothèses!$D$18,INDIRECT("'"&amp;Hypothèses!$D$42&amp;"'!$A:$I"),6,FALSE) * I44</f>
        <v>4</v>
      </c>
      <c r="J81" s="68">
        <f ca="1">VLOOKUP("fcractivation_hours"&amp;"S1"&amp;J$39&amp;Hypothèses!$D$17&amp;Hypothèses!$D$18,INDIRECT("'"&amp;Hypothèses!$D$42&amp;"'!$A:$I"),6,FALSE) * J44</f>
        <v>4</v>
      </c>
      <c r="K81" s="68">
        <f ca="1">VLOOKUP("fcractivation_hours"&amp;"S1"&amp;K$39&amp;Hypothèses!$D$17&amp;Hypothèses!$D$18,INDIRECT("'"&amp;Hypothèses!$D$42&amp;"'!$A:$I"),6,FALSE) * K44</f>
        <v>20</v>
      </c>
      <c r="L81" s="68">
        <f ca="1">VLOOKUP("fcractivation_hours"&amp;"S1"&amp;L$39&amp;Hypothèses!$D$17&amp;Hypothèses!$D$18,INDIRECT("'"&amp;Hypothèses!$D$42&amp;"'!$A:$I"),6,FALSE) * L44</f>
        <v>8</v>
      </c>
      <c r="M81" s="68">
        <f ca="1">VLOOKUP("fcractivation_hours"&amp;"S1"&amp;M$39&amp;Hypothèses!$D$17&amp;Hypothèses!$D$18,INDIRECT("'"&amp;Hypothèses!$D$42&amp;"'!$A:$I"),6,FALSE) * M44</f>
        <v>4</v>
      </c>
      <c r="N81" s="68">
        <f ca="1">VLOOKUP("fcractivation_hours"&amp;"S1"&amp;N$39&amp;Hypothèses!$D$17&amp;Hypothèses!$D$18,INDIRECT("'"&amp;Hypothèses!$D$42&amp;"'!$A:$I"),6,FALSE) * N44</f>
        <v>0</v>
      </c>
      <c r="O81" s="68">
        <f ca="1">VLOOKUP("fcractivation_hours"&amp;"S1"&amp;O$39&amp;Hypothèses!$D$17&amp;Hypothèses!$D$18,INDIRECT("'"&amp;Hypothèses!$D$42&amp;"'!$A:$I"),6,FALSE) * O44</f>
        <v>0</v>
      </c>
      <c r="P81" s="68">
        <f ca="1">VLOOKUP("fcractivation_hours"&amp;"S1"&amp;P$39&amp;Hypothèses!$D$17&amp;Hypothèses!$D$18,INDIRECT("'"&amp;Hypothèses!$D$42&amp;"'!$A:$I"),6,FALSE) * P44</f>
        <v>4</v>
      </c>
      <c r="Q81" s="68">
        <f ca="1">VLOOKUP("fcractivation_hours"&amp;"S1"&amp;Q$39&amp;Hypothèses!$D$17&amp;Hypothèses!$D$18,INDIRECT("'"&amp;Hypothèses!$D$42&amp;"'!$A:$I"),6,FALSE) * Q44</f>
        <v>0</v>
      </c>
      <c r="R81" s="68">
        <f ca="1">VLOOKUP("fcractivation_hours"&amp;"S1"&amp;R$39&amp;Hypothèses!$D$17&amp;Hypothèses!$D$18,INDIRECT("'"&amp;Hypothèses!$D$42&amp;"'!$A:$I"),6,FALSE) * R44</f>
        <v>0</v>
      </c>
      <c r="S81" s="68">
        <f ca="1">VLOOKUP("fcractivation_hours"&amp;"S1"&amp;S$39&amp;Hypothèses!$D$17&amp;Hypothèses!$D$18,INDIRECT("'"&amp;Hypothèses!$D$42&amp;"'!$A:$I"),6,FALSE) * S44</f>
        <v>20</v>
      </c>
      <c r="T81" s="68">
        <f ca="1">VLOOKUP("fcractivation_hours"&amp;"S1"&amp;T$39&amp;Hypothèses!$D$17&amp;Hypothèses!$D$18,INDIRECT("'"&amp;Hypothèses!$D$42&amp;"'!$A:$I"),6,FALSE) * T44</f>
        <v>20</v>
      </c>
      <c r="U81" s="68" t="e">
        <f ca="1">VLOOKUP("fcractivation_hours"&amp;"S1"&amp;U$39&amp;Hypothèses!$D$17&amp;Hypothèses!$D$18,INDIRECT("'"&amp;Hypothèses!$D$42&amp;"'!$A:$I"),6,FALSE) * U44</f>
        <v>#N/A</v>
      </c>
      <c r="V81" s="68" t="e">
        <f ca="1">VLOOKUP("fcractivation_hours"&amp;"S1"&amp;V$39&amp;Hypothèses!$D$17&amp;Hypothèses!$D$18,INDIRECT("'"&amp;Hypothèses!$D$42&amp;"'!$A:$I"),6,FALSE) * V44</f>
        <v>#N/A</v>
      </c>
      <c r="W81" s="68" t="e">
        <f ca="1">VLOOKUP("fcractivation_hours"&amp;"S1"&amp;W$39&amp;Hypothèses!$D$17&amp;Hypothèses!$D$18,INDIRECT("'"&amp;Hypothèses!$D$42&amp;"'!$A:$I"),6,FALSE) * W44</f>
        <v>#N/A</v>
      </c>
      <c r="X81" s="68" t="e">
        <f ca="1">VLOOKUP("fcractivation_hours"&amp;"S1"&amp;X$39&amp;Hypothèses!$D$17&amp;Hypothèses!$D$18,INDIRECT("'"&amp;Hypothèses!$D$42&amp;"'!$A:$I"),6,FALSE) * X44</f>
        <v>#N/A</v>
      </c>
      <c r="Y81" s="68" t="e">
        <f ca="1">VLOOKUP("fcractivation_hours"&amp;"S1"&amp;Y$39&amp;Hypothèses!$D$17&amp;Hypothèses!$D$18,INDIRECT("'"&amp;Hypothèses!$D$42&amp;"'!$A:$I"),6,FALSE) * Y44</f>
        <v>#N/A</v>
      </c>
      <c r="Z81" s="68" t="e">
        <f ca="1">VLOOKUP("fcractivation_hours"&amp;"S1"&amp;Z$39&amp;Hypothèses!$D$17&amp;Hypothèses!$D$18,INDIRECT("'"&amp;Hypothèses!$D$42&amp;"'!$A:$I"),6,FALSE) * Z44</f>
        <v>#N/A</v>
      </c>
      <c r="AA81" s="68" t="e">
        <f ca="1">VLOOKUP("fcractivation_hours"&amp;"S1"&amp;AA$39&amp;Hypothèses!$D$17&amp;Hypothèses!$D$18,INDIRECT("'"&amp;Hypothèses!$D$42&amp;"'!$A:$I"),6,FALSE) * AA44</f>
        <v>#N/A</v>
      </c>
      <c r="AB81" s="68" t="e">
        <f ca="1">VLOOKUP("fcractivation_hours"&amp;"S1"&amp;AB$39&amp;Hypothèses!$D$17&amp;Hypothèses!$D$18,INDIRECT("'"&amp;Hypothèses!$D$42&amp;"'!$A:$I"),6,FALSE) * AB44</f>
        <v>#N/A</v>
      </c>
      <c r="AC81" s="68" t="e">
        <f ca="1">VLOOKUP("fcractivation_hours"&amp;"S1"&amp;AC$39&amp;Hypothèses!$D$17&amp;Hypothèses!$D$18,INDIRECT("'"&amp;Hypothèses!$D$42&amp;"'!$A:$I"),6,FALSE) * AC44</f>
        <v>#N/A</v>
      </c>
      <c r="AD81" s="68" t="e">
        <f ca="1">VLOOKUP("fcractivation_hours"&amp;"S1"&amp;AD$39&amp;Hypothèses!$D$17&amp;Hypothèses!$D$18,INDIRECT("'"&amp;Hypothèses!$D$42&amp;"'!$A:$I"),6,FALSE) * AD44</f>
        <v>#N/A</v>
      </c>
      <c r="AE81" s="68" t="e">
        <f ca="1">VLOOKUP("fcractivation_hours"&amp;"S1"&amp;AE$39&amp;Hypothèses!$D$17&amp;Hypothèses!$D$18,INDIRECT("'"&amp;Hypothèses!$D$42&amp;"'!$A:$I"),6,FALSE) * AE44</f>
        <v>#N/A</v>
      </c>
      <c r="AF81" s="68" t="e">
        <f ca="1">VLOOKUP("fcractivation_hours"&amp;"S1"&amp;AF$39&amp;Hypothèses!$D$17&amp;Hypothèses!$D$18,INDIRECT("'"&amp;Hypothèses!$D$42&amp;"'!$A:$I"),6,FALSE) * AF44</f>
        <v>#N/A</v>
      </c>
      <c r="AG81" s="68" t="e">
        <f ca="1">VLOOKUP("fcractivation_hours"&amp;"S1"&amp;AG$39&amp;Hypothèses!$D$17&amp;Hypothèses!$D$18,INDIRECT("'"&amp;Hypothèses!$D$42&amp;"'!$A:$I"),6,FALSE) * AG44</f>
        <v>#N/A</v>
      </c>
    </row>
    <row r="82" spans="2:33" s="75" customFormat="1" x14ac:dyDescent="0.3">
      <c r="B82" s="78" t="s">
        <v>83</v>
      </c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</row>
    <row r="83" spans="2:33" x14ac:dyDescent="0.3">
      <c r="B83" s="77" t="s">
        <v>84</v>
      </c>
      <c r="C83" s="10"/>
      <c r="D83" s="71">
        <f ca="1">VLOOKUP("afrrincome"&amp;"S1"&amp;D$39&amp;Hypothèses!$D$17&amp;Hypothèses!$D$18,INDIRECT("'"&amp;Hypothèses!$D$42&amp;"'!$A:$I"),6,FALSE)*(1+$C$37)^C43 * D44</f>
        <v>154921.05689376919</v>
      </c>
      <c r="E83" s="71">
        <f ca="1">VLOOKUP("afrrincome"&amp;"S1"&amp;E$39&amp;Hypothèses!$D$17&amp;Hypothèses!$D$18,INDIRECT("'"&amp;Hypothèses!$D$42&amp;"'!$A:$I"),6,FALSE)*(1+$C$37)^D43 * E44</f>
        <v>148383.91542688632</v>
      </c>
      <c r="F83" s="71">
        <f ca="1">VLOOKUP("afrrincome"&amp;"S1"&amp;F$39&amp;Hypothèses!$D$17&amp;Hypothèses!$D$18,INDIRECT("'"&amp;Hypothèses!$D$42&amp;"'!$A:$I"),6,FALSE)*(1+$C$37)^E43 * F44</f>
        <v>127227.51054853651</v>
      </c>
      <c r="G83" s="71">
        <f ca="1">VLOOKUP("afrrincome"&amp;"S1"&amp;G$39&amp;Hypothèses!$D$17&amp;Hypothèses!$D$18,INDIRECT("'"&amp;Hypothèses!$D$42&amp;"'!$A:$I"),6,FALSE)*(1+$C$37)^F43 * G44</f>
        <v>126311.69675004597</v>
      </c>
      <c r="H83" s="71">
        <f ca="1">VLOOKUP("afrrincome"&amp;"S1"&amp;H$39&amp;Hypothèses!$D$17&amp;Hypothèses!$D$18,INDIRECT("'"&amp;Hypothèses!$D$42&amp;"'!$A:$I"),6,FALSE)*(1+$C$37)^G43 * H44</f>
        <v>131581.12189994095</v>
      </c>
      <c r="I83" s="71">
        <f ca="1">VLOOKUP("afrrincome"&amp;"S1"&amp;I$39&amp;Hypothèses!$D$17&amp;Hypothèses!$D$18,INDIRECT("'"&amp;Hypothèses!$D$42&amp;"'!$A:$I"),6,FALSE)*(1+$C$37)^H43 * I44</f>
        <v>78690.998414780872</v>
      </c>
      <c r="J83" s="71">
        <f ca="1">VLOOKUP("afrrincome"&amp;"S1"&amp;J$39&amp;Hypothèses!$D$17&amp;Hypothèses!$D$18,INDIRECT("'"&amp;Hypothèses!$D$42&amp;"'!$A:$I"),6,FALSE)*(1+$C$37)^I43 * J44</f>
        <v>77654.247571968692</v>
      </c>
      <c r="K83" s="71">
        <f ca="1">VLOOKUP("afrrincome"&amp;"S1"&amp;K$39&amp;Hypothèses!$D$17&amp;Hypothèses!$D$18,INDIRECT("'"&amp;Hypothèses!$D$42&amp;"'!$A:$I"),6,FALSE)*(1+$C$37)^J43 * K44</f>
        <v>75314.728154112803</v>
      </c>
      <c r="L83" s="71">
        <f ca="1">VLOOKUP("afrrincome"&amp;"S1"&amp;L$39&amp;Hypothèses!$D$17&amp;Hypothèses!$D$18,INDIRECT("'"&amp;Hypothèses!$D$42&amp;"'!$A:$I"),6,FALSE)*(1+$C$37)^K43 * L44</f>
        <v>76539.634003745232</v>
      </c>
      <c r="M83" s="71">
        <f ca="1">VLOOKUP("afrrincome"&amp;"S1"&amp;M$39&amp;Hypothèses!$D$17&amp;Hypothèses!$D$18,INDIRECT("'"&amp;Hypothèses!$D$42&amp;"'!$A:$I"),6,FALSE)*(1+$C$37)^L43 * M44</f>
        <v>79246.328491019754</v>
      </c>
      <c r="N83" s="71">
        <f ca="1">VLOOKUP("afrrincome"&amp;"S1"&amp;N$39&amp;Hypothèses!$D$17&amp;Hypothèses!$D$18,INDIRECT("'"&amp;Hypothèses!$D$42&amp;"'!$A:$I"),6,FALSE)*(1+$C$37)^M43 * N44</f>
        <v>77505.698003609374</v>
      </c>
      <c r="O83" s="71">
        <f ca="1">VLOOKUP("afrrincome"&amp;"S1"&amp;O$39&amp;Hypothèses!$D$17&amp;Hypothèses!$D$18,INDIRECT("'"&amp;Hypothèses!$D$42&amp;"'!$A:$I"),6,FALSE)*(1+$C$37)^N43 * O44</f>
        <v>72536.066593402749</v>
      </c>
      <c r="P83" s="71">
        <f ca="1">VLOOKUP("afrrincome"&amp;"S1"&amp;P$39&amp;Hypothèses!$D$17&amp;Hypothèses!$D$18,INDIRECT("'"&amp;Hypothèses!$D$42&amp;"'!$A:$I"),6,FALSE)*(1+$C$37)^O43 * P44</f>
        <v>73743.065575601271</v>
      </c>
      <c r="Q83" s="71">
        <f ca="1">VLOOKUP("afrrincome"&amp;"S1"&amp;Q$39&amp;Hypothèses!$D$17&amp;Hypothèses!$D$18,INDIRECT("'"&amp;Hypothèses!$D$42&amp;"'!$A:$I"),6,FALSE)*(1+$C$37)^P43 * Q44</f>
        <v>72379.155327103712</v>
      </c>
      <c r="R83" s="71">
        <f ca="1">VLOOKUP("afrrincome"&amp;"S1"&amp;R$39&amp;Hypothèses!$D$17&amp;Hypothèses!$D$18,INDIRECT("'"&amp;Hypothèses!$D$42&amp;"'!$A:$I"),6,FALSE)*(1+$C$37)^Q43 * R44</f>
        <v>73481.728322919385</v>
      </c>
      <c r="S83" s="71">
        <f ca="1">VLOOKUP("afrrincome"&amp;"S1"&amp;S$39&amp;Hypothèses!$D$17&amp;Hypothèses!$D$18,INDIRECT("'"&amp;Hypothèses!$D$42&amp;"'!$A:$I"),6,FALSE)*(1+$C$37)^R43 * S44</f>
        <v>51745.57672865194</v>
      </c>
      <c r="T83" s="71">
        <f ca="1">VLOOKUP("afrrincome"&amp;"S1"&amp;T$39&amp;Hypothèses!$D$17&amp;Hypothèses!$D$18,INDIRECT("'"&amp;Hypothèses!$D$42&amp;"'!$A:$I"),6,FALSE)*(1+$C$37)^S43 * T44</f>
        <v>46757.472881035166</v>
      </c>
      <c r="U83" s="71" t="e">
        <f ca="1">VLOOKUP("afrrincome"&amp;"S1"&amp;U$39&amp;Hypothèses!$D$17&amp;Hypothèses!$D$18,INDIRECT("'"&amp;Hypothèses!$D$42&amp;"'!$A:$I"),6,FALSE)*(1+$C$37)^T43 * U44</f>
        <v>#N/A</v>
      </c>
      <c r="V83" s="71" t="e">
        <f ca="1">VLOOKUP("afrrincome"&amp;"S1"&amp;V$39&amp;Hypothèses!$D$17&amp;Hypothèses!$D$18,INDIRECT("'"&amp;Hypothèses!$D$42&amp;"'!$A:$I"),6,FALSE)*(1+$C$37)^U43 * V44</f>
        <v>#N/A</v>
      </c>
      <c r="W83" s="71" t="e">
        <f ca="1">VLOOKUP("afrrincome"&amp;"S1"&amp;W$39&amp;Hypothèses!$D$17&amp;Hypothèses!$D$18,INDIRECT("'"&amp;Hypothèses!$D$42&amp;"'!$A:$I"),6,FALSE)*(1+$C$37)^V43 * W44</f>
        <v>#N/A</v>
      </c>
      <c r="X83" s="71" t="e">
        <f ca="1">VLOOKUP("afrrincome"&amp;"S1"&amp;X$39&amp;Hypothèses!$D$17&amp;Hypothèses!$D$18,INDIRECT("'"&amp;Hypothèses!$D$42&amp;"'!$A:$I"),6,FALSE)*(1+$C$37)^W43 * X44</f>
        <v>#N/A</v>
      </c>
      <c r="Y83" s="71" t="e">
        <f ca="1">VLOOKUP("afrrincome"&amp;"S1"&amp;Y$39&amp;Hypothèses!$D$17&amp;Hypothèses!$D$18,INDIRECT("'"&amp;Hypothèses!$D$42&amp;"'!$A:$I"),6,FALSE)*(1+$C$37)^X43 * Y44</f>
        <v>#N/A</v>
      </c>
      <c r="Z83" s="71" t="e">
        <f ca="1">VLOOKUP("afrrincome"&amp;"S1"&amp;Z$39&amp;Hypothèses!$D$17&amp;Hypothèses!$D$18,INDIRECT("'"&amp;Hypothèses!$D$42&amp;"'!$A:$I"),6,FALSE)*(1+$C$37)^Y43 * Z44</f>
        <v>#N/A</v>
      </c>
      <c r="AA83" s="71" t="e">
        <f ca="1">VLOOKUP("afrrincome"&amp;"S1"&amp;AA$39&amp;Hypothèses!$D$17&amp;Hypothèses!$D$18,INDIRECT("'"&amp;Hypothèses!$D$42&amp;"'!$A:$I"),6,FALSE)*(1+$C$37)^Z43 * AA44</f>
        <v>#N/A</v>
      </c>
      <c r="AB83" s="71" t="e">
        <f ca="1">VLOOKUP("afrrincome"&amp;"S1"&amp;AB$39&amp;Hypothèses!$D$17&amp;Hypothèses!$D$18,INDIRECT("'"&amp;Hypothèses!$D$42&amp;"'!$A:$I"),6,FALSE)*(1+$C$37)^AA43 * AB44</f>
        <v>#N/A</v>
      </c>
      <c r="AC83" s="71" t="e">
        <f ca="1">VLOOKUP("afrrincome"&amp;"S1"&amp;AC$39&amp;Hypothèses!$D$17&amp;Hypothèses!$D$18,INDIRECT("'"&amp;Hypothèses!$D$42&amp;"'!$A:$I"),6,FALSE)*(1+$C$37)^AB43 * AC44</f>
        <v>#N/A</v>
      </c>
      <c r="AD83" s="71" t="e">
        <f ca="1">VLOOKUP("afrrincome"&amp;"S1"&amp;AD$39&amp;Hypothèses!$D$17&amp;Hypothèses!$D$18,INDIRECT("'"&amp;Hypothèses!$D$42&amp;"'!$A:$I"),6,FALSE)*(1+$C$37)^AC43 * AD44</f>
        <v>#N/A</v>
      </c>
      <c r="AE83" s="71" t="e">
        <f ca="1">VLOOKUP("afrrincome"&amp;"S1"&amp;AE$39&amp;Hypothèses!$D$17&amp;Hypothèses!$D$18,INDIRECT("'"&amp;Hypothèses!$D$42&amp;"'!$A:$I"),6,FALSE)*(1+$C$37)^AD43 * AE44</f>
        <v>#N/A</v>
      </c>
      <c r="AF83" s="71" t="e">
        <f ca="1">VLOOKUP("afrrincome"&amp;"S1"&amp;AF$39&amp;Hypothèses!$D$17&amp;Hypothèses!$D$18,INDIRECT("'"&amp;Hypothèses!$D$42&amp;"'!$A:$I"),6,FALSE)*(1+$C$37)^AE43 * AF44</f>
        <v>#N/A</v>
      </c>
      <c r="AG83" s="71" t="e">
        <f ca="1">VLOOKUP("afrrincome"&amp;"S1"&amp;AG$39&amp;Hypothèses!$D$17&amp;Hypothèses!$D$18,INDIRECT("'"&amp;Hypothèses!$D$42&amp;"'!$A:$I"),6,FALSE)*(1+$C$37)^AF43 * AG44</f>
        <v>#N/A</v>
      </c>
    </row>
    <row r="84" spans="2:33" ht="14.5" x14ac:dyDescent="0.35">
      <c r="B84" s="26" t="s">
        <v>26</v>
      </c>
      <c r="C84" s="10"/>
      <c r="D84" s="68"/>
      <c r="E84" s="135">
        <f t="shared" ref="E84" ca="1" si="378">E83/D83-1</f>
        <v>-4.2196597402284985E-2</v>
      </c>
      <c r="F84" s="135">
        <f t="shared" ref="F84" ca="1" si="379">F83/E83-1</f>
        <v>-0.14257882882713302</v>
      </c>
      <c r="G84" s="135">
        <f t="shared" ref="G84" ca="1" si="380">G83/F83-1</f>
        <v>-7.1982371936858414E-3</v>
      </c>
      <c r="H84" s="135">
        <f t="shared" ref="H84" ca="1" si="381">H83/G83-1</f>
        <v>4.1717634118418001E-2</v>
      </c>
      <c r="I84" s="135">
        <f t="shared" ref="I84" ca="1" si="382">I83/H83-1</f>
        <v>-0.40195829554774309</v>
      </c>
      <c r="J84" s="135">
        <f t="shared" ref="J84" ca="1" si="383">J83/I83-1</f>
        <v>-1.3174961097169646E-2</v>
      </c>
      <c r="K84" s="135">
        <f t="shared" ref="K84" ca="1" si="384">K83/J83-1</f>
        <v>-3.0127385056273437E-2</v>
      </c>
      <c r="L84" s="135">
        <f t="shared" ref="L84" ca="1" si="385">L83/K83-1</f>
        <v>1.6263828863936958E-2</v>
      </c>
      <c r="M84" s="135">
        <f t="shared" ref="M84" ca="1" si="386">M83/L83-1</f>
        <v>3.5363305854612337E-2</v>
      </c>
      <c r="N84" s="135">
        <f t="shared" ref="N84" ca="1" si="387">N83/M83-1</f>
        <v>-2.1964809229081617E-2</v>
      </c>
      <c r="O84" s="135">
        <f t="shared" ref="O84" ca="1" si="388">O83/N83-1</f>
        <v>-6.4119562022074694E-2</v>
      </c>
      <c r="P84" s="135">
        <f t="shared" ref="P84" ca="1" si="389">P83/O83-1</f>
        <v>1.6639983926400204E-2</v>
      </c>
      <c r="Q84" s="135">
        <f t="shared" ref="Q84" ca="1" si="390">Q83/P83-1</f>
        <v>-1.8495437338433951E-2</v>
      </c>
      <c r="R84" s="135">
        <f t="shared" ref="R84" ca="1" si="391">R83/Q83-1</f>
        <v>1.5233294597495783E-2</v>
      </c>
      <c r="S84" s="135">
        <f t="shared" ref="S84" ca="1" si="392">S83/R83-1</f>
        <v>-0.29580348870874085</v>
      </c>
      <c r="T84" s="135">
        <f t="shared" ref="T84" ca="1" si="393">T83/S83-1</f>
        <v>-9.6396719545205567E-2</v>
      </c>
      <c r="U84" s="135" t="e">
        <f t="shared" ref="U84" ca="1" si="394">U83/T83-1</f>
        <v>#N/A</v>
      </c>
      <c r="V84" s="135" t="e">
        <f t="shared" ref="V84" ca="1" si="395">V83/U83-1</f>
        <v>#N/A</v>
      </c>
      <c r="W84" s="135" t="e">
        <f t="shared" ref="W84" ca="1" si="396">W83/V83-1</f>
        <v>#N/A</v>
      </c>
      <c r="X84" s="135" t="e">
        <f t="shared" ref="X84" ca="1" si="397">X83/W83-1</f>
        <v>#N/A</v>
      </c>
      <c r="Y84" s="135" t="e">
        <f t="shared" ref="Y84" ca="1" si="398">Y83/X83-1</f>
        <v>#N/A</v>
      </c>
      <c r="Z84" s="135" t="e">
        <f t="shared" ref="Z84" ca="1" si="399">Z83/Y83-1</f>
        <v>#N/A</v>
      </c>
      <c r="AA84" s="135" t="e">
        <f t="shared" ref="AA84" ca="1" si="400">AA83/Z83-1</f>
        <v>#N/A</v>
      </c>
      <c r="AB84" s="135" t="e">
        <f t="shared" ref="AB84" ca="1" si="401">AB83/AA83-1</f>
        <v>#N/A</v>
      </c>
      <c r="AC84" s="135" t="e">
        <f t="shared" ref="AC84" ca="1" si="402">AC83/AB83-1</f>
        <v>#N/A</v>
      </c>
      <c r="AD84" s="135" t="e">
        <f t="shared" ref="AD84" ca="1" si="403">AD83/AC83-1</f>
        <v>#N/A</v>
      </c>
      <c r="AE84" s="135" t="e">
        <f t="shared" ref="AE84" ca="1" si="404">AE83/AD83-1</f>
        <v>#N/A</v>
      </c>
      <c r="AF84" s="135" t="e">
        <f t="shared" ref="AF84" ca="1" si="405">AF83/AE83-1</f>
        <v>#N/A</v>
      </c>
      <c r="AG84" s="135" t="e">
        <f ca="1">AG83/AF83-1</f>
        <v>#N/A</v>
      </c>
    </row>
    <row r="85" spans="2:33" ht="14.5" x14ac:dyDescent="0.35">
      <c r="B85" s="26" t="s">
        <v>121</v>
      </c>
      <c r="C85" s="10"/>
      <c r="D85" s="68">
        <f ca="1">VLOOKUP("afrractivation_hours"&amp;"S1"&amp;D$39&amp;Hypothèses!$D$17&amp;Hypothèses!$D$18,INDIRECT("'"&amp;Hypothèses!$D$42&amp;"'!$A:$I"),6,FALSE) * D44</f>
        <v>8760</v>
      </c>
      <c r="E85" s="68">
        <f ca="1">VLOOKUP("afrractivation_hours"&amp;"S1"&amp;E$39&amp;Hypothèses!$D$17&amp;Hypothèses!$D$18,INDIRECT("'"&amp;Hypothèses!$D$42&amp;"'!$A:$I"),6,FALSE) * E44</f>
        <v>8760</v>
      </c>
      <c r="F85" s="68">
        <f ca="1">VLOOKUP("afrractivation_hours"&amp;"S1"&amp;F$39&amp;Hypothèses!$D$17&amp;Hypothèses!$D$18,INDIRECT("'"&amp;Hypothèses!$D$42&amp;"'!$A:$I"),6,FALSE) * F44</f>
        <v>8760</v>
      </c>
      <c r="G85" s="68">
        <f ca="1">VLOOKUP("afrractivation_hours"&amp;"S1"&amp;G$39&amp;Hypothèses!$D$17&amp;Hypothèses!$D$18,INDIRECT("'"&amp;Hypothèses!$D$42&amp;"'!$A:$I"),6,FALSE) * G44</f>
        <v>8760</v>
      </c>
      <c r="H85" s="68">
        <f ca="1">VLOOKUP("afrractivation_hours"&amp;"S1"&amp;H$39&amp;Hypothèses!$D$17&amp;Hypothèses!$D$18,INDIRECT("'"&amp;Hypothèses!$D$42&amp;"'!$A:$I"),6,FALSE) * H44</f>
        <v>8758</v>
      </c>
      <c r="I85" s="68">
        <f ca="1">VLOOKUP("afrractivation_hours"&amp;"S1"&amp;I$39&amp;Hypothèses!$D$17&amp;Hypothèses!$D$18,INDIRECT("'"&amp;Hypothèses!$D$42&amp;"'!$A:$I"),6,FALSE) * I44</f>
        <v>8723</v>
      </c>
      <c r="J85" s="68">
        <f ca="1">VLOOKUP("afrractivation_hours"&amp;"S1"&amp;J$39&amp;Hypothèses!$D$17&amp;Hypothèses!$D$18,INDIRECT("'"&amp;Hypothèses!$D$42&amp;"'!$A:$I"),6,FALSE) * J44</f>
        <v>8701</v>
      </c>
      <c r="K85" s="68">
        <f ca="1">VLOOKUP("afrractivation_hours"&amp;"S1"&amp;K$39&amp;Hypothèses!$D$17&amp;Hypothèses!$D$18,INDIRECT("'"&amp;Hypothèses!$D$42&amp;"'!$A:$I"),6,FALSE) * K44</f>
        <v>8625</v>
      </c>
      <c r="L85" s="68">
        <f ca="1">VLOOKUP("afrractivation_hours"&amp;"S1"&amp;L$39&amp;Hypothèses!$D$17&amp;Hypothèses!$D$18,INDIRECT("'"&amp;Hypothèses!$D$42&amp;"'!$A:$I"),6,FALSE) * L44</f>
        <v>8648</v>
      </c>
      <c r="M85" s="68">
        <f ca="1">VLOOKUP("afrractivation_hours"&amp;"S1"&amp;M$39&amp;Hypothèses!$D$17&amp;Hypothèses!$D$18,INDIRECT("'"&amp;Hypothèses!$D$42&amp;"'!$A:$I"),6,FALSE) * M44</f>
        <v>8659</v>
      </c>
      <c r="N85" s="68">
        <f ca="1">VLOOKUP("afrractivation_hours"&amp;"S1"&amp;N$39&amp;Hypothèses!$D$17&amp;Hypothèses!$D$18,INDIRECT("'"&amp;Hypothèses!$D$42&amp;"'!$A:$I"),6,FALSE) * N44</f>
        <v>8669</v>
      </c>
      <c r="O85" s="68">
        <f ca="1">VLOOKUP("afrractivation_hours"&amp;"S1"&amp;O$39&amp;Hypothèses!$D$17&amp;Hypothèses!$D$18,INDIRECT("'"&amp;Hypothèses!$D$42&amp;"'!$A:$I"),6,FALSE) * O44</f>
        <v>8638</v>
      </c>
      <c r="P85" s="68">
        <f ca="1">VLOOKUP("afrractivation_hours"&amp;"S1"&amp;P$39&amp;Hypothèses!$D$17&amp;Hypothèses!$D$18,INDIRECT("'"&amp;Hypothèses!$D$42&amp;"'!$A:$I"),6,FALSE) * P44</f>
        <v>8668</v>
      </c>
      <c r="Q85" s="68">
        <f ca="1">VLOOKUP("afrractivation_hours"&amp;"S1"&amp;Q$39&amp;Hypothèses!$D$17&amp;Hypothèses!$D$18,INDIRECT("'"&amp;Hypothèses!$D$42&amp;"'!$A:$I"),6,FALSE) * Q44</f>
        <v>8604</v>
      </c>
      <c r="R85" s="68">
        <f ca="1">VLOOKUP("afrractivation_hours"&amp;"S1"&amp;R$39&amp;Hypothèses!$D$17&amp;Hypothèses!$D$18,INDIRECT("'"&amp;Hypothèses!$D$42&amp;"'!$A:$I"),6,FALSE) * R44</f>
        <v>8620</v>
      </c>
      <c r="S85" s="68">
        <f ca="1">VLOOKUP("afrractivation_hours"&amp;"S1"&amp;S$39&amp;Hypothèses!$D$17&amp;Hypothèses!$D$18,INDIRECT("'"&amp;Hypothèses!$D$42&amp;"'!$A:$I"),6,FALSE) * S44</f>
        <v>8386</v>
      </c>
      <c r="T85" s="68">
        <f ca="1">VLOOKUP("afrractivation_hours"&amp;"S1"&amp;T$39&amp;Hypothèses!$D$17&amp;Hypothèses!$D$18,INDIRECT("'"&amp;Hypothèses!$D$42&amp;"'!$A:$I"),6,FALSE) * T44</f>
        <v>8169</v>
      </c>
      <c r="U85" s="68" t="e">
        <f ca="1">VLOOKUP("afrractivation_hours"&amp;"S1"&amp;U$39&amp;Hypothèses!$D$17&amp;Hypothèses!$D$18,INDIRECT("'"&amp;Hypothèses!$D$42&amp;"'!$A:$I"),6,FALSE) * U44</f>
        <v>#N/A</v>
      </c>
      <c r="V85" s="68" t="e">
        <f ca="1">VLOOKUP("afrractivation_hours"&amp;"S1"&amp;V$39&amp;Hypothèses!$D$17&amp;Hypothèses!$D$18,INDIRECT("'"&amp;Hypothèses!$D$42&amp;"'!$A:$I"),6,FALSE) * V44</f>
        <v>#N/A</v>
      </c>
      <c r="W85" s="68" t="e">
        <f ca="1">VLOOKUP("afrractivation_hours"&amp;"S1"&amp;W$39&amp;Hypothèses!$D$17&amp;Hypothèses!$D$18,INDIRECT("'"&amp;Hypothèses!$D$42&amp;"'!$A:$I"),6,FALSE) * W44</f>
        <v>#N/A</v>
      </c>
      <c r="X85" s="68" t="e">
        <f ca="1">VLOOKUP("afrractivation_hours"&amp;"S1"&amp;X$39&amp;Hypothèses!$D$17&amp;Hypothèses!$D$18,INDIRECT("'"&amp;Hypothèses!$D$42&amp;"'!$A:$I"),6,FALSE) * X44</f>
        <v>#N/A</v>
      </c>
      <c r="Y85" s="68" t="e">
        <f ca="1">VLOOKUP("afrractivation_hours"&amp;"S1"&amp;Y$39&amp;Hypothèses!$D$17&amp;Hypothèses!$D$18,INDIRECT("'"&amp;Hypothèses!$D$42&amp;"'!$A:$I"),6,FALSE) * Y44</f>
        <v>#N/A</v>
      </c>
      <c r="Z85" s="68" t="e">
        <f ca="1">VLOOKUP("afrractivation_hours"&amp;"S1"&amp;Z$39&amp;Hypothèses!$D$17&amp;Hypothèses!$D$18,INDIRECT("'"&amp;Hypothèses!$D$42&amp;"'!$A:$I"),6,FALSE) * Z44</f>
        <v>#N/A</v>
      </c>
      <c r="AA85" s="68" t="e">
        <f ca="1">VLOOKUP("afrractivation_hours"&amp;"S1"&amp;AA$39&amp;Hypothèses!$D$17&amp;Hypothèses!$D$18,INDIRECT("'"&amp;Hypothèses!$D$42&amp;"'!$A:$I"),6,FALSE) * AA44</f>
        <v>#N/A</v>
      </c>
      <c r="AB85" s="68" t="e">
        <f ca="1">VLOOKUP("afrractivation_hours"&amp;"S1"&amp;AB$39&amp;Hypothèses!$D$17&amp;Hypothèses!$D$18,INDIRECT("'"&amp;Hypothèses!$D$42&amp;"'!$A:$I"),6,FALSE) * AB44</f>
        <v>#N/A</v>
      </c>
      <c r="AC85" s="68" t="e">
        <f ca="1">VLOOKUP("afrractivation_hours"&amp;"S1"&amp;AC$39&amp;Hypothèses!$D$17&amp;Hypothèses!$D$18,INDIRECT("'"&amp;Hypothèses!$D$42&amp;"'!$A:$I"),6,FALSE) * AC44</f>
        <v>#N/A</v>
      </c>
      <c r="AD85" s="68" t="e">
        <f ca="1">VLOOKUP("afrractivation_hours"&amp;"S1"&amp;AD$39&amp;Hypothèses!$D$17&amp;Hypothèses!$D$18,INDIRECT("'"&amp;Hypothèses!$D$42&amp;"'!$A:$I"),6,FALSE) * AD44</f>
        <v>#N/A</v>
      </c>
      <c r="AE85" s="68" t="e">
        <f ca="1">VLOOKUP("afrractivation_hours"&amp;"S1"&amp;AE$39&amp;Hypothèses!$D$17&amp;Hypothèses!$D$18,INDIRECT("'"&amp;Hypothèses!$D$42&amp;"'!$A:$I"),6,FALSE) * AE44</f>
        <v>#N/A</v>
      </c>
      <c r="AF85" s="68" t="e">
        <f ca="1">VLOOKUP("afrractivation_hours"&amp;"S1"&amp;AF$39&amp;Hypothèses!$D$17&amp;Hypothèses!$D$18,INDIRECT("'"&amp;Hypothèses!$D$42&amp;"'!$A:$I"),6,FALSE) * AF44</f>
        <v>#N/A</v>
      </c>
      <c r="AG85" s="68" t="e">
        <f ca="1">VLOOKUP("afrractivation_hours"&amp;"S1"&amp;AG$39&amp;Hypothèses!$D$17&amp;Hypothèses!$D$18,INDIRECT("'"&amp;Hypothèses!$D$42&amp;"'!$A:$I"),6,FALSE) * AG44</f>
        <v>#N/A</v>
      </c>
    </row>
    <row r="86" spans="2:33" s="75" customFormat="1" x14ac:dyDescent="0.3">
      <c r="B86" s="78" t="s">
        <v>85</v>
      </c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</row>
    <row r="87" spans="2:33" x14ac:dyDescent="0.3">
      <c r="B87" s="10" t="s">
        <v>27</v>
      </c>
      <c r="C87" s="10"/>
      <c r="D87" s="71">
        <f>Hypothèses!$D$41*IF(Hypothèses!$D$42="versys - B1",D89,IF(Hypothèses!$D$42="versys - B3",D90,D88))*MIN(Hypothèses!$C$12,Hypothèses!$D$17)*Hypothèses!$D$26 * (1+$C$37)^D43 * D44</f>
        <v>76089.799350000001</v>
      </c>
      <c r="E87" s="71">
        <f>Hypothèses!$D$41*IF(Hypothèses!$D$42="versys - B1",E89,IF(Hypothèses!$D$42="versys - B3",E90,E88))*MIN(Hypothèses!$C$12,Hypothèses!$D$17)*Hypothèses!$D$26 * (1+$C$37)^E43 * E44</f>
        <v>69505.533599999995</v>
      </c>
      <c r="F87" s="71">
        <f>Hypothèses!$D$41*IF(Hypothèses!$D$42="versys - B1",F89,IF(Hypothèses!$D$42="versys - B3",F90,F88))*MIN(Hypothèses!$C$12,Hypothèses!$D$17)*Hypothèses!$D$26 * (1+$C$37)^F43 * F44</f>
        <v>65961.230017320006</v>
      </c>
      <c r="G87" s="71">
        <f>Hypothèses!$D$41*IF(Hypothèses!$D$42="versys - B1",G89,IF(Hypothèses!$D$42="versys - B3",G90,G88))*MIN(Hypothèses!$C$12,Hypothèses!$D$17)*Hypothèses!$D$26 * (1+$C$37)^G43 * G44</f>
        <v>57967.116934092606</v>
      </c>
      <c r="H87" s="71">
        <f>Hypothèses!$D$41*IF(Hypothèses!$D$42="versys - B1",H89,IF(Hypothèses!$D$42="versys - B3",H90,H88))*MIN(Hypothèses!$C$12,Hypothèses!$D$17)*Hypothèses!$D$26 * (1+$C$37)^H43 * H44</f>
        <v>65473.711570929081</v>
      </c>
      <c r="I87" s="71">
        <f>Hypothèses!$D$41*IF(Hypothèses!$D$42="versys - B1",I89,IF(Hypothèses!$D$42="versys - B3",I90,I88))*MIN(Hypothèses!$C$12,Hypothèses!$D$17)*Hypothèses!$D$26 * (1+$C$37)^I43 * I44</f>
        <v>73544.20722833398</v>
      </c>
      <c r="J87" s="71">
        <f>Hypothèses!$D$41*IF(Hypothèses!$D$42="versys - B1",J89,IF(Hypothèses!$D$42="versys - B3",J90,J88))*MIN(Hypothèses!$C$12,Hypothèses!$D$17)*Hypothèses!$D$26 * (1+$C$37)^J43 * J44</f>
        <v>68249.113093439286</v>
      </c>
      <c r="K87" s="71">
        <f>Hypothèses!$D$41*IF(Hypothèses!$D$42="versys - B1",K89,IF(Hypothèses!$D$42="versys - B3",K90,K88))*MIN(Hypothèses!$C$12,Hypothèses!$D$17)*Hypothèses!$D$26 * (1+$C$37)^K43 * K44</f>
        <v>69867.40357509398</v>
      </c>
      <c r="L87" s="71">
        <f>Hypothèses!$D$41*IF(Hypothèses!$D$42="versys - B1",L89,IF(Hypothèses!$D$42="versys - B3",L90,L88))*MIN(Hypothèses!$C$12,Hypothèses!$D$17)*Hypothèses!$D$26 * (1+$C$37)^L43 * L44</f>
        <v>69388.047329931127</v>
      </c>
      <c r="M87" s="71">
        <f>Hypothèses!$D$41*IF(Hypothèses!$D$42="versys - B1",M89,IF(Hypothèses!$D$42="versys - B3",M90,M88))*MIN(Hypothèses!$C$12,Hypothèses!$D$17)*Hypothèses!$D$26 * (1+$C$37)^M43 * M44</f>
        <v>69912.357260758596</v>
      </c>
      <c r="N87" s="71">
        <f>Hypothèses!$D$41*IF(Hypothèses!$D$42="versys - B1",N89,IF(Hypothèses!$D$42="versys - B3",N90,N88))*MIN(Hypothèses!$C$12,Hypothèses!$D$17)*Hypothèses!$D$26 * (1+$C$37)^N43 * N44</f>
        <v>59245.603973371493</v>
      </c>
      <c r="O87" s="71">
        <f>Hypothèses!$D$41*IF(Hypothèses!$D$42="versys - B1",O89,IF(Hypothèses!$D$42="versys - B3",O90,O88))*MIN(Hypothèses!$C$12,Hypothèses!$D$17)*Hypothèses!$D$26 * (1+$C$37)^O43 * O44</f>
        <v>70751.822428195708</v>
      </c>
      <c r="P87" s="71">
        <f>Hypothèses!$D$41*IF(Hypothèses!$D$42="versys - B1",P89,IF(Hypothèses!$D$42="versys - B3",P90,P88))*MIN(Hypothèses!$C$12,Hypothèses!$D$17)*Hypothèses!$D$26 * (1+$C$37)^P43 * P44</f>
        <v>69482.114124981716</v>
      </c>
      <c r="Q87" s="71">
        <f>Hypothèses!$D$41*IF(Hypothèses!$D$42="versys - B1",Q89,IF(Hypothèses!$D$42="versys - B3",Q90,Q88))*MIN(Hypothèses!$C$12,Hypothèses!$D$17)*Hypothèses!$D$26 * (1+$C$37)^Q43 * Q44</f>
        <v>68005.825614381494</v>
      </c>
      <c r="R87" s="71">
        <f>Hypothèses!$D$41*IF(Hypothèses!$D$42="versys - B1",R89,IF(Hypothèses!$D$42="versys - B3",R90,R88))*MIN(Hypothèses!$C$12,Hypothèses!$D$17)*Hypothèses!$D$26 * (1+$C$37)^R43 * R44</f>
        <v>66360.137981611711</v>
      </c>
      <c r="S87" s="71">
        <f>Hypothèses!$D$41*IF(Hypothèses!$D$42="versys - B1",S89,IF(Hypothèses!$D$42="versys - B3",S90,S88))*MIN(Hypothèses!$C$12,Hypothèses!$D$17)*Hypothèses!$D$26 * (1+$C$37)^S43 * S44</f>
        <v>65612.722711952112</v>
      </c>
      <c r="T87" s="71">
        <f>Hypothèses!$D$41*IF(Hypothèses!$D$42="versys - B1",T89,IF(Hypothèses!$D$42="versys - B3",T90,T88))*MIN(Hypothèses!$C$12,Hypothèses!$D$17)*Hypothèses!$D$26 * (1+$C$37)^T43 * T44</f>
        <v>69177.389113602578</v>
      </c>
      <c r="U87" s="71">
        <f>Hypothèses!$D$41*IF(Hypothèses!$D$42="versys - B1",U89,IF(Hypothèses!$D$42="versys - B3",U90,U88))*MIN(Hypothèses!$C$12,Hypothèses!$D$17)*Hypothèses!$D$26 * (1+$C$37)^U43 * U44</f>
        <v>0</v>
      </c>
      <c r="V87" s="71">
        <f>Hypothèses!$D$41*IF(Hypothèses!$D$42="versys - B1",V89,IF(Hypothèses!$D$42="versys - B3",V90,V88))*MIN(Hypothèses!$C$12,Hypothèses!$D$17)*Hypothèses!$D$26 * (1+$C$37)^V43 * V44</f>
        <v>0</v>
      </c>
      <c r="W87" s="71">
        <f>Hypothèses!$D$41*IF(Hypothèses!$D$42="versys - B1",W89,IF(Hypothèses!$D$42="versys - B3",W90,W88))*MIN(Hypothèses!$C$12,Hypothèses!$D$17)*Hypothèses!$D$26 * (1+$C$37)^W43 * W44</f>
        <v>0</v>
      </c>
      <c r="X87" s="71">
        <f>Hypothèses!$D$41*IF(Hypothèses!$D$42="versys - B1",X89,IF(Hypothèses!$D$42="versys - B3",X90,X88))*MIN(Hypothèses!$C$12,Hypothèses!$D$17)*Hypothèses!$D$26 * (1+$C$37)^X43 * X44</f>
        <v>0</v>
      </c>
      <c r="Y87" s="71">
        <f>Hypothèses!$D$41*IF(Hypothèses!$D$42="versys - B1",Y89,IF(Hypothèses!$D$42="versys - B3",Y90,Y88))*MIN(Hypothèses!$C$12,Hypothèses!$D$17)*Hypothèses!$D$26 * (1+$C$37)^Y43 * Y44</f>
        <v>0</v>
      </c>
      <c r="Z87" s="71">
        <f>Hypothèses!$D$41*IF(Hypothèses!$D$42="versys - B1",Z89,IF(Hypothèses!$D$42="versys - B3",Z90,Z88))*MIN(Hypothèses!$C$12,Hypothèses!$D$17)*Hypothèses!$D$26 * (1+$C$37)^Z43 * Z44</f>
        <v>0</v>
      </c>
      <c r="AA87" s="71">
        <f>Hypothèses!$D$41*IF(Hypothèses!$D$42="versys - B1",AA89,IF(Hypothèses!$D$42="versys - B3",AA90,AA88))*MIN(Hypothèses!$C$12,Hypothèses!$D$17)*Hypothèses!$D$26 * (1+$C$37)^AA43 * AA44</f>
        <v>0</v>
      </c>
      <c r="AB87" s="71">
        <f>Hypothèses!$D$41*IF(Hypothèses!$D$42="versys - B1",AB89,IF(Hypothèses!$D$42="versys - B3",AB90,AB88))*MIN(Hypothèses!$C$12,Hypothèses!$D$17)*Hypothèses!$D$26 * (1+$C$37)^AB43 * AB44</f>
        <v>0</v>
      </c>
      <c r="AC87" s="71">
        <f>Hypothèses!$D$41*IF(Hypothèses!$D$42="versys - B1",AC89,IF(Hypothèses!$D$42="versys - B3",AC90,AC88))*MIN(Hypothèses!$C$12,Hypothèses!$D$17)*Hypothèses!$D$26 * (1+$C$37)^AC43 * AC44</f>
        <v>0</v>
      </c>
      <c r="AD87" s="71">
        <f>Hypothèses!$D$41*IF(Hypothèses!$D$42="versys - B1",AD89,IF(Hypothèses!$D$42="versys - B3",AD90,AD88))*MIN(Hypothèses!$C$12,Hypothèses!$D$17)*Hypothèses!$D$26 * (1+$C$37)^AD43 * AD44</f>
        <v>0</v>
      </c>
      <c r="AE87" s="71">
        <f>Hypothèses!$D$41*IF(Hypothèses!$D$42="versys - B1",AE89,IF(Hypothèses!$D$42="versys - B3",AE90,AE88))*MIN(Hypothèses!$C$12,Hypothèses!$D$17)*Hypothèses!$D$26 * (1+$C$37)^AE43 * AE44</f>
        <v>0</v>
      </c>
      <c r="AF87" s="71">
        <f>Hypothèses!$D$41*IF(Hypothèses!$D$42="versys - B1",AF89,IF(Hypothèses!$D$42="versys - B3",AF90,AF88))*MIN(Hypothèses!$C$12,Hypothèses!$D$17)*Hypothèses!$D$26 * (1+$C$37)^AF43 * AF44</f>
        <v>0</v>
      </c>
      <c r="AG87" s="71">
        <f>Hypothèses!$D$41*IF(Hypothèses!$D$42="versys - B1",AG89,IF(Hypothèses!$D$42="versys - B3",AG90,AG88))*MIN(Hypothèses!$C$12,Hypothèses!$D$17)*Hypothèses!$D$26 * (1+$C$37)^AG43 * AG44</f>
        <v>0</v>
      </c>
    </row>
    <row r="88" spans="2:33" outlineLevel="1" x14ac:dyDescent="0.3">
      <c r="B88" s="10" t="s">
        <v>199</v>
      </c>
      <c r="C88" s="10"/>
      <c r="D88" s="68">
        <v>29543.7</v>
      </c>
      <c r="E88" s="68">
        <v>26720</v>
      </c>
      <c r="F88" s="68">
        <v>25106.400000000001</v>
      </c>
      <c r="G88" s="68">
        <v>21845.200000000001</v>
      </c>
      <c r="H88" s="68">
        <v>24429.8</v>
      </c>
      <c r="I88" s="68">
        <v>27169.4</v>
      </c>
      <c r="J88" s="68">
        <v>24963.599999999999</v>
      </c>
      <c r="K88" s="68">
        <v>25302.5</v>
      </c>
      <c r="L88" s="68">
        <v>24880.1</v>
      </c>
      <c r="M88" s="68">
        <v>24819.9</v>
      </c>
      <c r="N88" s="68">
        <v>20824.8</v>
      </c>
      <c r="O88" s="68">
        <v>24623</v>
      </c>
      <c r="P88" s="68">
        <v>23941.7</v>
      </c>
      <c r="Q88" s="68">
        <v>23201</v>
      </c>
      <c r="R88" s="68">
        <v>22415.4</v>
      </c>
      <c r="S88" s="68">
        <v>21943.5</v>
      </c>
      <c r="T88" s="68">
        <v>22906.6</v>
      </c>
      <c r="U88" s="68">
        <v>23571.7</v>
      </c>
      <c r="V88" s="68">
        <v>22086.400000000001</v>
      </c>
      <c r="W88" s="68">
        <v>21420.9</v>
      </c>
      <c r="X88" s="68">
        <v>20865.5</v>
      </c>
      <c r="Y88" s="68">
        <v>22756</v>
      </c>
      <c r="Z88" s="68">
        <v>20281.400000000001</v>
      </c>
      <c r="AA88" s="68">
        <v>22060.400000000001</v>
      </c>
      <c r="AB88" s="68">
        <v>21928.799999999999</v>
      </c>
      <c r="AC88" s="68">
        <v>22477.7</v>
      </c>
      <c r="AD88" s="68">
        <v>22477.7</v>
      </c>
      <c r="AE88" s="68">
        <v>22477.7</v>
      </c>
      <c r="AF88" s="68">
        <v>22477.7</v>
      </c>
      <c r="AG88" s="68">
        <v>22477.7</v>
      </c>
    </row>
    <row r="89" spans="2:33" outlineLevel="1" x14ac:dyDescent="0.3">
      <c r="B89" s="10" t="s">
        <v>200</v>
      </c>
      <c r="C89" s="10"/>
      <c r="D89" s="68">
        <v>28000</v>
      </c>
      <c r="E89" s="68">
        <v>27000</v>
      </c>
      <c r="F89" s="68">
        <v>26500</v>
      </c>
      <c r="G89" s="68">
        <v>26000</v>
      </c>
      <c r="H89" s="68">
        <v>26000</v>
      </c>
      <c r="I89" s="68">
        <v>26000</v>
      </c>
      <c r="J89" s="68">
        <v>27700</v>
      </c>
      <c r="K89" s="68">
        <v>30000</v>
      </c>
      <c r="L89" s="68">
        <v>32500</v>
      </c>
      <c r="M89" s="68">
        <v>35000</v>
      </c>
      <c r="N89" s="68">
        <v>37000</v>
      </c>
      <c r="O89" s="68">
        <v>39000</v>
      </c>
      <c r="P89" s="68">
        <v>40000</v>
      </c>
      <c r="Q89" s="68">
        <v>41000</v>
      </c>
      <c r="R89" s="68">
        <v>42000</v>
      </c>
      <c r="S89" s="68">
        <v>43000</v>
      </c>
      <c r="T89" s="68">
        <v>43000</v>
      </c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</row>
    <row r="90" spans="2:33" outlineLevel="1" x14ac:dyDescent="0.3">
      <c r="B90" s="10" t="s">
        <v>201</v>
      </c>
      <c r="C90" s="10"/>
      <c r="D90" s="68">
        <v>21600</v>
      </c>
      <c r="E90" s="68">
        <v>22000</v>
      </c>
      <c r="F90" s="68">
        <v>22400</v>
      </c>
      <c r="G90" s="68">
        <v>22800</v>
      </c>
      <c r="H90" s="68">
        <v>23300</v>
      </c>
      <c r="I90" s="68">
        <v>23700</v>
      </c>
      <c r="J90" s="68">
        <v>23700</v>
      </c>
      <c r="K90" s="68">
        <v>23700</v>
      </c>
      <c r="L90" s="68">
        <v>23700</v>
      </c>
      <c r="M90" s="68">
        <v>23700</v>
      </c>
      <c r="N90" s="68">
        <v>23700</v>
      </c>
      <c r="O90" s="68">
        <v>23800</v>
      </c>
      <c r="P90" s="68">
        <v>23900</v>
      </c>
      <c r="Q90" s="68">
        <v>24000</v>
      </c>
      <c r="R90" s="68">
        <v>24200</v>
      </c>
      <c r="S90" s="68">
        <v>24300</v>
      </c>
      <c r="T90" s="68">
        <v>24300</v>
      </c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</row>
    <row r="91" spans="2:33" ht="14.5" x14ac:dyDescent="0.35">
      <c r="B91" s="26" t="s">
        <v>26</v>
      </c>
      <c r="C91" s="10"/>
      <c r="D91" s="68"/>
      <c r="E91" s="135">
        <f t="shared" ref="E91:AG91" si="406">E87/D87-1</f>
        <v>-8.6532831026581047E-2</v>
      </c>
      <c r="F91" s="135">
        <f t="shared" si="406"/>
        <v>-5.0993113772454968E-2</v>
      </c>
      <c r="G91" s="135">
        <f t="shared" si="406"/>
        <v>-0.12119411783449641</v>
      </c>
      <c r="H91" s="135">
        <f t="shared" si="406"/>
        <v>0.1294974639737787</v>
      </c>
      <c r="I91" s="135">
        <f t="shared" si="406"/>
        <v>0.12326314583009323</v>
      </c>
      <c r="J91" s="135">
        <f t="shared" si="406"/>
        <v>-7.199879275950205E-2</v>
      </c>
      <c r="K91" s="135">
        <f t="shared" si="406"/>
        <v>2.3711523978913851E-2</v>
      </c>
      <c r="L91" s="135">
        <f t="shared" si="406"/>
        <v>-6.860942594605457E-3</v>
      </c>
      <c r="M91" s="135">
        <f t="shared" si="406"/>
        <v>7.5561995329604947E-3</v>
      </c>
      <c r="N91" s="135">
        <f t="shared" si="406"/>
        <v>-0.15257321745857211</v>
      </c>
      <c r="O91" s="135">
        <f t="shared" si="406"/>
        <v>0.19421218931274287</v>
      </c>
      <c r="P91" s="135">
        <f t="shared" si="406"/>
        <v>-1.7945944848312356E-2</v>
      </c>
      <c r="Q91" s="135">
        <f t="shared" si="406"/>
        <v>-2.1247029241866944E-2</v>
      </c>
      <c r="R91" s="135">
        <f t="shared" si="406"/>
        <v>-2.4199215551053643E-2</v>
      </c>
      <c r="S91" s="135">
        <f t="shared" si="406"/>
        <v>-1.126301560534293E-2</v>
      </c>
      <c r="T91" s="135">
        <f t="shared" si="406"/>
        <v>5.4328890104131E-2</v>
      </c>
      <c r="U91" s="135">
        <f t="shared" si="406"/>
        <v>-1</v>
      </c>
      <c r="V91" s="135" t="e">
        <f t="shared" si="406"/>
        <v>#DIV/0!</v>
      </c>
      <c r="W91" s="135" t="e">
        <f t="shared" si="406"/>
        <v>#DIV/0!</v>
      </c>
      <c r="X91" s="135" t="e">
        <f t="shared" si="406"/>
        <v>#DIV/0!</v>
      </c>
      <c r="Y91" s="135" t="e">
        <f t="shared" si="406"/>
        <v>#DIV/0!</v>
      </c>
      <c r="Z91" s="135" t="e">
        <f t="shared" si="406"/>
        <v>#DIV/0!</v>
      </c>
      <c r="AA91" s="135" t="e">
        <f t="shared" si="406"/>
        <v>#DIV/0!</v>
      </c>
      <c r="AB91" s="135" t="e">
        <f t="shared" si="406"/>
        <v>#DIV/0!</v>
      </c>
      <c r="AC91" s="135" t="e">
        <f t="shared" si="406"/>
        <v>#DIV/0!</v>
      </c>
      <c r="AD91" s="135" t="e">
        <f t="shared" si="406"/>
        <v>#DIV/0!</v>
      </c>
      <c r="AE91" s="135" t="e">
        <f t="shared" si="406"/>
        <v>#DIV/0!</v>
      </c>
      <c r="AF91" s="135" t="e">
        <f t="shared" si="406"/>
        <v>#DIV/0!</v>
      </c>
      <c r="AG91" s="135" t="e">
        <f t="shared" si="406"/>
        <v>#DIV/0!</v>
      </c>
    </row>
    <row r="92" spans="2:33" x14ac:dyDescent="0.3">
      <c r="B92" s="10"/>
      <c r="C92" s="10"/>
      <c r="D92" s="25"/>
    </row>
    <row r="93" spans="2:33" x14ac:dyDescent="0.3">
      <c r="B93" s="4" t="s">
        <v>28</v>
      </c>
      <c r="C93" s="4"/>
      <c r="D93" s="2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</row>
    <row r="94" spans="2:33" x14ac:dyDescent="0.3">
      <c r="B94" s="10"/>
      <c r="C94" s="10"/>
      <c r="D94" s="25"/>
    </row>
    <row r="95" spans="2:33" x14ac:dyDescent="0.3">
      <c r="B95" s="22" t="s">
        <v>29</v>
      </c>
      <c r="C95" s="22"/>
      <c r="D95" s="45">
        <f ca="1">SUM(D96:D97)</f>
        <v>226673.44089927259</v>
      </c>
      <c r="E95" s="45">
        <f t="shared" ref="E95:AG95" ca="1" si="407">SUM(E96:E97)</f>
        <v>213804.60923056823</v>
      </c>
      <c r="F95" s="45">
        <f t="shared" ca="1" si="407"/>
        <v>189804.58949982756</v>
      </c>
      <c r="G95" s="45">
        <f t="shared" ca="1" si="407"/>
        <v>180995.40767948423</v>
      </c>
      <c r="H95" s="45">
        <f t="shared" ca="1" si="407"/>
        <v>193872.48782489932</v>
      </c>
      <c r="I95" s="45">
        <f t="shared" ca="1" si="407"/>
        <v>151241.76214825362</v>
      </c>
      <c r="J95" s="45">
        <f t="shared" ca="1" si="407"/>
        <v>145761.18477431324</v>
      </c>
      <c r="K95" s="45">
        <f t="shared" ca="1" si="407"/>
        <v>146512.6044786658</v>
      </c>
      <c r="L95" s="45">
        <f t="shared" ca="1" si="407"/>
        <v>146281.79565444886</v>
      </c>
      <c r="M95" s="45">
        <f t="shared" ca="1" si="407"/>
        <v>149541.64884210285</v>
      </c>
      <c r="N95" s="45">
        <f t="shared" ca="1" si="407"/>
        <v>136987.04611074881</v>
      </c>
      <c r="O95" s="45">
        <f t="shared" ca="1" si="407"/>
        <v>144330.33580521448</v>
      </c>
      <c r="P95" s="45">
        <f t="shared" ca="1" si="407"/>
        <v>143514.95642327541</v>
      </c>
      <c r="Q95" s="45">
        <f t="shared" ca="1" si="407"/>
        <v>142376.46938525003</v>
      </c>
      <c r="R95" s="45">
        <f t="shared" ca="1" si="407"/>
        <v>141149.52008389335</v>
      </c>
      <c r="S95" s="45">
        <f t="shared" ca="1" si="407"/>
        <v>123998.39737344311</v>
      </c>
      <c r="T95" s="45">
        <f t="shared" ca="1" si="407"/>
        <v>126174.76117671888</v>
      </c>
      <c r="U95" s="45" t="e">
        <f t="shared" ca="1" si="407"/>
        <v>#N/A</v>
      </c>
      <c r="V95" s="45" t="e">
        <f t="shared" ca="1" si="407"/>
        <v>#N/A</v>
      </c>
      <c r="W95" s="45" t="e">
        <f t="shared" ca="1" si="407"/>
        <v>#N/A</v>
      </c>
      <c r="X95" s="45" t="e">
        <f t="shared" ca="1" si="407"/>
        <v>#N/A</v>
      </c>
      <c r="Y95" s="45" t="e">
        <f t="shared" ca="1" si="407"/>
        <v>#N/A</v>
      </c>
      <c r="Z95" s="45" t="e">
        <f t="shared" ca="1" si="407"/>
        <v>#N/A</v>
      </c>
      <c r="AA95" s="45" t="e">
        <f t="shared" ca="1" si="407"/>
        <v>#N/A</v>
      </c>
      <c r="AB95" s="45" t="e">
        <f t="shared" ca="1" si="407"/>
        <v>#N/A</v>
      </c>
      <c r="AC95" s="45" t="e">
        <f t="shared" ca="1" si="407"/>
        <v>#N/A</v>
      </c>
      <c r="AD95" s="45" t="e">
        <f t="shared" ca="1" si="407"/>
        <v>#N/A</v>
      </c>
      <c r="AE95" s="45" t="e">
        <f t="shared" ca="1" si="407"/>
        <v>#N/A</v>
      </c>
      <c r="AF95" s="45" t="e">
        <f t="shared" ca="1" si="407"/>
        <v>#N/A</v>
      </c>
      <c r="AG95" s="45" t="e">
        <f t="shared" ca="1" si="407"/>
        <v>#N/A</v>
      </c>
    </row>
    <row r="96" spans="2:33" x14ac:dyDescent="0.3">
      <c r="B96" s="10" t="s">
        <v>30</v>
      </c>
      <c r="C96" s="22"/>
      <c r="D96" s="68">
        <f ca="1">(D46+D57+D68-D51-D62-D73)*Hypothèses!$D$43</f>
        <v>-1238.9942066212266</v>
      </c>
      <c r="E96" s="68">
        <f ca="1">(E46+E57+E68-E51-E62-E73)*Hypothèses!$D$43</f>
        <v>-1117.1614877803515</v>
      </c>
      <c r="F96" s="68">
        <f ca="1">(F46+F57+F68-F51-F62-F73)*Hypothèses!$D$43</f>
        <v>-839.60085505821428</v>
      </c>
      <c r="G96" s="68">
        <f ca="1">(G46+G57+G68-G51-G62-G73)*Hypothèses!$D$43</f>
        <v>-757.17206965343746</v>
      </c>
      <c r="H96" s="68">
        <f ca="1">(H46+H57+H68-H51-H62-H73)*Hypothèses!$D$43</f>
        <v>-550.72320797188263</v>
      </c>
      <c r="I96" s="68">
        <f ca="1">(I46+I57+I68-I51-I62-I73)*Hypothèses!$D$43</f>
        <v>580.35213020363494</v>
      </c>
      <c r="J96" s="68">
        <f ca="1">(J46+J57+J68-J51-J62-J73)*Hypothèses!$D$43</f>
        <v>1410.8993846078877</v>
      </c>
      <c r="K96" s="68">
        <f ca="1">(K46+K57+K68-K51-K62-K73)*Hypothèses!$D$43</f>
        <v>2836.6701761421182</v>
      </c>
      <c r="L96" s="68">
        <f ca="1">(L46+L57+L68-L51-L62-L73)*Hypothèses!$D$43</f>
        <v>1884.8824102106914</v>
      </c>
      <c r="M96" s="68">
        <f ca="1">(M46+M57+M68-M51-M62-M73)*Hypothèses!$D$43</f>
        <v>1967.8690069306658</v>
      </c>
      <c r="N96" s="68">
        <f ca="1">(N46+N57+N68-N51-N62-N73)*Hypothèses!$D$43</f>
        <v>1785.8580938401258</v>
      </c>
      <c r="O96" s="68">
        <f ca="1">(O46+O57+O68-O51-O62-O73)*Hypothèses!$D$43</f>
        <v>2493.1681154840594</v>
      </c>
      <c r="P96" s="68">
        <f ca="1">(P46+P57+P68-P51-P62-P73)*Hypothèses!$D$43</f>
        <v>1764.6139371446111</v>
      </c>
      <c r="Q96" s="68">
        <f ca="1">(Q46+Q57+Q68-Q51-Q62-Q73)*Hypothèses!$D$43</f>
        <v>3439.0715496943608</v>
      </c>
      <c r="R96" s="68">
        <f ca="1">(R46+R57+R68-R51-R62-R73)*Hypothèses!$D$43</f>
        <v>2777.2883458206625</v>
      </c>
      <c r="S96" s="68">
        <f ca="1">(S46+S57+S68-S51-S62-S73)*Hypothèses!$D$43</f>
        <v>7674.7064645173459</v>
      </c>
      <c r="T96" s="68">
        <f ca="1">(T46+T57+T68-T51-T62-T73)*Hypothèses!$D$43</f>
        <v>11173.494203325385</v>
      </c>
      <c r="U96" s="68" t="e">
        <f ca="1">(U46+U57+U68-U51-U62-U73)*Hypothèses!$D$43</f>
        <v>#N/A</v>
      </c>
      <c r="V96" s="68" t="e">
        <f ca="1">(V46+V57+V68-V51-V62-V73)*Hypothèses!$D$43</f>
        <v>#N/A</v>
      </c>
      <c r="W96" s="68" t="e">
        <f ca="1">(W46+W57+W68-W51-W62-W73)*Hypothèses!$D$43</f>
        <v>#N/A</v>
      </c>
      <c r="X96" s="68" t="e">
        <f ca="1">(X46+X57+X68-X51-X62-X73)*Hypothèses!$D$43</f>
        <v>#N/A</v>
      </c>
      <c r="Y96" s="68" t="e">
        <f ca="1">(Y46+Y57+Y68-Y51-Y62-Y73)*Hypothèses!$D$43</f>
        <v>#N/A</v>
      </c>
      <c r="Z96" s="68" t="e">
        <f ca="1">(Z46+Z57+Z68-Z51-Z62-Z73)*Hypothèses!$D$43</f>
        <v>#N/A</v>
      </c>
      <c r="AA96" s="68" t="e">
        <f ca="1">(AA46+AA57+AA68-AA51-AA62-AA73)*Hypothèses!$D$43</f>
        <v>#N/A</v>
      </c>
      <c r="AB96" s="68" t="e">
        <f ca="1">(AB46+AB57+AB68-AB51-AB62-AB73)*Hypothèses!$D$43</f>
        <v>#N/A</v>
      </c>
      <c r="AC96" s="68" t="e">
        <f ca="1">(AC46+AC57+AC68-AC51-AC62-AC73)*Hypothèses!$D$43</f>
        <v>#N/A</v>
      </c>
      <c r="AD96" s="68" t="e">
        <f ca="1">(AD46+AD57+AD68-AD51-AD62-AD73)*Hypothèses!$D$43</f>
        <v>#N/A</v>
      </c>
      <c r="AE96" s="68" t="e">
        <f ca="1">(AE46+AE57+AE68-AE51-AE62-AE73)*Hypothèses!$D$43</f>
        <v>#N/A</v>
      </c>
      <c r="AF96" s="68" t="e">
        <f ca="1">(AF46+AF57+AF68-AF51-AF62-AF73)*Hypothèses!$D$43</f>
        <v>#N/A</v>
      </c>
      <c r="AG96" s="68" t="e">
        <f ca="1">(AG46+AG57+AG68-AG51-AG62-AG73)*Hypothèses!$D$43</f>
        <v>#N/A</v>
      </c>
    </row>
    <row r="97" spans="2:34" ht="14.5" customHeight="1" x14ac:dyDescent="0.3">
      <c r="B97" s="10" t="s">
        <v>31</v>
      </c>
      <c r="C97" s="22"/>
      <c r="D97" s="73">
        <f ca="1">D87+(D83+D79)*Hypothèses!$D$43</f>
        <v>227912.43510589382</v>
      </c>
      <c r="E97" s="73">
        <f ca="1">E87+(E83+E79)*Hypothèses!$D$43</f>
        <v>214921.77071834859</v>
      </c>
      <c r="F97" s="73">
        <f ca="1">F87+(F83+F79)*Hypothèses!$D$43</f>
        <v>190644.19035488577</v>
      </c>
      <c r="G97" s="73">
        <f ca="1">G87+(G83+G79)*Hypothèses!$D$43</f>
        <v>181752.57974913766</v>
      </c>
      <c r="H97" s="73">
        <f ca="1">H87+(H83+H79)*Hypothèses!$D$43</f>
        <v>194423.21103287122</v>
      </c>
      <c r="I97" s="73">
        <f ca="1">I87+(I83+I79)*Hypothèses!$D$43</f>
        <v>150661.41001805</v>
      </c>
      <c r="J97" s="73">
        <f ca="1">J87+(J83+J79)*Hypothèses!$D$43</f>
        <v>144350.28538970536</v>
      </c>
      <c r="K97" s="73">
        <f ca="1">K87+(K83+K79)*Hypothèses!$D$43</f>
        <v>143675.93430252367</v>
      </c>
      <c r="L97" s="73">
        <f ca="1">L87+(L83+L79)*Hypothèses!$D$43</f>
        <v>144396.91324423815</v>
      </c>
      <c r="M97" s="73">
        <f ca="1">M87+(M83+M79)*Hypothèses!$D$43</f>
        <v>147573.77983517217</v>
      </c>
      <c r="N97" s="73">
        <f ca="1">N87+(N83+N79)*Hypothèses!$D$43</f>
        <v>135201.18801690868</v>
      </c>
      <c r="O97" s="73">
        <f ca="1">O87+(O83+O79)*Hypothèses!$D$43</f>
        <v>141837.16768973041</v>
      </c>
      <c r="P97" s="73">
        <f ca="1">P87+(P83+P79)*Hypothèses!$D$43</f>
        <v>141750.3424861308</v>
      </c>
      <c r="Q97" s="73">
        <f ca="1">Q87+(Q83+Q79)*Hypothèses!$D$43</f>
        <v>138937.39783555566</v>
      </c>
      <c r="R97" s="73">
        <f ca="1">R87+(R83+R79)*Hypothèses!$D$43</f>
        <v>138372.2317380727</v>
      </c>
      <c r="S97" s="73">
        <f ca="1">S87+(S83+S79)*Hypothèses!$D$43</f>
        <v>116323.69090892575</v>
      </c>
      <c r="T97" s="73">
        <f ca="1">T87+(T83+T79)*Hypothèses!$D$43</f>
        <v>115001.26697339349</v>
      </c>
      <c r="U97" s="73" t="e">
        <f ca="1">U87+(U83+U79)*Hypothèses!$D$43</f>
        <v>#N/A</v>
      </c>
      <c r="V97" s="73" t="e">
        <f ca="1">V87+(V83+V79)*Hypothèses!$D$43</f>
        <v>#N/A</v>
      </c>
      <c r="W97" s="73" t="e">
        <f ca="1">W87+(W83+W79)*Hypothèses!$D$43</f>
        <v>#N/A</v>
      </c>
      <c r="X97" s="73" t="e">
        <f ca="1">X87+(X83+X79)*Hypothèses!$D$43</f>
        <v>#N/A</v>
      </c>
      <c r="Y97" s="73" t="e">
        <f ca="1">Y87+(Y83+Y79)*Hypothèses!$D$43</f>
        <v>#N/A</v>
      </c>
      <c r="Z97" s="73" t="e">
        <f ca="1">Z87+(Z83+Z79)*Hypothèses!$D$43</f>
        <v>#N/A</v>
      </c>
      <c r="AA97" s="73" t="e">
        <f ca="1">AA87+(AA83+AA79)*Hypothèses!$D$43</f>
        <v>#N/A</v>
      </c>
      <c r="AB97" s="73" t="e">
        <f ca="1">AB87+(AB83+AB79)*Hypothèses!$D$43</f>
        <v>#N/A</v>
      </c>
      <c r="AC97" s="73" t="e">
        <f ca="1">AC87+(AC83+AC79)*Hypothèses!$D$43</f>
        <v>#N/A</v>
      </c>
      <c r="AD97" s="73" t="e">
        <f ca="1">AD87+(AD83+AD79)*Hypothèses!$D$43</f>
        <v>#N/A</v>
      </c>
      <c r="AE97" s="73" t="e">
        <f ca="1">AE87+(AE83+AE79)*Hypothèses!$D$43</f>
        <v>#N/A</v>
      </c>
      <c r="AF97" s="73" t="e">
        <f ca="1">AF87+(AF83+AF79)*Hypothèses!$D$43</f>
        <v>#N/A</v>
      </c>
      <c r="AG97" s="73" t="e">
        <f ca="1">AG87+(AG83+AG79)*Hypothèses!$D$43</f>
        <v>#N/A</v>
      </c>
    </row>
    <row r="98" spans="2:34" s="80" customFormat="1" ht="14.5" x14ac:dyDescent="0.35">
      <c r="B98" s="81"/>
      <c r="C98" s="82"/>
      <c r="D98" s="166"/>
      <c r="E98" s="166"/>
      <c r="F98" s="166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</row>
    <row r="99" spans="2:34" x14ac:dyDescent="0.3">
      <c r="B99" s="22" t="s">
        <v>32</v>
      </c>
      <c r="C99" s="22">
        <f ca="1">1 - (SUM(D99:T99)/SUM(D95:T95))</f>
        <v>0.70030797966940461</v>
      </c>
      <c r="D99" s="45">
        <f ca="1">SUM(D100:D106)</f>
        <v>50518.118731806004</v>
      </c>
      <c r="E99" s="45">
        <f t="shared" ref="E99:R99" ca="1" si="408">SUM(E100:E106)</f>
        <v>49828.1924132063</v>
      </c>
      <c r="F99" s="45">
        <f t="shared" ca="1" si="408"/>
        <v>48587.608436143666</v>
      </c>
      <c r="G99" s="45">
        <f t="shared" ca="1" si="408"/>
        <v>48110.781779894816</v>
      </c>
      <c r="H99" s="45">
        <f t="shared" ca="1" si="408"/>
        <v>48735.980474468444</v>
      </c>
      <c r="I99" s="45">
        <f t="shared" ca="1" si="408"/>
        <v>46860.144259073801</v>
      </c>
      <c r="J99" s="45">
        <f t="shared" ca="1" si="408"/>
        <v>46748.368371576362</v>
      </c>
      <c r="K99" s="45">
        <f t="shared" ca="1" si="408"/>
        <v>47093.582284340802</v>
      </c>
      <c r="L99" s="45">
        <f t="shared" ca="1" si="408"/>
        <v>46797.87253159508</v>
      </c>
      <c r="M99" s="45">
        <f t="shared" ca="1" si="408"/>
        <v>47015.262958382002</v>
      </c>
      <c r="N99" s="45">
        <f t="shared" ca="1" si="408"/>
        <v>46291.446996733517</v>
      </c>
      <c r="O99" s="45">
        <f t="shared" ca="1" si="408"/>
        <v>46915.322657399876</v>
      </c>
      <c r="P99" s="45">
        <f t="shared" ca="1" si="408"/>
        <v>46642.367505926835</v>
      </c>
      <c r="Q99" s="45">
        <f t="shared" ca="1" si="408"/>
        <v>47061.68233357642</v>
      </c>
      <c r="R99" s="45">
        <f t="shared" ca="1" si="408"/>
        <v>46792.242661299999</v>
      </c>
      <c r="S99" s="45">
        <f t="shared" ref="S99:AG99" ca="1" si="409">SUM(S100:S106) * S44 *1</f>
        <v>47383.437529636212</v>
      </c>
      <c r="T99" s="45">
        <f t="shared" ca="1" si="409"/>
        <v>48691.417772724322</v>
      </c>
      <c r="U99" s="45" t="e">
        <f t="shared" ca="1" si="409"/>
        <v>#N/A</v>
      </c>
      <c r="V99" s="45" t="e">
        <f t="shared" ca="1" si="409"/>
        <v>#N/A</v>
      </c>
      <c r="W99" s="45" t="e">
        <f t="shared" ca="1" si="409"/>
        <v>#N/A</v>
      </c>
      <c r="X99" s="45" t="e">
        <f t="shared" ca="1" si="409"/>
        <v>#N/A</v>
      </c>
      <c r="Y99" s="45" t="e">
        <f t="shared" ca="1" si="409"/>
        <v>#N/A</v>
      </c>
      <c r="Z99" s="45" t="e">
        <f t="shared" ca="1" si="409"/>
        <v>#N/A</v>
      </c>
      <c r="AA99" s="45" t="e">
        <f t="shared" ca="1" si="409"/>
        <v>#N/A</v>
      </c>
      <c r="AB99" s="45" t="e">
        <f t="shared" ca="1" si="409"/>
        <v>#N/A</v>
      </c>
      <c r="AC99" s="45" t="e">
        <f t="shared" ca="1" si="409"/>
        <v>#N/A</v>
      </c>
      <c r="AD99" s="45" t="e">
        <f t="shared" ca="1" si="409"/>
        <v>#N/A</v>
      </c>
      <c r="AE99" s="45" t="e">
        <f t="shared" ca="1" si="409"/>
        <v>#N/A</v>
      </c>
      <c r="AF99" s="45" t="e">
        <f t="shared" ca="1" si="409"/>
        <v>#N/A</v>
      </c>
      <c r="AG99" s="45" t="e">
        <f t="shared" ca="1" si="409"/>
        <v>#N/A</v>
      </c>
    </row>
    <row r="100" spans="2:34" ht="16" customHeight="1" x14ac:dyDescent="0.3">
      <c r="B100" s="10" t="s">
        <v>33</v>
      </c>
      <c r="C100" s="10"/>
      <c r="D100" s="73">
        <f>IF(D43&lt;=$C$36,(Hypothèses!$D$27*Hypothèses!$D$25)*(1+$C$37)^C43,0)</f>
        <v>15533.333333333332</v>
      </c>
      <c r="E100" s="73">
        <f>IF(E43&lt;=$C$36,(Hypothèses!$D$27*Hypothèses!$D$25)*(1+$C$37)^D43,0)</f>
        <v>15688.666666666666</v>
      </c>
      <c r="F100" s="73">
        <f>IF(F43&lt;=$C$36,(Hypothèses!$D$27*Hypothèses!$D$25)*(1+$C$37)^E43,0)</f>
        <v>15845.553333333331</v>
      </c>
      <c r="G100" s="73">
        <f>IF(G43&lt;=$C$36,(Hypothèses!$D$27*Hypothèses!$D$25)*(1+$C$37)^F43,0)</f>
        <v>16004.008866666663</v>
      </c>
      <c r="H100" s="73">
        <f>IF(H43&lt;=$C$36,(Hypothèses!$D$27*Hypothèses!$D$25)*(1+$C$37)^G43,0)</f>
        <v>16164.048955333332</v>
      </c>
      <c r="I100" s="73">
        <f>IF(I43&lt;=$C$36,(Hypothèses!$D$27*Hypothèses!$D$25)*(1+$C$37)^H43,0)</f>
        <v>16325.689444886664</v>
      </c>
      <c r="J100" s="73">
        <f>IF(J43&lt;=$C$36,(Hypothèses!$D$27*Hypothèses!$D$25)*(1+$C$37)^I43,0)</f>
        <v>16488.946339335533</v>
      </c>
      <c r="K100" s="73">
        <f>IF(K43&lt;=$C$36,(Hypothèses!$D$27*Hypothèses!$D$25)*(1+$C$37)^J43,0)</f>
        <v>16653.835802728885</v>
      </c>
      <c r="L100" s="73">
        <f>IF(L43&lt;=$C$36,(Hypothèses!$D$27*Hypothèses!$D$25)*(1+$C$37)^K43,0)</f>
        <v>16820.374160756179</v>
      </c>
      <c r="M100" s="73">
        <f>IF(M43&lt;=$C$36,(Hypothèses!$D$27*Hypothèses!$D$25)*(1+$C$37)^L43,0)</f>
        <v>16988.577902363741</v>
      </c>
      <c r="N100" s="73">
        <f>IF(N43&lt;=$C$36,(Hypothèses!$D$27*Hypothèses!$D$25)*(1+$C$37)^M43,0)</f>
        <v>17158.46368138738</v>
      </c>
      <c r="O100" s="73">
        <f>IF(O43&lt;=$C$36,(Hypothèses!$D$27*Hypothèses!$D$25)*(1+$C$37)^N43,0)</f>
        <v>17330.04831820125</v>
      </c>
      <c r="P100" s="73">
        <f>IF(P43&lt;=$C$36,(Hypothèses!$D$27*Hypothèses!$D$25)*(1+$C$37)^O43,0)</f>
        <v>17503.348801383261</v>
      </c>
      <c r="Q100" s="73">
        <f>IF(Q43&lt;=$C$36,(Hypothèses!$D$27*Hypothèses!$D$25)*(1+$C$37)^P43,0)</f>
        <v>17678.382289397097</v>
      </c>
      <c r="R100" s="73">
        <f>IF(R43&lt;=$C$36,(Hypothèses!$D$27*Hypothèses!$D$25)*(1+$C$37)^Q43,0)</f>
        <v>17855.16611229107</v>
      </c>
      <c r="S100" s="73">
        <f>IF(S43&lt;=$C$36,(Hypothèses!$D$27*Hypothèses!$D$25)*(1+$C$37)^R43,0)</f>
        <v>18033.717773413973</v>
      </c>
      <c r="T100" s="73">
        <f>IF(T43&lt;=$C$36,(Hypothèses!$D$27*Hypothèses!$D$25)*(1+$C$37)^S43,0)</f>
        <v>18214.054951148119</v>
      </c>
      <c r="U100" s="73">
        <f>IF(U43&lt;=$C$36,(Hypothèses!$D$27*Hypothèses!$D$25)*(1+$C$37)^T43,0)</f>
        <v>0</v>
      </c>
      <c r="V100" s="73">
        <f>IF(V43&lt;=$C$36,(Hypothèses!$D$27*Hypothèses!$D$25)*(1+$C$37)^U43,0)</f>
        <v>0</v>
      </c>
      <c r="W100" s="73">
        <f>IF(W43&lt;=$C$36,(Hypothèses!$D$27*Hypothèses!$D$25)*(1+$C$37)^V43,0)</f>
        <v>0</v>
      </c>
      <c r="X100" s="73">
        <f>IF(X43&lt;=$C$36,(Hypothèses!$D$27*Hypothèses!$D$25)*(1+$C$37)^W43,0)</f>
        <v>0</v>
      </c>
      <c r="Y100" s="73">
        <f>IF(Y43&lt;=$C$36,(Hypothèses!$D$27*Hypothèses!$D$25)*(1+$C$37)^X43,0)</f>
        <v>0</v>
      </c>
      <c r="Z100" s="73">
        <f>IF(Z43&lt;=$C$36,(Hypothèses!$D$27*Hypothèses!$D$25)*(1+$C$37)^Y43,0)</f>
        <v>0</v>
      </c>
      <c r="AA100" s="73">
        <f>IF(AA43&lt;=$C$36,(Hypothèses!$D$27*Hypothèses!$D$25)*(1+$C$37)^Z43,0)</f>
        <v>0</v>
      </c>
      <c r="AB100" s="73">
        <f>IF(AB43&lt;=$C$36,(Hypothèses!$D$27*Hypothèses!$D$25)*(1+$C$37)^AA43,0)</f>
        <v>0</v>
      </c>
      <c r="AC100" s="73">
        <f>IF(AC43&lt;=$C$36,(Hypothèses!$D$27*Hypothèses!$D$25)*(1+$C$37)^AB43,0)</f>
        <v>0</v>
      </c>
      <c r="AD100" s="73">
        <f>IF(AD43&lt;=$C$36,(Hypothèses!$D$27*Hypothèses!$D$25)*(1+$C$37)^AC43,0)</f>
        <v>0</v>
      </c>
      <c r="AE100" s="73">
        <f>IF(AE43&lt;=$C$36,(Hypothèses!$D$27*Hypothèses!$D$25)*(1+$C$37)^AD43,0)</f>
        <v>0</v>
      </c>
      <c r="AF100" s="73">
        <f>IF(AF43&lt;=$C$36,(Hypothèses!$D$27*Hypothèses!$D$25)*(1+$C$37)^AE43,0)</f>
        <v>0</v>
      </c>
      <c r="AG100" s="73">
        <f>IF(AG43&lt;=$C$36,(Hypothèses!$D$27*Hypothèses!$D$25)*(1+$C$37)^AF43,0)</f>
        <v>0</v>
      </c>
    </row>
    <row r="101" spans="2:34" x14ac:dyDescent="0.3">
      <c r="B101" s="10" t="s">
        <v>34</v>
      </c>
      <c r="C101" s="10"/>
      <c r="D101" s="73">
        <f>IF(D43&lt;=$C$36,Hypothèses!$D$37*(1+$C$37)^C43,0)</f>
        <v>0</v>
      </c>
      <c r="E101" s="73">
        <f>IF(E43&lt;=$C$36,Hypothèses!$D$37*(1+$C$37)^D43,0)</f>
        <v>0</v>
      </c>
      <c r="F101" s="73">
        <f>IF(F43&lt;=$C$36,Hypothèses!$D$37*(1+$C$37)^E43,0)</f>
        <v>0</v>
      </c>
      <c r="G101" s="73">
        <f>IF(G43&lt;=$C$36,Hypothèses!$D$37*(1+$C$37)^F43,0)</f>
        <v>0</v>
      </c>
      <c r="H101" s="73">
        <f>IF(H43&lt;=$C$36,Hypothèses!$D$37*(1+$C$37)^G43,0)</f>
        <v>0</v>
      </c>
      <c r="I101" s="73">
        <f>IF(I43&lt;=$C$36,Hypothèses!$D$37*(1+$C$37)^H43,0)</f>
        <v>0</v>
      </c>
      <c r="J101" s="73">
        <f>IF(J43&lt;=$C$36,Hypothèses!$D$37*(1+$C$37)^I43,0)</f>
        <v>0</v>
      </c>
      <c r="K101" s="73">
        <f>IF(K43&lt;=$C$36,Hypothèses!$D$37*(1+$C$37)^J43,0)</f>
        <v>0</v>
      </c>
      <c r="L101" s="73">
        <f>IF(L43&lt;=$C$36,Hypothèses!$D$37*(1+$C$37)^K43,0)</f>
        <v>0</v>
      </c>
      <c r="M101" s="73">
        <f>IF(M43&lt;=$C$36,Hypothèses!$D$37*(1+$C$37)^L43,0)</f>
        <v>0</v>
      </c>
      <c r="N101" s="73">
        <f>IF(N43&lt;=$C$36,Hypothèses!$D$37*(1+$C$37)^M43,0)</f>
        <v>0</v>
      </c>
      <c r="O101" s="73">
        <f>IF(O43&lt;=$C$36,Hypothèses!$D$37*(1+$C$37)^N43,0)</f>
        <v>0</v>
      </c>
      <c r="P101" s="73">
        <f>IF(P43&lt;=$C$36,Hypothèses!$D$37*(1+$C$37)^O43,0)</f>
        <v>0</v>
      </c>
      <c r="Q101" s="73">
        <f>IF(Q43&lt;=$C$36,Hypothèses!$D$37*(1+$C$37)^P43,0)</f>
        <v>0</v>
      </c>
      <c r="R101" s="73">
        <f>IF(R43&lt;=$C$36,Hypothèses!$D$37*(1+$C$37)^Q43,0)</f>
        <v>0</v>
      </c>
      <c r="S101" s="73">
        <f>IF(S43&lt;=$C$36,Hypothèses!$D$37*(1+$C$37)^R43,0)</f>
        <v>0</v>
      </c>
      <c r="T101" s="73">
        <f>IF(T43&lt;=$C$36,Hypothèses!$D$37*(1+$C$37)^S43,0)</f>
        <v>0</v>
      </c>
      <c r="U101" s="73">
        <f>IF(U43&lt;=$C$36,Hypothèses!$D$37*(1+$C$37)^T43,0)</f>
        <v>0</v>
      </c>
      <c r="V101" s="73">
        <f>IF(V43&lt;=$C$36,Hypothèses!$D$37*(1+$C$37)^U43,0)</f>
        <v>0</v>
      </c>
      <c r="W101" s="73">
        <f>IF(W43&lt;=$C$36,Hypothèses!$D$37*(1+$C$37)^V43,0)</f>
        <v>0</v>
      </c>
      <c r="X101" s="73">
        <f>IF(X43&lt;=$C$36,Hypothèses!$D$37*(1+$C$37)^W43,0)</f>
        <v>0</v>
      </c>
      <c r="Y101" s="73">
        <f>IF(Y43&lt;=$C$36,Hypothèses!$D$37*(1+$C$37)^X43,0)</f>
        <v>0</v>
      </c>
      <c r="Z101" s="73">
        <f>IF(Z43&lt;=$C$36,Hypothèses!$D$37*(1+$C$37)^Y43,0)</f>
        <v>0</v>
      </c>
      <c r="AA101" s="73">
        <f>IF(AA43&lt;=$C$36,Hypothèses!$D$37*(1+$C$37)^Z43,0)</f>
        <v>0</v>
      </c>
      <c r="AB101" s="73">
        <f>IF(AB43&lt;=$C$36,Hypothèses!$D$37*(1+$C$37)^AA43,0)</f>
        <v>0</v>
      </c>
      <c r="AC101" s="73">
        <f>IF(AC43&lt;=$C$36,Hypothèses!$D$37*(1+$C$37)^AB43,0)</f>
        <v>0</v>
      </c>
      <c r="AD101" s="73">
        <f>IF(AD43&lt;=$C$36,Hypothèses!$D$37*(1+$C$37)^AC43,0)</f>
        <v>0</v>
      </c>
      <c r="AE101" s="73">
        <f>IF(AE43&lt;=$C$36,Hypothèses!$D$37*(1+$C$37)^AD43,0)</f>
        <v>0</v>
      </c>
      <c r="AF101" s="73">
        <f>IF(AF43&lt;=$C$36,Hypothèses!$D$37*(1+$C$37)^AE43,0)</f>
        <v>0</v>
      </c>
      <c r="AG101" s="73">
        <f>IF(AG43&lt;=$C$36,Hypothèses!$D$37*(1+$C$37)^AF43,0)</f>
        <v>0</v>
      </c>
    </row>
    <row r="102" spans="2:34" x14ac:dyDescent="0.3">
      <c r="B102" s="10" t="s">
        <v>35</v>
      </c>
      <c r="C102" s="10"/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0</v>
      </c>
      <c r="R102" s="73">
        <v>0</v>
      </c>
      <c r="S102" s="73">
        <v>0</v>
      </c>
      <c r="T102" s="73">
        <v>0</v>
      </c>
      <c r="U102" s="73">
        <v>0</v>
      </c>
      <c r="V102" s="73">
        <v>0</v>
      </c>
      <c r="W102" s="73">
        <v>0</v>
      </c>
      <c r="X102" s="73">
        <v>0</v>
      </c>
      <c r="Y102" s="73">
        <v>0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</row>
    <row r="103" spans="2:34" x14ac:dyDescent="0.3">
      <c r="B103" s="23" t="s">
        <v>196</v>
      </c>
      <c r="C103" s="10"/>
      <c r="D103" s="73">
        <f ca="1">Hypothèses!$D$38*BP!D95</f>
        <v>11333.67204496363</v>
      </c>
      <c r="E103" s="73">
        <f ca="1">Hypothèses!$D$38*BP!E95</f>
        <v>10690.230461528412</v>
      </c>
      <c r="F103" s="73">
        <f ca="1">Hypothèses!$D$38*BP!F95</f>
        <v>9490.2294749913781</v>
      </c>
      <c r="G103" s="73">
        <f ca="1">Hypothèses!$D$38*BP!G95</f>
        <v>9049.7703839742117</v>
      </c>
      <c r="H103" s="73">
        <f ca="1">Hypothèses!$D$38*BP!H95</f>
        <v>9693.6243912449663</v>
      </c>
      <c r="I103" s="73">
        <f ca="1">Hypothèses!$D$38*BP!I95</f>
        <v>7562.088107412681</v>
      </c>
      <c r="J103" s="73">
        <f ca="1">Hypothèses!$D$38*BP!J95</f>
        <v>7288.0592387156621</v>
      </c>
      <c r="K103" s="73">
        <f ca="1">Hypothèses!$D$38*BP!K95</f>
        <v>7325.6302239332908</v>
      </c>
      <c r="L103" s="73">
        <f ca="1">Hypothèses!$D$38*BP!L95</f>
        <v>7314.0897827224435</v>
      </c>
      <c r="M103" s="73">
        <f ca="1">Hypothèses!$D$38*BP!M95</f>
        <v>7477.0824421051429</v>
      </c>
      <c r="N103" s="73">
        <f ca="1">Hypothèses!$D$38*BP!N95</f>
        <v>6849.3523055374408</v>
      </c>
      <c r="O103" s="73">
        <f ca="1">Hypothèses!$D$38*BP!O95</f>
        <v>7216.5167902607245</v>
      </c>
      <c r="P103" s="73">
        <f ca="1">Hypothèses!$D$38*BP!P95</f>
        <v>7175.7478211637708</v>
      </c>
      <c r="Q103" s="73">
        <f ca="1">Hypothèses!$D$38*BP!Q95</f>
        <v>7118.8234692625019</v>
      </c>
      <c r="R103" s="73">
        <f ca="1">Hypothèses!$D$38*BP!R95</f>
        <v>7057.4760041946683</v>
      </c>
      <c r="S103" s="73">
        <f ca="1">Hypothèses!$D$38*BP!S95</f>
        <v>6199.9198686721556</v>
      </c>
      <c r="T103" s="73">
        <f ca="1">Hypothèses!$D$38*BP!T95</f>
        <v>6308.7380588359447</v>
      </c>
      <c r="U103" s="73" t="e">
        <f ca="1">Hypothèses!$D$38*BP!U95</f>
        <v>#N/A</v>
      </c>
      <c r="V103" s="73" t="e">
        <f ca="1">Hypothèses!$D$38*BP!V95</f>
        <v>#N/A</v>
      </c>
      <c r="W103" s="73" t="e">
        <f ca="1">Hypothèses!$D$38*BP!W95</f>
        <v>#N/A</v>
      </c>
      <c r="X103" s="73" t="e">
        <f ca="1">Hypothèses!$D$38*BP!X95</f>
        <v>#N/A</v>
      </c>
      <c r="Y103" s="73" t="e">
        <f ca="1">Hypothèses!$D$38*BP!Y95</f>
        <v>#N/A</v>
      </c>
      <c r="Z103" s="73" t="e">
        <f ca="1">Hypothèses!$D$38*BP!Z95</f>
        <v>#N/A</v>
      </c>
      <c r="AA103" s="73" t="e">
        <f ca="1">Hypothèses!$D$38*BP!AA95</f>
        <v>#N/A</v>
      </c>
      <c r="AB103" s="73" t="e">
        <f ca="1">Hypothèses!$D$38*BP!AB95</f>
        <v>#N/A</v>
      </c>
      <c r="AC103" s="73" t="e">
        <f ca="1">Hypothèses!$D$38*BP!AC95</f>
        <v>#N/A</v>
      </c>
      <c r="AD103" s="73" t="e">
        <f ca="1">Hypothèses!$D$38*BP!AD95</f>
        <v>#N/A</v>
      </c>
      <c r="AE103" s="73" t="e">
        <f ca="1">Hypothèses!$D$38*BP!AE95</f>
        <v>#N/A</v>
      </c>
      <c r="AF103" s="73" t="e">
        <f ca="1">Hypothèses!$D$38*BP!AF95</f>
        <v>#N/A</v>
      </c>
      <c r="AG103" s="73" t="e">
        <f ca="1">Hypothèses!$D$38*BP!AG95</f>
        <v>#N/A</v>
      </c>
    </row>
    <row r="104" spans="2:34" x14ac:dyDescent="0.3">
      <c r="B104" s="10" t="s">
        <v>36</v>
      </c>
      <c r="C104" s="10"/>
      <c r="D104" s="73">
        <f>Hypothèses!$D$36*(1+$C$37)^C43</f>
        <v>0</v>
      </c>
      <c r="E104" s="73">
        <f>Hypothèses!$D$36*(1+$C$37)^D43</f>
        <v>0</v>
      </c>
      <c r="F104" s="73">
        <f>Hypothèses!$D$36*(1+$C$37)^E43</f>
        <v>0</v>
      </c>
      <c r="G104" s="73">
        <f>Hypothèses!$D$36*(1+$C$37)^F43</f>
        <v>0</v>
      </c>
      <c r="H104" s="73">
        <f>Hypothèses!$D$36*(1+$C$37)^G43</f>
        <v>0</v>
      </c>
      <c r="I104" s="73">
        <f>Hypothèses!$D$36*(1+$C$37)^H43</f>
        <v>0</v>
      </c>
      <c r="J104" s="73">
        <f>Hypothèses!$D$36*(1+$C$37)^I43</f>
        <v>0</v>
      </c>
      <c r="K104" s="73">
        <f>Hypothèses!$D$36*(1+$C$37)^J43</f>
        <v>0</v>
      </c>
      <c r="L104" s="73">
        <f>Hypothèses!$D$36*(1+$C$37)^K43</f>
        <v>0</v>
      </c>
      <c r="M104" s="73">
        <f>Hypothèses!$D$36*(1+$C$37)^L43</f>
        <v>0</v>
      </c>
      <c r="N104" s="73">
        <f>Hypothèses!$D$36*(1+$C$37)^M43</f>
        <v>0</v>
      </c>
      <c r="O104" s="73">
        <f>Hypothèses!$D$36*(1+$C$37)^N43</f>
        <v>0</v>
      </c>
      <c r="P104" s="73">
        <f>Hypothèses!$D$36*(1+$C$37)^O43</f>
        <v>0</v>
      </c>
      <c r="Q104" s="73">
        <f>Hypothèses!$D$36*(1+$C$37)^P43</f>
        <v>0</v>
      </c>
      <c r="R104" s="73">
        <f>Hypothèses!$D$36*(1+$C$37)^Q43</f>
        <v>0</v>
      </c>
      <c r="S104" s="73">
        <f>Hypothèses!$D$36*(1+$C$37)^R43</f>
        <v>0</v>
      </c>
      <c r="T104" s="73">
        <f>Hypothèses!$D$36*(1+$C$37)^S43</f>
        <v>0</v>
      </c>
      <c r="U104" s="73">
        <f>Hypothèses!$D$36*(1+$C$37)^T43</f>
        <v>0</v>
      </c>
      <c r="V104" s="73">
        <f>Hypothèses!$D$36*(1+$C$37)^U43</f>
        <v>0</v>
      </c>
      <c r="W104" s="73">
        <f>Hypothèses!$D$36*(1+$C$37)^V43</f>
        <v>0</v>
      </c>
      <c r="X104" s="73">
        <f>Hypothèses!$D$36*(1+$C$37)^W43</f>
        <v>0</v>
      </c>
      <c r="Y104" s="73">
        <f>Hypothèses!$D$36*(1+$C$37)^X43</f>
        <v>0</v>
      </c>
      <c r="Z104" s="73">
        <f>Hypothèses!$D$36*(1+$C$37)^Y43</f>
        <v>0</v>
      </c>
      <c r="AA104" s="73">
        <f>Hypothèses!$D$36*(1+$C$37)^Z43</f>
        <v>0</v>
      </c>
      <c r="AB104" s="73">
        <f>Hypothèses!$D$36*(1+$C$37)^AA43</f>
        <v>0</v>
      </c>
      <c r="AC104" s="73">
        <f>Hypothèses!$D$36*(1+$C$37)^AB43</f>
        <v>0</v>
      </c>
      <c r="AD104" s="73">
        <f>Hypothèses!$D$36*(1+$C$37)^AC43</f>
        <v>0</v>
      </c>
      <c r="AE104" s="73">
        <f>Hypothèses!$D$36*(1+$C$37)^AD43</f>
        <v>0</v>
      </c>
      <c r="AF104" s="73">
        <f>Hypothèses!$D$36*(1+$C$37)^AE43</f>
        <v>0</v>
      </c>
      <c r="AG104" s="73">
        <f>Hypothèses!$D$36*(1+$C$37)^AF43</f>
        <v>0</v>
      </c>
    </row>
    <row r="105" spans="2:34" x14ac:dyDescent="0.3">
      <c r="B105" s="10" t="s">
        <v>197</v>
      </c>
      <c r="C105" s="10"/>
      <c r="D105" s="73">
        <v>19500</v>
      </c>
      <c r="E105" s="73">
        <f>D105*(1-0.5%)</f>
        <v>19402.5</v>
      </c>
      <c r="F105" s="73">
        <f t="shared" ref="F105:T105" si="410">E105*(1-0.5%)</f>
        <v>19305.487499999999</v>
      </c>
      <c r="G105" s="73">
        <f t="shared" si="410"/>
        <v>19208.960062499998</v>
      </c>
      <c r="H105" s="73">
        <f t="shared" si="410"/>
        <v>19112.9152621875</v>
      </c>
      <c r="I105" s="73">
        <f t="shared" si="410"/>
        <v>19017.350685876561</v>
      </c>
      <c r="J105" s="73">
        <f t="shared" si="410"/>
        <v>18922.263932447178</v>
      </c>
      <c r="K105" s="73">
        <f t="shared" si="410"/>
        <v>18827.652612784943</v>
      </c>
      <c r="L105" s="73">
        <f t="shared" si="410"/>
        <v>18733.514349721019</v>
      </c>
      <c r="M105" s="73">
        <f t="shared" si="410"/>
        <v>18639.846777972412</v>
      </c>
      <c r="N105" s="73">
        <f t="shared" si="410"/>
        <v>18546.647544082549</v>
      </c>
      <c r="O105" s="73">
        <f t="shared" si="410"/>
        <v>18453.914306362138</v>
      </c>
      <c r="P105" s="73">
        <f t="shared" si="410"/>
        <v>18361.644734830326</v>
      </c>
      <c r="Q105" s="73">
        <f t="shared" si="410"/>
        <v>18269.836511156176</v>
      </c>
      <c r="R105" s="73">
        <f t="shared" si="410"/>
        <v>18178.487328600397</v>
      </c>
      <c r="S105" s="73">
        <f t="shared" si="410"/>
        <v>18087.594891957393</v>
      </c>
      <c r="T105" s="73">
        <f t="shared" si="410"/>
        <v>17997.156917497607</v>
      </c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</row>
    <row r="106" spans="2:34" x14ac:dyDescent="0.3">
      <c r="B106" s="10" t="s">
        <v>198</v>
      </c>
      <c r="C106" s="10"/>
      <c r="D106" s="73">
        <f ca="1">VLOOKUP("networkturpe_energy_cost"&amp;"S1"&amp;D$39&amp;Hypothèses!$D$17&amp;Hypothèses!$D$18,INDIRECT("'"&amp;Hypothèses!$D$42&amp;"'!$A:$I"),6,FALSE) + VLOOKUP("networkturpe_power_cost"&amp;"S1"&amp;D$39&amp;Hypothèses!$D$17&amp;Hypothèses!$D$18,INDIRECT("'"&amp;Hypothèses!$D$42&amp;"'!$A:$I"),6,FALSE)</f>
        <v>4151.1133535090421</v>
      </c>
      <c r="E106" s="73">
        <f ca="1">VLOOKUP("networkturpe_energy_cost"&amp;"S1"&amp;E$39&amp;Hypothèses!$D$17&amp;Hypothèses!$D$18,INDIRECT("'"&amp;Hypothèses!$D$42&amp;"'!$A:$I"),6,FALSE) + VLOOKUP("networkturpe_power_cost"&amp;"S1"&amp;E$39&amp;Hypothèses!$D$17&amp;Hypothèses!$D$18,INDIRECT("'"&amp;Hypothèses!$D$42&amp;"'!$A:$I"),6,FALSE)</f>
        <v>4046.7952850112229</v>
      </c>
      <c r="F106" s="73">
        <f ca="1">VLOOKUP("networkturpe_energy_cost"&amp;"S1"&amp;F$39&amp;Hypothèses!$D$17&amp;Hypothèses!$D$18,INDIRECT("'"&amp;Hypothèses!$D$42&amp;"'!$A:$I"),6,FALSE) + VLOOKUP("networkturpe_power_cost"&amp;"S1"&amp;F$39&amp;Hypothèses!$D$17&amp;Hypothèses!$D$18,INDIRECT("'"&amp;Hypothèses!$D$42&amp;"'!$A:$I"),6,FALSE)</f>
        <v>3946.3381278189649</v>
      </c>
      <c r="G106" s="73">
        <f ca="1">VLOOKUP("networkturpe_energy_cost"&amp;"S1"&amp;G$39&amp;Hypothèses!$D$17&amp;Hypothèses!$D$18,INDIRECT("'"&amp;Hypothèses!$D$42&amp;"'!$A:$I"),6,FALSE) + VLOOKUP("networkturpe_power_cost"&amp;"S1"&amp;G$39&amp;Hypothèses!$D$17&amp;Hypothèses!$D$18,INDIRECT("'"&amp;Hypothèses!$D$42&amp;"'!$A:$I"),6,FALSE)</f>
        <v>3848.0424667539432</v>
      </c>
      <c r="H106" s="73">
        <f ca="1">VLOOKUP("networkturpe_energy_cost"&amp;"S1"&amp;H$39&amp;Hypothèses!$D$17&amp;Hypothèses!$D$18,INDIRECT("'"&amp;Hypothèses!$D$42&amp;"'!$A:$I"),6,FALSE) + VLOOKUP("networkturpe_power_cost"&amp;"S1"&amp;H$39&amp;Hypothèses!$D$17&amp;Hypothèses!$D$18,INDIRECT("'"&amp;Hypothèses!$D$42&amp;"'!$A:$I"),6,FALSE)</f>
        <v>3765.391865702642</v>
      </c>
      <c r="I106" s="73">
        <f ca="1">VLOOKUP("networkturpe_energy_cost"&amp;"S1"&amp;I$39&amp;Hypothèses!$D$17&amp;Hypothèses!$D$18,INDIRECT("'"&amp;Hypothèses!$D$42&amp;"'!$A:$I"),6,FALSE) + VLOOKUP("networkturpe_power_cost"&amp;"S1"&amp;I$39&amp;Hypothèses!$D$17&amp;Hypothèses!$D$18,INDIRECT("'"&amp;Hypothèses!$D$42&amp;"'!$A:$I"),6,FALSE)</f>
        <v>3955.0160208978928</v>
      </c>
      <c r="J106" s="73">
        <f ca="1">VLOOKUP("networkturpe_energy_cost"&amp;"S1"&amp;J$39&amp;Hypothèses!$D$17&amp;Hypothèses!$D$18,INDIRECT("'"&amp;Hypothèses!$D$42&amp;"'!$A:$I"),6,FALSE) + VLOOKUP("networkturpe_power_cost"&amp;"S1"&amp;J$39&amp;Hypothèses!$D$17&amp;Hypothèses!$D$18,INDIRECT("'"&amp;Hypothèses!$D$42&amp;"'!$A:$I"),6,FALSE)</f>
        <v>4049.0988610779859</v>
      </c>
      <c r="K106" s="73">
        <f ca="1">VLOOKUP("networkturpe_energy_cost"&amp;"S1"&amp;K$39&amp;Hypothèses!$D$17&amp;Hypothèses!$D$18,INDIRECT("'"&amp;Hypothèses!$D$42&amp;"'!$A:$I"),6,FALSE) + VLOOKUP("networkturpe_power_cost"&amp;"S1"&amp;K$39&amp;Hypothèses!$D$17&amp;Hypothèses!$D$18,INDIRECT("'"&amp;Hypothèses!$D$42&amp;"'!$A:$I"),6,FALSE)</f>
        <v>4286.463644893689</v>
      </c>
      <c r="L106" s="73">
        <f ca="1">VLOOKUP("networkturpe_energy_cost"&amp;"S1"&amp;L$39&amp;Hypothèses!$D$17&amp;Hypothèses!$D$18,INDIRECT("'"&amp;Hypothèses!$D$42&amp;"'!$A:$I"),6,FALSE) + VLOOKUP("networkturpe_power_cost"&amp;"S1"&amp;L$39&amp;Hypothèses!$D$17&amp;Hypothèses!$D$18,INDIRECT("'"&amp;Hypothèses!$D$42&amp;"'!$A:$I"),6,FALSE)</f>
        <v>3929.8942383954336</v>
      </c>
      <c r="M106" s="73">
        <f ca="1">VLOOKUP("networkturpe_energy_cost"&amp;"S1"&amp;M$39&amp;Hypothèses!$D$17&amp;Hypothèses!$D$18,INDIRECT("'"&amp;Hypothèses!$D$42&amp;"'!$A:$I"),6,FALSE) + VLOOKUP("networkturpe_power_cost"&amp;"S1"&amp;M$39&amp;Hypothèses!$D$17&amp;Hypothèses!$D$18,INDIRECT("'"&amp;Hypothèses!$D$42&amp;"'!$A:$I"),6,FALSE)</f>
        <v>3909.7558359407062</v>
      </c>
      <c r="N106" s="73">
        <f ca="1">VLOOKUP("networkturpe_energy_cost"&amp;"S1"&amp;N$39&amp;Hypothèses!$D$17&amp;Hypothèses!$D$18,INDIRECT("'"&amp;Hypothèses!$D$42&amp;"'!$A:$I"),6,FALSE) + VLOOKUP("networkturpe_power_cost"&amp;"S1"&amp;N$39&amp;Hypothèses!$D$17&amp;Hypothèses!$D$18,INDIRECT("'"&amp;Hypothèses!$D$42&amp;"'!$A:$I"),6,FALSE)</f>
        <v>3736.9834657261536</v>
      </c>
      <c r="O106" s="73">
        <f ca="1">VLOOKUP("networkturpe_energy_cost"&amp;"S1"&amp;O$39&amp;Hypothèses!$D$17&amp;Hypothèses!$D$18,INDIRECT("'"&amp;Hypothèses!$D$42&amp;"'!$A:$I"),6,FALSE) + VLOOKUP("networkturpe_power_cost"&amp;"S1"&amp;O$39&amp;Hypothèses!$D$17&amp;Hypothèses!$D$18,INDIRECT("'"&amp;Hypothèses!$D$42&amp;"'!$A:$I"),6,FALSE)</f>
        <v>3914.8432425757669</v>
      </c>
      <c r="P106" s="73">
        <f ca="1">VLOOKUP("networkturpe_energy_cost"&amp;"S1"&amp;P$39&amp;Hypothèses!$D$17&amp;Hypothèses!$D$18,INDIRECT("'"&amp;Hypothèses!$D$42&amp;"'!$A:$I"),6,FALSE) + VLOOKUP("networkturpe_power_cost"&amp;"S1"&amp;P$39&amp;Hypothèses!$D$17&amp;Hypothèses!$D$18,INDIRECT("'"&amp;Hypothèses!$D$42&amp;"'!$A:$I"),6,FALSE)</f>
        <v>3601.6261485494761</v>
      </c>
      <c r="Q106" s="73">
        <f ca="1">VLOOKUP("networkturpe_energy_cost"&amp;"S1"&amp;Q$39&amp;Hypothèses!$D$17&amp;Hypothèses!$D$18,INDIRECT("'"&amp;Hypothèses!$D$42&amp;"'!$A:$I"),6,FALSE) + VLOOKUP("networkturpe_power_cost"&amp;"S1"&amp;Q$39&amp;Hypothèses!$D$17&amp;Hypothèses!$D$18,INDIRECT("'"&amp;Hypothèses!$D$42&amp;"'!$A:$I"),6,FALSE)</f>
        <v>3994.6400637606439</v>
      </c>
      <c r="R106" s="73">
        <f ca="1">VLOOKUP("networkturpe_energy_cost"&amp;"S1"&amp;R$39&amp;Hypothèses!$D$17&amp;Hypothèses!$D$18,INDIRECT("'"&amp;Hypothèses!$D$42&amp;"'!$A:$I"),6,FALSE) + VLOOKUP("networkturpe_power_cost"&amp;"S1"&amp;R$39&amp;Hypothèses!$D$17&amp;Hypothèses!$D$18,INDIRECT("'"&amp;Hypothèses!$D$42&amp;"'!$A:$I"),6,FALSE)</f>
        <v>3701.1132162138697</v>
      </c>
      <c r="S106" s="73">
        <f ca="1">VLOOKUP("networkturpe_energy_cost"&amp;"S1"&amp;S$39&amp;Hypothèses!$D$17&amp;Hypothèses!$D$18,INDIRECT("'"&amp;Hypothèses!$D$42&amp;"'!$A:$I"),6,FALSE) + VLOOKUP("networkturpe_power_cost"&amp;"S1"&amp;S$39&amp;Hypothèses!$D$17&amp;Hypothèses!$D$18,INDIRECT("'"&amp;Hypothèses!$D$42&amp;"'!$A:$I"),6,FALSE)</f>
        <v>5062.2049955926959</v>
      </c>
      <c r="T106" s="73">
        <f ca="1">VLOOKUP("networkturpe_energy_cost"&amp;"S1"&amp;T$39&amp;Hypothèses!$D$17&amp;Hypothèses!$D$18,INDIRECT("'"&amp;Hypothèses!$D$42&amp;"'!$A:$I"),6,FALSE) + VLOOKUP("networkturpe_power_cost"&amp;"S1"&amp;T$39&amp;Hypothèses!$D$17&amp;Hypothèses!$D$18,INDIRECT("'"&amp;Hypothèses!$D$42&amp;"'!$A:$I"),6,FALSE)</f>
        <v>6171.4678452426542</v>
      </c>
      <c r="U106" s="73" t="e">
        <f ca="1">VLOOKUP("networkturpe_energy_cost"&amp;"S1"&amp;U$39&amp;Hypothèses!$D$17&amp;Hypothèses!$D$18,INDIRECT("'"&amp;Hypothèses!$D$42&amp;"'!$A:$I"),6,FALSE) + VLOOKUP("networkturpe_power_cost"&amp;"S1"&amp;U$39&amp;Hypothèses!$D$17&amp;Hypothèses!$D$18,INDIRECT("'"&amp;Hypothèses!$D$42&amp;"'!$A:$I"),6,FALSE)</f>
        <v>#N/A</v>
      </c>
      <c r="V106" s="73" t="e">
        <f ca="1">VLOOKUP("networkturpe_energy_cost"&amp;"S1"&amp;V$39&amp;Hypothèses!$D$17&amp;Hypothèses!$D$18,INDIRECT("'"&amp;Hypothèses!$D$42&amp;"'!$A:$I"),6,FALSE) + VLOOKUP("networkturpe_power_cost"&amp;"S1"&amp;V$39&amp;Hypothèses!$D$17&amp;Hypothèses!$D$18,INDIRECT("'"&amp;Hypothèses!$D$42&amp;"'!$A:$I"),6,FALSE)</f>
        <v>#N/A</v>
      </c>
      <c r="W106" s="73" t="e">
        <f ca="1">VLOOKUP("networkturpe_energy_cost"&amp;"S1"&amp;W$39&amp;Hypothèses!$D$17&amp;Hypothèses!$D$18,INDIRECT("'"&amp;Hypothèses!$D$42&amp;"'!$A:$I"),6,FALSE) + VLOOKUP("networkturpe_power_cost"&amp;"S1"&amp;W$39&amp;Hypothèses!$D$17&amp;Hypothèses!$D$18,INDIRECT("'"&amp;Hypothèses!$D$42&amp;"'!$A:$I"),6,FALSE)</f>
        <v>#N/A</v>
      </c>
      <c r="X106" s="73" t="e">
        <f ca="1">VLOOKUP("networkturpe_energy_cost"&amp;"S1"&amp;X$39&amp;Hypothèses!$D$17&amp;Hypothèses!$D$18,INDIRECT("'"&amp;Hypothèses!$D$42&amp;"'!$A:$I"),6,FALSE) + VLOOKUP("networkturpe_power_cost"&amp;"S1"&amp;X$39&amp;Hypothèses!$D$17&amp;Hypothèses!$D$18,INDIRECT("'"&amp;Hypothèses!$D$42&amp;"'!$A:$I"),6,FALSE)</f>
        <v>#N/A</v>
      </c>
      <c r="Y106" s="73" t="e">
        <f ca="1">VLOOKUP("networkturpe_energy_cost"&amp;"S1"&amp;Y$39&amp;Hypothèses!$D$17&amp;Hypothèses!$D$18,INDIRECT("'"&amp;Hypothèses!$D$42&amp;"'!$A:$I"),6,FALSE) + VLOOKUP("networkturpe_power_cost"&amp;"S1"&amp;Y$39&amp;Hypothèses!$D$17&amp;Hypothèses!$D$18,INDIRECT("'"&amp;Hypothèses!$D$42&amp;"'!$A:$I"),6,FALSE)</f>
        <v>#N/A</v>
      </c>
      <c r="Z106" s="73" t="e">
        <f ca="1">VLOOKUP("networkturpe_energy_cost"&amp;"S1"&amp;Z$39&amp;Hypothèses!$D$17&amp;Hypothèses!$D$18,INDIRECT("'"&amp;Hypothèses!$D$42&amp;"'!$A:$I"),6,FALSE) + VLOOKUP("networkturpe_power_cost"&amp;"S1"&amp;Z$39&amp;Hypothèses!$D$17&amp;Hypothèses!$D$18,INDIRECT("'"&amp;Hypothèses!$D$42&amp;"'!$A:$I"),6,FALSE)</f>
        <v>#N/A</v>
      </c>
      <c r="AA106" s="73" t="e">
        <f ca="1">VLOOKUP("networkturpe_energy_cost"&amp;"S1"&amp;AA$39&amp;Hypothèses!$D$17&amp;Hypothèses!$D$18,INDIRECT("'"&amp;Hypothèses!$D$42&amp;"'!$A:$I"),6,FALSE) + VLOOKUP("networkturpe_power_cost"&amp;"S1"&amp;AA$39&amp;Hypothèses!$D$17&amp;Hypothèses!$D$18,INDIRECT("'"&amp;Hypothèses!$D$42&amp;"'!$A:$I"),6,FALSE)</f>
        <v>#N/A</v>
      </c>
      <c r="AB106" s="73" t="e">
        <f ca="1">VLOOKUP("networkturpe_energy_cost"&amp;"S1"&amp;AB$39&amp;Hypothèses!$D$17&amp;Hypothèses!$D$18,INDIRECT("'"&amp;Hypothèses!$D$42&amp;"'!$A:$I"),6,FALSE) + VLOOKUP("networkturpe_power_cost"&amp;"S1"&amp;AB$39&amp;Hypothèses!$D$17&amp;Hypothèses!$D$18,INDIRECT("'"&amp;Hypothèses!$D$42&amp;"'!$A:$I"),6,FALSE)</f>
        <v>#N/A</v>
      </c>
      <c r="AC106" s="73" t="e">
        <f ca="1">VLOOKUP("networkturpe_energy_cost"&amp;"S1"&amp;AC$39&amp;Hypothèses!$D$17&amp;Hypothèses!$D$18,INDIRECT("'"&amp;Hypothèses!$D$42&amp;"'!$A:$I"),6,FALSE) + VLOOKUP("networkturpe_power_cost"&amp;"S1"&amp;AC$39&amp;Hypothèses!$D$17&amp;Hypothèses!$D$18,INDIRECT("'"&amp;Hypothèses!$D$42&amp;"'!$A:$I"),6,FALSE)</f>
        <v>#N/A</v>
      </c>
      <c r="AD106" s="73" t="e">
        <f ca="1">VLOOKUP("networkturpe_energy_cost"&amp;"S1"&amp;AD$39&amp;Hypothèses!$D$17&amp;Hypothèses!$D$18,INDIRECT("'"&amp;Hypothèses!$D$42&amp;"'!$A:$I"),6,FALSE) + VLOOKUP("networkturpe_power_cost"&amp;"S1"&amp;AD$39&amp;Hypothèses!$D$17&amp;Hypothèses!$D$18,INDIRECT("'"&amp;Hypothèses!$D$42&amp;"'!$A:$I"),6,FALSE)</f>
        <v>#N/A</v>
      </c>
      <c r="AE106" s="73" t="e">
        <f ca="1">VLOOKUP("networkturpe_energy_cost"&amp;"S1"&amp;AE$39&amp;Hypothèses!$D$17&amp;Hypothèses!$D$18,INDIRECT("'"&amp;Hypothèses!$D$42&amp;"'!$A:$I"),6,FALSE) + VLOOKUP("networkturpe_power_cost"&amp;"S1"&amp;AE$39&amp;Hypothèses!$D$17&amp;Hypothèses!$D$18,INDIRECT("'"&amp;Hypothèses!$D$42&amp;"'!$A:$I"),6,FALSE)</f>
        <v>#N/A</v>
      </c>
      <c r="AF106" s="73" t="e">
        <f ca="1">VLOOKUP("networkturpe_energy_cost"&amp;"S1"&amp;AF$39&amp;Hypothèses!$D$17&amp;Hypothèses!$D$18,INDIRECT("'"&amp;Hypothèses!$D$42&amp;"'!$A:$I"),6,FALSE) + VLOOKUP("networkturpe_power_cost"&amp;"S1"&amp;AF$39&amp;Hypothèses!$D$17&amp;Hypothèses!$D$18,INDIRECT("'"&amp;Hypothèses!$D$42&amp;"'!$A:$I"),6,FALSE)</f>
        <v>#N/A</v>
      </c>
      <c r="AG106" s="73" t="e">
        <f ca="1">VLOOKUP("networkturpe_energy_cost"&amp;"S1"&amp;AG$39&amp;Hypothèses!$D$17&amp;Hypothèses!$D$18,INDIRECT("'"&amp;Hypothèses!$D$42&amp;"'!$A:$I"),6,FALSE) + VLOOKUP("networkturpe_power_cost"&amp;"S1"&amp;AG$39&amp;Hypothèses!$D$17&amp;Hypothèses!$D$18,INDIRECT("'"&amp;Hypothèses!$D$42&amp;"'!$A:$I"),6,FALSE)</f>
        <v>#N/A</v>
      </c>
    </row>
    <row r="107" spans="2:34" s="49" customFormat="1" x14ac:dyDescent="0.3">
      <c r="B107" s="48"/>
      <c r="C107" s="48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</row>
    <row r="108" spans="2:34" x14ac:dyDescent="0.3">
      <c r="B108" s="22" t="s">
        <v>124</v>
      </c>
      <c r="C108" s="22"/>
      <c r="D108" s="71">
        <f t="shared" ref="D108:AG108" ca="1" si="411" xml:space="preserve"> (D95-D99) * D44 * 1</f>
        <v>176155.3221674666</v>
      </c>
      <c r="E108" s="71">
        <f t="shared" ca="1" si="411"/>
        <v>163976.41681736193</v>
      </c>
      <c r="F108" s="71">
        <f t="shared" ca="1" si="411"/>
        <v>141216.9810636839</v>
      </c>
      <c r="G108" s="71">
        <f t="shared" ca="1" si="411"/>
        <v>132884.62589958942</v>
      </c>
      <c r="H108" s="71">
        <f t="shared" ca="1" si="411"/>
        <v>145136.50735043088</v>
      </c>
      <c r="I108" s="71">
        <f t="shared" ca="1" si="411"/>
        <v>104381.61788917982</v>
      </c>
      <c r="J108" s="71">
        <f t="shared" ca="1" si="411"/>
        <v>99012.816402736877</v>
      </c>
      <c r="K108" s="71">
        <f t="shared" ca="1" si="411"/>
        <v>99419.022194324993</v>
      </c>
      <c r="L108" s="71">
        <f t="shared" ca="1" si="411"/>
        <v>99483.923122853768</v>
      </c>
      <c r="M108" s="71">
        <f t="shared" ca="1" si="411"/>
        <v>102526.38588372085</v>
      </c>
      <c r="N108" s="71">
        <f t="shared" ca="1" si="411"/>
        <v>90695.599114015291</v>
      </c>
      <c r="O108" s="71">
        <f t="shared" ca="1" si="411"/>
        <v>97415.013147814607</v>
      </c>
      <c r="P108" s="71">
        <f t="shared" ca="1" si="411"/>
        <v>96872.588917348563</v>
      </c>
      <c r="Q108" s="71">
        <f t="shared" ca="1" si="411"/>
        <v>95314.787051673615</v>
      </c>
      <c r="R108" s="71">
        <f t="shared" ca="1" si="411"/>
        <v>94357.277422593354</v>
      </c>
      <c r="S108" s="71">
        <f t="shared" ca="1" si="411"/>
        <v>76614.959843806893</v>
      </c>
      <c r="T108" s="71">
        <f t="shared" ca="1" si="411"/>
        <v>77483.343403994557</v>
      </c>
      <c r="U108" s="71" t="e">
        <f t="shared" ca="1" si="411"/>
        <v>#N/A</v>
      </c>
      <c r="V108" s="71" t="e">
        <f t="shared" ca="1" si="411"/>
        <v>#N/A</v>
      </c>
      <c r="W108" s="71" t="e">
        <f t="shared" ca="1" si="411"/>
        <v>#N/A</v>
      </c>
      <c r="X108" s="71" t="e">
        <f t="shared" ca="1" si="411"/>
        <v>#N/A</v>
      </c>
      <c r="Y108" s="71" t="e">
        <f t="shared" ca="1" si="411"/>
        <v>#N/A</v>
      </c>
      <c r="Z108" s="71" t="e">
        <f t="shared" ca="1" si="411"/>
        <v>#N/A</v>
      </c>
      <c r="AA108" s="71" t="e">
        <f t="shared" ca="1" si="411"/>
        <v>#N/A</v>
      </c>
      <c r="AB108" s="71" t="e">
        <f t="shared" ca="1" si="411"/>
        <v>#N/A</v>
      </c>
      <c r="AC108" s="71" t="e">
        <f t="shared" ca="1" si="411"/>
        <v>#N/A</v>
      </c>
      <c r="AD108" s="71" t="e">
        <f t="shared" ca="1" si="411"/>
        <v>#N/A</v>
      </c>
      <c r="AE108" s="71" t="e">
        <f t="shared" ca="1" si="411"/>
        <v>#N/A</v>
      </c>
      <c r="AF108" s="71" t="e">
        <f t="shared" ca="1" si="411"/>
        <v>#N/A</v>
      </c>
      <c r="AG108" s="71" t="e">
        <f t="shared" ca="1" si="411"/>
        <v>#N/A</v>
      </c>
      <c r="AH108" s="63"/>
    </row>
    <row r="109" spans="2:34" x14ac:dyDescent="0.3">
      <c r="B109" s="10" t="s">
        <v>37</v>
      </c>
      <c r="C109" s="10"/>
      <c r="D109" s="68">
        <f ca="1">SUM(D110:D115)</f>
        <v>0</v>
      </c>
      <c r="E109" s="68">
        <f t="shared" ref="E109:W109" ca="1" si="412">SUM(E110:E115)</f>
        <v>0</v>
      </c>
      <c r="F109" s="68">
        <f t="shared" ca="1" si="412"/>
        <v>0</v>
      </c>
      <c r="G109" s="68">
        <f t="shared" ca="1" si="412"/>
        <v>0</v>
      </c>
      <c r="H109" s="68">
        <f t="shared" ca="1" si="412"/>
        <v>0</v>
      </c>
      <c r="I109" s="68">
        <f t="shared" ca="1" si="412"/>
        <v>0</v>
      </c>
      <c r="J109" s="68">
        <f t="shared" ca="1" si="412"/>
        <v>0</v>
      </c>
      <c r="K109" s="68">
        <f t="shared" ca="1" si="412"/>
        <v>0</v>
      </c>
      <c r="L109" s="68">
        <f t="shared" ca="1" si="412"/>
        <v>0</v>
      </c>
      <c r="M109" s="68">
        <f t="shared" ca="1" si="412"/>
        <v>0</v>
      </c>
      <c r="N109" s="68">
        <f t="shared" ca="1" si="412"/>
        <v>0</v>
      </c>
      <c r="O109" s="68">
        <f t="shared" ca="1" si="412"/>
        <v>0</v>
      </c>
      <c r="P109" s="68">
        <f t="shared" ca="1" si="412"/>
        <v>0</v>
      </c>
      <c r="Q109" s="68">
        <f t="shared" ca="1" si="412"/>
        <v>0</v>
      </c>
      <c r="R109" s="68">
        <f t="shared" ca="1" si="412"/>
        <v>0</v>
      </c>
      <c r="S109" s="68">
        <f t="shared" ca="1" si="412"/>
        <v>0</v>
      </c>
      <c r="T109" s="68">
        <f t="shared" ca="1" si="412"/>
        <v>0</v>
      </c>
      <c r="U109" s="68" t="e">
        <f t="shared" ca="1" si="412"/>
        <v>#N/A</v>
      </c>
      <c r="V109" s="68" t="e">
        <f t="shared" ca="1" si="412"/>
        <v>#N/A</v>
      </c>
      <c r="W109" s="68" t="e">
        <f t="shared" ca="1" si="412"/>
        <v>#N/A</v>
      </c>
      <c r="X109" s="68" t="e">
        <f t="shared" ref="X109:AG109" ca="1" si="413">SUM(X110:X115)</f>
        <v>#N/A</v>
      </c>
      <c r="Y109" s="68" t="e">
        <f t="shared" ca="1" si="413"/>
        <v>#N/A</v>
      </c>
      <c r="Z109" s="68" t="e">
        <f t="shared" ca="1" si="413"/>
        <v>#N/A</v>
      </c>
      <c r="AA109" s="68" t="e">
        <f t="shared" ca="1" si="413"/>
        <v>#N/A</v>
      </c>
      <c r="AB109" s="68" t="e">
        <f t="shared" ca="1" si="413"/>
        <v>#N/A</v>
      </c>
      <c r="AC109" s="68" t="e">
        <f t="shared" ca="1" si="413"/>
        <v>#N/A</v>
      </c>
      <c r="AD109" s="68" t="e">
        <f t="shared" ca="1" si="413"/>
        <v>#N/A</v>
      </c>
      <c r="AE109" s="68" t="e">
        <f t="shared" ca="1" si="413"/>
        <v>#N/A</v>
      </c>
      <c r="AF109" s="68" t="e">
        <f t="shared" ca="1" si="413"/>
        <v>#N/A</v>
      </c>
      <c r="AG109" s="68" t="e">
        <f t="shared" ca="1" si="413"/>
        <v>#N/A</v>
      </c>
    </row>
    <row r="110" spans="2:34" x14ac:dyDescent="0.3">
      <c r="B110" s="24" t="s">
        <v>38</v>
      </c>
      <c r="C110" s="10"/>
      <c r="D110" s="73">
        <f>0</f>
        <v>0</v>
      </c>
      <c r="E110" s="73">
        <f>0</f>
        <v>0</v>
      </c>
      <c r="F110" s="73">
        <f>0</f>
        <v>0</v>
      </c>
      <c r="G110" s="73">
        <f>0</f>
        <v>0</v>
      </c>
      <c r="H110" s="73">
        <f>0</f>
        <v>0</v>
      </c>
      <c r="I110" s="73">
        <f>0</f>
        <v>0</v>
      </c>
      <c r="J110" s="73">
        <f>0</f>
        <v>0</v>
      </c>
      <c r="K110" s="73">
        <f>0</f>
        <v>0</v>
      </c>
      <c r="L110" s="73">
        <f>0</f>
        <v>0</v>
      </c>
      <c r="M110" s="73">
        <f>0</f>
        <v>0</v>
      </c>
      <c r="N110" s="73">
        <f>0</f>
        <v>0</v>
      </c>
      <c r="O110" s="73">
        <f>0</f>
        <v>0</v>
      </c>
      <c r="P110" s="73">
        <f>0</f>
        <v>0</v>
      </c>
      <c r="Q110" s="73">
        <f>0</f>
        <v>0</v>
      </c>
      <c r="R110" s="73">
        <f>0</f>
        <v>0</v>
      </c>
      <c r="S110" s="73">
        <f>0</f>
        <v>0</v>
      </c>
      <c r="T110" s="73">
        <f>0</f>
        <v>0</v>
      </c>
      <c r="U110" s="73">
        <f>0</f>
        <v>0</v>
      </c>
      <c r="V110" s="73">
        <f>0</f>
        <v>0</v>
      </c>
      <c r="W110" s="73">
        <f>0</f>
        <v>0</v>
      </c>
      <c r="X110" s="73">
        <f>0</f>
        <v>0</v>
      </c>
      <c r="Y110" s="73">
        <f>0</f>
        <v>0</v>
      </c>
      <c r="Z110" s="73">
        <f>0</f>
        <v>0</v>
      </c>
      <c r="AA110" s="73">
        <f>0</f>
        <v>0</v>
      </c>
      <c r="AB110" s="73">
        <f>0</f>
        <v>0</v>
      </c>
      <c r="AC110" s="73">
        <f>0</f>
        <v>0</v>
      </c>
      <c r="AD110" s="73">
        <f>0</f>
        <v>0</v>
      </c>
      <c r="AE110" s="73">
        <f>0</f>
        <v>0</v>
      </c>
      <c r="AF110" s="73">
        <f>0</f>
        <v>0</v>
      </c>
      <c r="AG110" s="73">
        <f>0</f>
        <v>0</v>
      </c>
    </row>
    <row r="111" spans="2:34" x14ac:dyDescent="0.3">
      <c r="B111" s="24" t="s">
        <v>39</v>
      </c>
      <c r="C111" s="10"/>
      <c r="D111" s="73">
        <v>0</v>
      </c>
      <c r="E111" s="73">
        <v>0</v>
      </c>
      <c r="F111" s="73">
        <v>0</v>
      </c>
      <c r="G111" s="73">
        <v>0</v>
      </c>
      <c r="H111" s="73">
        <v>0</v>
      </c>
      <c r="I111" s="73">
        <v>0</v>
      </c>
      <c r="J111" s="73">
        <v>0</v>
      </c>
      <c r="K111" s="73">
        <v>0</v>
      </c>
      <c r="L111" s="73">
        <v>0</v>
      </c>
      <c r="M111" s="73">
        <v>0</v>
      </c>
      <c r="N111" s="73">
        <v>0</v>
      </c>
      <c r="O111" s="73">
        <v>0</v>
      </c>
      <c r="P111" s="73">
        <v>0</v>
      </c>
      <c r="Q111" s="73">
        <v>0</v>
      </c>
      <c r="R111" s="73">
        <v>0</v>
      </c>
      <c r="S111" s="73">
        <v>0</v>
      </c>
      <c r="T111" s="73">
        <v>0</v>
      </c>
      <c r="U111" s="73">
        <v>0</v>
      </c>
      <c r="V111" s="73">
        <v>0</v>
      </c>
      <c r="W111" s="73">
        <v>0</v>
      </c>
      <c r="X111" s="73">
        <v>0</v>
      </c>
      <c r="Y111" s="73">
        <v>0</v>
      </c>
      <c r="Z111" s="73">
        <v>0</v>
      </c>
      <c r="AA111" s="73">
        <v>0</v>
      </c>
      <c r="AB111" s="73">
        <v>0</v>
      </c>
      <c r="AC111" s="73">
        <v>0</v>
      </c>
      <c r="AD111" s="73">
        <v>0</v>
      </c>
      <c r="AE111" s="73">
        <v>0</v>
      </c>
      <c r="AF111" s="73">
        <v>0</v>
      </c>
      <c r="AG111" s="73">
        <v>0</v>
      </c>
    </row>
    <row r="112" spans="2:34" x14ac:dyDescent="0.3">
      <c r="B112" s="24" t="s">
        <v>40</v>
      </c>
      <c r="C112" s="10"/>
      <c r="D112" s="73">
        <v>0</v>
      </c>
      <c r="E112" s="73">
        <v>0</v>
      </c>
      <c r="F112" s="73">
        <v>0</v>
      </c>
      <c r="G112" s="73">
        <v>0</v>
      </c>
      <c r="H112" s="73">
        <v>0</v>
      </c>
      <c r="I112" s="73">
        <v>0</v>
      </c>
      <c r="J112" s="73">
        <v>0</v>
      </c>
      <c r="K112" s="73">
        <v>0</v>
      </c>
      <c r="L112" s="73">
        <v>0</v>
      </c>
      <c r="M112" s="73">
        <v>0</v>
      </c>
      <c r="N112" s="73">
        <v>0</v>
      </c>
      <c r="O112" s="73">
        <v>0</v>
      </c>
      <c r="P112" s="73">
        <v>0</v>
      </c>
      <c r="Q112" s="73">
        <v>0</v>
      </c>
      <c r="R112" s="73">
        <v>0</v>
      </c>
      <c r="S112" s="73">
        <v>0</v>
      </c>
      <c r="T112" s="73">
        <v>0</v>
      </c>
      <c r="U112" s="73">
        <v>0</v>
      </c>
      <c r="V112" s="73">
        <v>0</v>
      </c>
      <c r="W112" s="73">
        <v>0</v>
      </c>
      <c r="X112" s="73">
        <v>0</v>
      </c>
      <c r="Y112" s="73">
        <v>0</v>
      </c>
      <c r="Z112" s="73">
        <v>0</v>
      </c>
      <c r="AA112" s="73">
        <v>0</v>
      </c>
      <c r="AB112" s="73">
        <v>0</v>
      </c>
      <c r="AC112" s="73">
        <v>0</v>
      </c>
      <c r="AD112" s="73">
        <v>0</v>
      </c>
      <c r="AE112" s="73">
        <v>0</v>
      </c>
      <c r="AF112" s="73">
        <v>0</v>
      </c>
      <c r="AG112" s="73">
        <v>0</v>
      </c>
    </row>
    <row r="113" spans="2:33" x14ac:dyDescent="0.3">
      <c r="B113" s="24" t="s">
        <v>41</v>
      </c>
      <c r="C113" s="10"/>
      <c r="D113" s="73">
        <f ca="1">IF(D95&gt;19000000,#REF!*(D95-19000000),0)</f>
        <v>0</v>
      </c>
      <c r="E113" s="73">
        <f ca="1">IF(E95&gt;19000000,#REF!*(E95-19000000),0)</f>
        <v>0</v>
      </c>
      <c r="F113" s="73">
        <f ca="1">IF(F95&gt;19000000,#REF!*(F95-19000000),0)</f>
        <v>0</v>
      </c>
      <c r="G113" s="73">
        <f ca="1">IF(G95&gt;19000000,#REF!*(G95-19000000),0)</f>
        <v>0</v>
      </c>
      <c r="H113" s="73">
        <f ca="1">IF(H95&gt;19000000,#REF!*(H95-19000000),0)</f>
        <v>0</v>
      </c>
      <c r="I113" s="73">
        <f ca="1">IF(I95&gt;19000000,#REF!*(I95-19000000),0)</f>
        <v>0</v>
      </c>
      <c r="J113" s="73">
        <f ca="1">IF(J95&gt;19000000,#REF!*(J95-19000000),0)</f>
        <v>0</v>
      </c>
      <c r="K113" s="73">
        <f ca="1">IF(K95&gt;19000000,#REF!*(K95-19000000),0)</f>
        <v>0</v>
      </c>
      <c r="L113" s="73">
        <f ca="1">IF(L95&gt;19000000,#REF!*(L95-19000000),0)</f>
        <v>0</v>
      </c>
      <c r="M113" s="73">
        <f ca="1">IF(M95&gt;19000000,#REF!*(M95-19000000),0)</f>
        <v>0</v>
      </c>
      <c r="N113" s="73">
        <f ca="1">IF(N95&gt;19000000,#REF!*(N95-19000000),0)</f>
        <v>0</v>
      </c>
      <c r="O113" s="73">
        <f ca="1">IF(O95&gt;19000000,#REF!*(O95-19000000),0)</f>
        <v>0</v>
      </c>
      <c r="P113" s="73">
        <f ca="1">IF(P95&gt;19000000,#REF!*(P95-19000000),0)</f>
        <v>0</v>
      </c>
      <c r="Q113" s="73">
        <f ca="1">IF(Q95&gt;19000000,#REF!*(Q95-19000000),0)</f>
        <v>0</v>
      </c>
      <c r="R113" s="73">
        <f ca="1">IF(R95&gt;19000000,#REF!*(R95-19000000),0)</f>
        <v>0</v>
      </c>
      <c r="S113" s="73">
        <f ca="1">IF(S95&gt;19000000,#REF!*(S95-19000000),0)</f>
        <v>0</v>
      </c>
      <c r="T113" s="73">
        <f ca="1">IF(T95&gt;19000000,#REF!*(T95-19000000),0)</f>
        <v>0</v>
      </c>
      <c r="U113" s="73" t="e">
        <f ca="1">IF(U95&gt;19000000,#REF!*(U95-19000000),0)</f>
        <v>#N/A</v>
      </c>
      <c r="V113" s="73" t="e">
        <f ca="1">IF(V95&gt;19000000,#REF!*(V95-19000000),0)</f>
        <v>#N/A</v>
      </c>
      <c r="W113" s="73" t="e">
        <f ca="1">IF(W95&gt;19000000,#REF!*(W95-19000000),0)</f>
        <v>#N/A</v>
      </c>
      <c r="X113" s="73" t="e">
        <f ca="1">IF(X95&gt;19000000,#REF!*(X95-19000000),0)</f>
        <v>#N/A</v>
      </c>
      <c r="Y113" s="73" t="e">
        <f ca="1">IF(Y95&gt;19000000,#REF!*(Y95-19000000),0)</f>
        <v>#N/A</v>
      </c>
      <c r="Z113" s="73" t="e">
        <f ca="1">IF(Z95&gt;19000000,#REF!*(Z95-19000000),0)</f>
        <v>#N/A</v>
      </c>
      <c r="AA113" s="73" t="e">
        <f ca="1">IF(AA95&gt;19000000,#REF!*(AA95-19000000),0)</f>
        <v>#N/A</v>
      </c>
      <c r="AB113" s="73" t="e">
        <f ca="1">IF(AB95&gt;19000000,#REF!*(AB95-19000000),0)</f>
        <v>#N/A</v>
      </c>
      <c r="AC113" s="73" t="e">
        <f ca="1">IF(AC95&gt;19000000,#REF!*(AC95-19000000),0)</f>
        <v>#N/A</v>
      </c>
      <c r="AD113" s="73" t="e">
        <f ca="1">IF(AD95&gt;19000000,#REF!*(AD95-19000000),0)</f>
        <v>#N/A</v>
      </c>
      <c r="AE113" s="73" t="e">
        <f ca="1">IF(AE95&gt;19000000,#REF!*(AE95-19000000),0)</f>
        <v>#N/A</v>
      </c>
      <c r="AF113" s="73" t="e">
        <f ca="1">IF(AF95&gt;19000000,#REF!*(AF95-19000000),0)</f>
        <v>#N/A</v>
      </c>
      <c r="AG113" s="73" t="e">
        <f ca="1">IF(AG95&gt;19000000,#REF!*(AG95-19000000),0)</f>
        <v>#N/A</v>
      </c>
    </row>
    <row r="114" spans="2:33" x14ac:dyDescent="0.3">
      <c r="B114" s="24" t="s">
        <v>42</v>
      </c>
      <c r="C114" s="10"/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3">
        <v>0</v>
      </c>
      <c r="O114" s="73">
        <v>0</v>
      </c>
      <c r="P114" s="73">
        <v>0</v>
      </c>
      <c r="Q114" s="73">
        <v>0</v>
      </c>
      <c r="R114" s="73">
        <v>0</v>
      </c>
      <c r="S114" s="73">
        <v>0</v>
      </c>
      <c r="T114" s="73">
        <v>0</v>
      </c>
      <c r="U114" s="73">
        <v>0</v>
      </c>
      <c r="V114" s="73">
        <v>0</v>
      </c>
      <c r="W114" s="73">
        <v>0</v>
      </c>
      <c r="X114" s="73">
        <v>0</v>
      </c>
      <c r="Y114" s="73">
        <v>0</v>
      </c>
      <c r="Z114" s="73">
        <v>0</v>
      </c>
      <c r="AA114" s="73">
        <v>0</v>
      </c>
      <c r="AB114" s="73">
        <v>0</v>
      </c>
      <c r="AC114" s="73">
        <v>0</v>
      </c>
      <c r="AD114" s="73">
        <v>0</v>
      </c>
      <c r="AE114" s="73">
        <v>0</v>
      </c>
      <c r="AF114" s="73">
        <v>0</v>
      </c>
      <c r="AG114" s="73">
        <v>0</v>
      </c>
    </row>
    <row r="115" spans="2:33" x14ac:dyDescent="0.3">
      <c r="B115" s="24" t="s">
        <v>43</v>
      </c>
      <c r="C115" s="10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</row>
    <row r="116" spans="2:33" s="49" customFormat="1" x14ac:dyDescent="0.3">
      <c r="B116" s="50"/>
      <c r="C116" s="48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</row>
    <row r="117" spans="2:33" x14ac:dyDescent="0.3">
      <c r="B117" s="22" t="s">
        <v>44</v>
      </c>
      <c r="C117" s="22"/>
      <c r="D117" s="71">
        <f ca="1">D108-D109</f>
        <v>176155.3221674666</v>
      </c>
      <c r="E117" s="71">
        <f t="shared" ref="E117:AG117" ca="1" si="414">E108-E109</f>
        <v>163976.41681736193</v>
      </c>
      <c r="F117" s="71">
        <f ca="1">F108-F109</f>
        <v>141216.9810636839</v>
      </c>
      <c r="G117" s="71">
        <f t="shared" ca="1" si="414"/>
        <v>132884.62589958942</v>
      </c>
      <c r="H117" s="71">
        <f t="shared" ca="1" si="414"/>
        <v>145136.50735043088</v>
      </c>
      <c r="I117" s="71">
        <f t="shared" ca="1" si="414"/>
        <v>104381.61788917982</v>
      </c>
      <c r="J117" s="71">
        <f t="shared" ca="1" si="414"/>
        <v>99012.816402736877</v>
      </c>
      <c r="K117" s="71">
        <f t="shared" ca="1" si="414"/>
        <v>99419.022194324993</v>
      </c>
      <c r="L117" s="71">
        <f t="shared" ca="1" si="414"/>
        <v>99483.923122853768</v>
      </c>
      <c r="M117" s="71">
        <f t="shared" ca="1" si="414"/>
        <v>102526.38588372085</v>
      </c>
      <c r="N117" s="71">
        <f t="shared" ca="1" si="414"/>
        <v>90695.599114015291</v>
      </c>
      <c r="O117" s="71">
        <f t="shared" ca="1" si="414"/>
        <v>97415.013147814607</v>
      </c>
      <c r="P117" s="71">
        <f t="shared" ca="1" si="414"/>
        <v>96872.588917348563</v>
      </c>
      <c r="Q117" s="71">
        <f t="shared" ca="1" si="414"/>
        <v>95314.787051673615</v>
      </c>
      <c r="R117" s="71">
        <f t="shared" ca="1" si="414"/>
        <v>94357.277422593354</v>
      </c>
      <c r="S117" s="71">
        <f t="shared" ca="1" si="414"/>
        <v>76614.959843806893</v>
      </c>
      <c r="T117" s="71">
        <f t="shared" ca="1" si="414"/>
        <v>77483.343403994557</v>
      </c>
      <c r="U117" s="71" t="e">
        <f t="shared" ca="1" si="414"/>
        <v>#N/A</v>
      </c>
      <c r="V117" s="71" t="e">
        <f t="shared" ca="1" si="414"/>
        <v>#N/A</v>
      </c>
      <c r="W117" s="71" t="e">
        <f t="shared" ca="1" si="414"/>
        <v>#N/A</v>
      </c>
      <c r="X117" s="71" t="e">
        <f t="shared" ca="1" si="414"/>
        <v>#N/A</v>
      </c>
      <c r="Y117" s="71" t="e">
        <f t="shared" ca="1" si="414"/>
        <v>#N/A</v>
      </c>
      <c r="Z117" s="71" t="e">
        <f t="shared" ca="1" si="414"/>
        <v>#N/A</v>
      </c>
      <c r="AA117" s="71" t="e">
        <f t="shared" ca="1" si="414"/>
        <v>#N/A</v>
      </c>
      <c r="AB117" s="71" t="e">
        <f t="shared" ca="1" si="414"/>
        <v>#N/A</v>
      </c>
      <c r="AC117" s="71" t="e">
        <f t="shared" ca="1" si="414"/>
        <v>#N/A</v>
      </c>
      <c r="AD117" s="71" t="e">
        <f t="shared" ca="1" si="414"/>
        <v>#N/A</v>
      </c>
      <c r="AE117" s="71" t="e">
        <f t="shared" ca="1" si="414"/>
        <v>#N/A</v>
      </c>
      <c r="AF117" s="71" t="e">
        <f t="shared" ca="1" si="414"/>
        <v>#N/A</v>
      </c>
      <c r="AG117" s="71" t="e">
        <f t="shared" ca="1" si="414"/>
        <v>#N/A</v>
      </c>
    </row>
    <row r="118" spans="2:33" x14ac:dyDescent="0.3">
      <c r="B118" s="10" t="s">
        <v>89</v>
      </c>
      <c r="C118" s="10"/>
      <c r="D118" s="73">
        <f t="shared" ref="D118:AG118" si="415">SUM(D119:D119)</f>
        <v>91372.549019607832</v>
      </c>
      <c r="E118" s="73">
        <f t="shared" si="415"/>
        <v>91372.549019607832</v>
      </c>
      <c r="F118" s="73">
        <f t="shared" si="415"/>
        <v>91372.549019607832</v>
      </c>
      <c r="G118" s="73">
        <f t="shared" si="415"/>
        <v>91372.549019607832</v>
      </c>
      <c r="H118" s="73">
        <f t="shared" si="415"/>
        <v>91372.549019607832</v>
      </c>
      <c r="I118" s="73">
        <f t="shared" si="415"/>
        <v>91372.549019607832</v>
      </c>
      <c r="J118" s="73">
        <f t="shared" si="415"/>
        <v>91372.549019607832</v>
      </c>
      <c r="K118" s="73">
        <f t="shared" si="415"/>
        <v>91372.549019607832</v>
      </c>
      <c r="L118" s="73">
        <f t="shared" si="415"/>
        <v>91372.549019607832</v>
      </c>
      <c r="M118" s="73">
        <f t="shared" si="415"/>
        <v>91372.549019607832</v>
      </c>
      <c r="N118" s="73">
        <f t="shared" si="415"/>
        <v>91372.549019607832</v>
      </c>
      <c r="O118" s="73">
        <f t="shared" si="415"/>
        <v>91372.549019607832</v>
      </c>
      <c r="P118" s="73">
        <f t="shared" si="415"/>
        <v>91372.549019607832</v>
      </c>
      <c r="Q118" s="73">
        <f t="shared" si="415"/>
        <v>91372.549019607832</v>
      </c>
      <c r="R118" s="73">
        <f t="shared" si="415"/>
        <v>91372.549019607832</v>
      </c>
      <c r="S118" s="73">
        <f t="shared" si="415"/>
        <v>91372.549019607832</v>
      </c>
      <c r="T118" s="73">
        <f t="shared" si="415"/>
        <v>91372.549019607832</v>
      </c>
      <c r="U118" s="73">
        <f t="shared" si="415"/>
        <v>0</v>
      </c>
      <c r="V118" s="73">
        <f t="shared" si="415"/>
        <v>0</v>
      </c>
      <c r="W118" s="73">
        <f t="shared" si="415"/>
        <v>0</v>
      </c>
      <c r="X118" s="73">
        <f t="shared" si="415"/>
        <v>0</v>
      </c>
      <c r="Y118" s="73">
        <f t="shared" si="415"/>
        <v>0</v>
      </c>
      <c r="Z118" s="73">
        <f t="shared" si="415"/>
        <v>0</v>
      </c>
      <c r="AA118" s="73">
        <f t="shared" si="415"/>
        <v>0</v>
      </c>
      <c r="AB118" s="73">
        <f t="shared" si="415"/>
        <v>0</v>
      </c>
      <c r="AC118" s="73">
        <f t="shared" si="415"/>
        <v>0</v>
      </c>
      <c r="AD118" s="73">
        <f t="shared" si="415"/>
        <v>0</v>
      </c>
      <c r="AE118" s="73">
        <f t="shared" si="415"/>
        <v>0</v>
      </c>
      <c r="AF118" s="73">
        <f t="shared" si="415"/>
        <v>0</v>
      </c>
      <c r="AG118" s="73">
        <f t="shared" si="415"/>
        <v>0</v>
      </c>
    </row>
    <row r="119" spans="2:33" x14ac:dyDescent="0.3">
      <c r="B119" s="10" t="s">
        <v>88</v>
      </c>
      <c r="C119" s="10"/>
      <c r="D119" s="73">
        <f t="shared" ref="D119:AG119" si="416">$C$35/$C$36 * ( D43 &lt;= $C$36 ) * 1</f>
        <v>91372.549019607832</v>
      </c>
      <c r="E119" s="73">
        <f t="shared" si="416"/>
        <v>91372.549019607832</v>
      </c>
      <c r="F119" s="73">
        <f t="shared" si="416"/>
        <v>91372.549019607832</v>
      </c>
      <c r="G119" s="73">
        <f t="shared" si="416"/>
        <v>91372.549019607832</v>
      </c>
      <c r="H119" s="73">
        <f t="shared" si="416"/>
        <v>91372.549019607832</v>
      </c>
      <c r="I119" s="73">
        <f t="shared" si="416"/>
        <v>91372.549019607832</v>
      </c>
      <c r="J119" s="73">
        <f t="shared" si="416"/>
        <v>91372.549019607832</v>
      </c>
      <c r="K119" s="73">
        <f t="shared" si="416"/>
        <v>91372.549019607832</v>
      </c>
      <c r="L119" s="73">
        <f t="shared" si="416"/>
        <v>91372.549019607832</v>
      </c>
      <c r="M119" s="73">
        <f t="shared" si="416"/>
        <v>91372.549019607832</v>
      </c>
      <c r="N119" s="73">
        <f t="shared" si="416"/>
        <v>91372.549019607832</v>
      </c>
      <c r="O119" s="73">
        <f t="shared" si="416"/>
        <v>91372.549019607832</v>
      </c>
      <c r="P119" s="73">
        <f t="shared" si="416"/>
        <v>91372.549019607832</v>
      </c>
      <c r="Q119" s="73">
        <f t="shared" si="416"/>
        <v>91372.549019607832</v>
      </c>
      <c r="R119" s="73">
        <f t="shared" si="416"/>
        <v>91372.549019607832</v>
      </c>
      <c r="S119" s="73">
        <f t="shared" si="416"/>
        <v>91372.549019607832</v>
      </c>
      <c r="T119" s="73">
        <f t="shared" si="416"/>
        <v>91372.549019607832</v>
      </c>
      <c r="U119" s="73">
        <f t="shared" si="416"/>
        <v>0</v>
      </c>
      <c r="V119" s="73">
        <f t="shared" si="416"/>
        <v>0</v>
      </c>
      <c r="W119" s="73">
        <f t="shared" si="416"/>
        <v>0</v>
      </c>
      <c r="X119" s="73">
        <f t="shared" si="416"/>
        <v>0</v>
      </c>
      <c r="Y119" s="73">
        <f t="shared" si="416"/>
        <v>0</v>
      </c>
      <c r="Z119" s="73">
        <f t="shared" si="416"/>
        <v>0</v>
      </c>
      <c r="AA119" s="73">
        <f t="shared" si="416"/>
        <v>0</v>
      </c>
      <c r="AB119" s="73">
        <f t="shared" si="416"/>
        <v>0</v>
      </c>
      <c r="AC119" s="73">
        <f t="shared" si="416"/>
        <v>0</v>
      </c>
      <c r="AD119" s="73">
        <f t="shared" si="416"/>
        <v>0</v>
      </c>
      <c r="AE119" s="73">
        <f t="shared" si="416"/>
        <v>0</v>
      </c>
      <c r="AF119" s="73">
        <f t="shared" si="416"/>
        <v>0</v>
      </c>
      <c r="AG119" s="73">
        <f t="shared" si="416"/>
        <v>0</v>
      </c>
    </row>
    <row r="120" spans="2:33" x14ac:dyDescent="0.3">
      <c r="B120" s="10" t="s">
        <v>45</v>
      </c>
      <c r="C120" s="10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</row>
    <row r="121" spans="2:33" s="49" customFormat="1" x14ac:dyDescent="0.3">
      <c r="B121" s="48"/>
      <c r="C121" s="48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</row>
    <row r="122" spans="2:33" x14ac:dyDescent="0.3">
      <c r="B122" s="22" t="s">
        <v>46</v>
      </c>
      <c r="C122" s="22"/>
      <c r="D122" s="71">
        <f t="shared" ref="D122:AG122" ca="1" si="417">D117-D118-D120</f>
        <v>84782.773147858767</v>
      </c>
      <c r="E122" s="71">
        <f t="shared" ca="1" si="417"/>
        <v>72603.867797754094</v>
      </c>
      <c r="F122" s="71">
        <f t="shared" ca="1" si="417"/>
        <v>49844.432044076064</v>
      </c>
      <c r="G122" s="71">
        <f t="shared" ca="1" si="417"/>
        <v>41512.076879981585</v>
      </c>
      <c r="H122" s="71">
        <f t="shared" ca="1" si="417"/>
        <v>53763.95833082305</v>
      </c>
      <c r="I122" s="71">
        <f t="shared" ca="1" si="417"/>
        <v>13009.068869571987</v>
      </c>
      <c r="J122" s="71">
        <f t="shared" ca="1" si="417"/>
        <v>7640.2673831290449</v>
      </c>
      <c r="K122" s="71">
        <f t="shared" ca="1" si="417"/>
        <v>8046.4731747171609</v>
      </c>
      <c r="L122" s="71">
        <f t="shared" ca="1" si="417"/>
        <v>8111.3741032459366</v>
      </c>
      <c r="M122" s="71">
        <f t="shared" ca="1" si="417"/>
        <v>11153.836864113022</v>
      </c>
      <c r="N122" s="71">
        <f t="shared" ca="1" si="417"/>
        <v>-676.94990559254074</v>
      </c>
      <c r="O122" s="71">
        <f t="shared" ca="1" si="417"/>
        <v>6042.4641282067751</v>
      </c>
      <c r="P122" s="71">
        <f t="shared" ca="1" si="417"/>
        <v>5500.0398977407312</v>
      </c>
      <c r="Q122" s="71">
        <f t="shared" ca="1" si="417"/>
        <v>3942.238032065783</v>
      </c>
      <c r="R122" s="71">
        <f t="shared" ca="1" si="417"/>
        <v>2984.7284029855218</v>
      </c>
      <c r="S122" s="71">
        <f t="shared" ca="1" si="417"/>
        <v>-14757.589175800938</v>
      </c>
      <c r="T122" s="71">
        <f t="shared" ca="1" si="417"/>
        <v>-13889.205615613275</v>
      </c>
      <c r="U122" s="71" t="e">
        <f t="shared" ca="1" si="417"/>
        <v>#N/A</v>
      </c>
      <c r="V122" s="71" t="e">
        <f t="shared" ca="1" si="417"/>
        <v>#N/A</v>
      </c>
      <c r="W122" s="71" t="e">
        <f t="shared" ca="1" si="417"/>
        <v>#N/A</v>
      </c>
      <c r="X122" s="71" t="e">
        <f t="shared" ca="1" si="417"/>
        <v>#N/A</v>
      </c>
      <c r="Y122" s="71" t="e">
        <f t="shared" ca="1" si="417"/>
        <v>#N/A</v>
      </c>
      <c r="Z122" s="71" t="e">
        <f t="shared" ca="1" si="417"/>
        <v>#N/A</v>
      </c>
      <c r="AA122" s="71" t="e">
        <f t="shared" ca="1" si="417"/>
        <v>#N/A</v>
      </c>
      <c r="AB122" s="71" t="e">
        <f t="shared" ca="1" si="417"/>
        <v>#N/A</v>
      </c>
      <c r="AC122" s="71" t="e">
        <f t="shared" ca="1" si="417"/>
        <v>#N/A</v>
      </c>
      <c r="AD122" s="71" t="e">
        <f t="shared" ca="1" si="417"/>
        <v>#N/A</v>
      </c>
      <c r="AE122" s="71" t="e">
        <f t="shared" ca="1" si="417"/>
        <v>#N/A</v>
      </c>
      <c r="AF122" s="71" t="e">
        <f t="shared" ca="1" si="417"/>
        <v>#N/A</v>
      </c>
      <c r="AG122" s="71" t="e">
        <f t="shared" ca="1" si="417"/>
        <v>#N/A</v>
      </c>
    </row>
    <row r="123" spans="2:33" x14ac:dyDescent="0.3">
      <c r="B123" s="10" t="s">
        <v>47</v>
      </c>
      <c r="C123" s="22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</row>
    <row r="124" spans="2:33" x14ac:dyDescent="0.3">
      <c r="B124" s="10" t="s">
        <v>48</v>
      </c>
      <c r="C124" s="10"/>
      <c r="D124" s="73">
        <f>$C$21*D144</f>
        <v>37279.999999999993</v>
      </c>
      <c r="E124" s="73">
        <f t="shared" ref="E124:AG124" si="418">$C$21*E144</f>
        <v>35706.839096518372</v>
      </c>
      <c r="F124" s="73">
        <f t="shared" si="418"/>
        <v>34070.751756897473</v>
      </c>
      <c r="G124" s="73">
        <f t="shared" si="418"/>
        <v>32369.220923691748</v>
      </c>
      <c r="H124" s="73">
        <f t="shared" si="418"/>
        <v>30599.62885715779</v>
      </c>
      <c r="I124" s="73">
        <f t="shared" si="418"/>
        <v>28759.253107962475</v>
      </c>
      <c r="J124" s="73">
        <f t="shared" si="418"/>
        <v>26845.262328799345</v>
      </c>
      <c r="K124" s="73">
        <f t="shared" si="418"/>
        <v>24854.711918469693</v>
      </c>
      <c r="L124" s="73">
        <f t="shared" si="418"/>
        <v>22784.53949172685</v>
      </c>
      <c r="M124" s="73">
        <f t="shared" si="418"/>
        <v>20631.560167914296</v>
      </c>
      <c r="N124" s="73">
        <f t="shared" si="418"/>
        <v>18392.461671149242</v>
      </c>
      <c r="O124" s="73">
        <f t="shared" si="418"/>
        <v>16063.799234513584</v>
      </c>
      <c r="P124" s="73">
        <f t="shared" si="418"/>
        <v>13641.990300412499</v>
      </c>
      <c r="Q124" s="73">
        <f t="shared" si="418"/>
        <v>11123.309008947372</v>
      </c>
      <c r="R124" s="73">
        <f t="shared" si="418"/>
        <v>8503.8804658236386</v>
      </c>
      <c r="S124" s="73">
        <f t="shared" si="418"/>
        <v>5779.6747809749568</v>
      </c>
      <c r="T124" s="73">
        <f t="shared" si="418"/>
        <v>2946.5008687323275</v>
      </c>
      <c r="U124" s="73">
        <f t="shared" si="418"/>
        <v>-6.9849193096160886E-12</v>
      </c>
      <c r="V124" s="73">
        <f t="shared" si="418"/>
        <v>-6.9849193096160886E-12</v>
      </c>
      <c r="W124" s="73">
        <f t="shared" si="418"/>
        <v>-6.9849193096160886E-12</v>
      </c>
      <c r="X124" s="73">
        <f t="shared" si="418"/>
        <v>-6.9849193096160886E-12</v>
      </c>
      <c r="Y124" s="73">
        <f t="shared" si="418"/>
        <v>-6.9849193096160886E-12</v>
      </c>
      <c r="Z124" s="73">
        <f t="shared" si="418"/>
        <v>-6.9849193096160886E-12</v>
      </c>
      <c r="AA124" s="73">
        <f t="shared" si="418"/>
        <v>-6.9849193096160886E-12</v>
      </c>
      <c r="AB124" s="73">
        <f t="shared" si="418"/>
        <v>-6.9849193096160886E-12</v>
      </c>
      <c r="AC124" s="73">
        <f t="shared" si="418"/>
        <v>-6.9849193096160886E-12</v>
      </c>
      <c r="AD124" s="73">
        <f t="shared" si="418"/>
        <v>-6.9849193096160886E-12</v>
      </c>
      <c r="AE124" s="73">
        <f t="shared" si="418"/>
        <v>-6.9849193096160886E-12</v>
      </c>
      <c r="AF124" s="73">
        <f t="shared" si="418"/>
        <v>-6.9849193096160886E-12</v>
      </c>
      <c r="AG124" s="73">
        <f t="shared" si="418"/>
        <v>-6.9849193096160886E-12</v>
      </c>
    </row>
    <row r="125" spans="2:33" x14ac:dyDescent="0.3">
      <c r="B125" s="10" t="s">
        <v>49</v>
      </c>
      <c r="C125" s="10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</row>
    <row r="126" spans="2:33" s="49" customFormat="1" x14ac:dyDescent="0.3">
      <c r="B126" s="48"/>
      <c r="C126" s="48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</row>
    <row r="127" spans="2:33" x14ac:dyDescent="0.3">
      <c r="B127" s="22" t="s">
        <v>50</v>
      </c>
      <c r="C127" s="22"/>
      <c r="D127" s="71">
        <f ca="1">D122+D123-D124-D125</f>
        <v>47502.773147858774</v>
      </c>
      <c r="E127" s="71">
        <f t="shared" ref="E127:W127" ca="1" si="419">E122+E123-E124-E125</f>
        <v>36897.028701235722</v>
      </c>
      <c r="F127" s="71">
        <f t="shared" ca="1" si="419"/>
        <v>15773.680287178591</v>
      </c>
      <c r="G127" s="71">
        <f t="shared" ca="1" si="419"/>
        <v>9142.8559562898372</v>
      </c>
      <c r="H127" s="71">
        <f t="shared" ca="1" si="419"/>
        <v>23164.329473665261</v>
      </c>
      <c r="I127" s="71">
        <f t="shared" ca="1" si="419"/>
        <v>-15750.184238390488</v>
      </c>
      <c r="J127" s="71">
        <f t="shared" ca="1" si="419"/>
        <v>-19204.9949456703</v>
      </c>
      <c r="K127" s="71">
        <f t="shared" ca="1" si="419"/>
        <v>-16808.238743752532</v>
      </c>
      <c r="L127" s="71">
        <f t="shared" ca="1" si="419"/>
        <v>-14673.165388480913</v>
      </c>
      <c r="M127" s="71">
        <f t="shared" ca="1" si="419"/>
        <v>-9477.7233038012746</v>
      </c>
      <c r="N127" s="71">
        <f t="shared" ca="1" si="419"/>
        <v>-19069.411576741782</v>
      </c>
      <c r="O127" s="71">
        <f t="shared" ca="1" si="419"/>
        <v>-10021.335106306809</v>
      </c>
      <c r="P127" s="71">
        <f t="shared" ca="1" si="419"/>
        <v>-8141.9504026717677</v>
      </c>
      <c r="Q127" s="71">
        <f t="shared" ca="1" si="419"/>
        <v>-7181.0709768815886</v>
      </c>
      <c r="R127" s="71">
        <f t="shared" ca="1" si="419"/>
        <v>-5519.1520628381168</v>
      </c>
      <c r="S127" s="71">
        <f t="shared" ca="1" si="419"/>
        <v>-20537.263956775896</v>
      </c>
      <c r="T127" s="71">
        <f t="shared" ca="1" si="419"/>
        <v>-16835.706484345603</v>
      </c>
      <c r="U127" s="71" t="e">
        <f t="shared" ca="1" si="419"/>
        <v>#N/A</v>
      </c>
      <c r="V127" s="71" t="e">
        <f t="shared" ca="1" si="419"/>
        <v>#N/A</v>
      </c>
      <c r="W127" s="71" t="e">
        <f t="shared" ca="1" si="419"/>
        <v>#N/A</v>
      </c>
      <c r="X127" s="71" t="e">
        <f t="shared" ref="X127:AG127" ca="1" si="420">X122+X123-X124-X125</f>
        <v>#N/A</v>
      </c>
      <c r="Y127" s="71" t="e">
        <f t="shared" ca="1" si="420"/>
        <v>#N/A</v>
      </c>
      <c r="Z127" s="71" t="e">
        <f t="shared" ca="1" si="420"/>
        <v>#N/A</v>
      </c>
      <c r="AA127" s="71" t="e">
        <f t="shared" ca="1" si="420"/>
        <v>#N/A</v>
      </c>
      <c r="AB127" s="71" t="e">
        <f t="shared" ca="1" si="420"/>
        <v>#N/A</v>
      </c>
      <c r="AC127" s="71" t="e">
        <f t="shared" ca="1" si="420"/>
        <v>#N/A</v>
      </c>
      <c r="AD127" s="71" t="e">
        <f t="shared" ca="1" si="420"/>
        <v>#N/A</v>
      </c>
      <c r="AE127" s="71" t="e">
        <f t="shared" ca="1" si="420"/>
        <v>#N/A</v>
      </c>
      <c r="AF127" s="71" t="e">
        <f t="shared" ca="1" si="420"/>
        <v>#N/A</v>
      </c>
      <c r="AG127" s="71" t="e">
        <f t="shared" ca="1" si="420"/>
        <v>#N/A</v>
      </c>
    </row>
    <row r="128" spans="2:33" x14ac:dyDescent="0.3">
      <c r="B128" s="10" t="s">
        <v>51</v>
      </c>
      <c r="C128" s="10"/>
      <c r="D128" s="73">
        <f ca="1">IF(D151&lt;0,0,D151*25%)</f>
        <v>11875.693286964693</v>
      </c>
      <c r="E128" s="73">
        <f t="shared" ref="E128:AG128" ca="1" si="421">IF(E151&lt;0,0,E151*25%)</f>
        <v>9224.2571753089305</v>
      </c>
      <c r="F128" s="73">
        <f t="shared" ca="1" si="421"/>
        <v>3943.4200717946478</v>
      </c>
      <c r="G128" s="73">
        <f t="shared" ca="1" si="421"/>
        <v>2285.7139890724593</v>
      </c>
      <c r="H128" s="73">
        <f t="shared" ca="1" si="421"/>
        <v>5791.0823684163151</v>
      </c>
      <c r="I128" s="73">
        <f t="shared" ca="1" si="421"/>
        <v>0</v>
      </c>
      <c r="J128" s="73">
        <f t="shared" ca="1" si="421"/>
        <v>0</v>
      </c>
      <c r="K128" s="73">
        <f t="shared" ca="1" si="421"/>
        <v>0</v>
      </c>
      <c r="L128" s="73">
        <f t="shared" ca="1" si="421"/>
        <v>0</v>
      </c>
      <c r="M128" s="73">
        <f t="shared" ca="1" si="421"/>
        <v>0</v>
      </c>
      <c r="N128" s="73">
        <f t="shared" ca="1" si="421"/>
        <v>0</v>
      </c>
      <c r="O128" s="73">
        <f t="shared" ca="1" si="421"/>
        <v>0</v>
      </c>
      <c r="P128" s="73">
        <f t="shared" ca="1" si="421"/>
        <v>0</v>
      </c>
      <c r="Q128" s="73">
        <f t="shared" ca="1" si="421"/>
        <v>0</v>
      </c>
      <c r="R128" s="73">
        <f t="shared" ca="1" si="421"/>
        <v>0</v>
      </c>
      <c r="S128" s="73">
        <f t="shared" ca="1" si="421"/>
        <v>0</v>
      </c>
      <c r="T128" s="73">
        <f t="shared" ca="1" si="421"/>
        <v>0</v>
      </c>
      <c r="U128" s="73" t="e">
        <f t="shared" ca="1" si="421"/>
        <v>#N/A</v>
      </c>
      <c r="V128" s="73" t="e">
        <f t="shared" ca="1" si="421"/>
        <v>#N/A</v>
      </c>
      <c r="W128" s="73" t="e">
        <f t="shared" ca="1" si="421"/>
        <v>#N/A</v>
      </c>
      <c r="X128" s="73" t="e">
        <f t="shared" ca="1" si="421"/>
        <v>#N/A</v>
      </c>
      <c r="Y128" s="73" t="e">
        <f t="shared" ca="1" si="421"/>
        <v>#N/A</v>
      </c>
      <c r="Z128" s="73" t="e">
        <f t="shared" ca="1" si="421"/>
        <v>#N/A</v>
      </c>
      <c r="AA128" s="73" t="e">
        <f t="shared" ca="1" si="421"/>
        <v>#N/A</v>
      </c>
      <c r="AB128" s="73" t="e">
        <f t="shared" ca="1" si="421"/>
        <v>#N/A</v>
      </c>
      <c r="AC128" s="73" t="e">
        <f t="shared" ca="1" si="421"/>
        <v>#N/A</v>
      </c>
      <c r="AD128" s="73" t="e">
        <f t="shared" ca="1" si="421"/>
        <v>#N/A</v>
      </c>
      <c r="AE128" s="73" t="e">
        <f t="shared" ca="1" si="421"/>
        <v>#N/A</v>
      </c>
      <c r="AF128" s="73" t="e">
        <f t="shared" ca="1" si="421"/>
        <v>#N/A</v>
      </c>
      <c r="AG128" s="73" t="e">
        <f t="shared" ca="1" si="421"/>
        <v>#N/A</v>
      </c>
    </row>
    <row r="129" spans="2:33" x14ac:dyDescent="0.3">
      <c r="B129" s="10" t="s">
        <v>52</v>
      </c>
      <c r="C129" s="10"/>
      <c r="D129" s="70">
        <f ca="1">D128/D127</f>
        <v>0.25</v>
      </c>
      <c r="E129" s="70">
        <f t="shared" ref="E129:W129" ca="1" si="422">E128/E127</f>
        <v>0.25</v>
      </c>
      <c r="F129" s="70">
        <f t="shared" ca="1" si="422"/>
        <v>0.25</v>
      </c>
      <c r="G129" s="70">
        <f t="shared" ca="1" si="422"/>
        <v>0.25</v>
      </c>
      <c r="H129" s="70">
        <f t="shared" ca="1" si="422"/>
        <v>0.25</v>
      </c>
      <c r="I129" s="70">
        <f t="shared" ca="1" si="422"/>
        <v>0</v>
      </c>
      <c r="J129" s="70">
        <f t="shared" ca="1" si="422"/>
        <v>0</v>
      </c>
      <c r="K129" s="70">
        <f t="shared" ca="1" si="422"/>
        <v>0</v>
      </c>
      <c r="L129" s="70">
        <f t="shared" ca="1" si="422"/>
        <v>0</v>
      </c>
      <c r="M129" s="70">
        <f t="shared" ca="1" si="422"/>
        <v>0</v>
      </c>
      <c r="N129" s="70">
        <f t="shared" ca="1" si="422"/>
        <v>0</v>
      </c>
      <c r="O129" s="70">
        <f t="shared" ca="1" si="422"/>
        <v>0</v>
      </c>
      <c r="P129" s="70">
        <f t="shared" ca="1" si="422"/>
        <v>0</v>
      </c>
      <c r="Q129" s="70">
        <f t="shared" ca="1" si="422"/>
        <v>0</v>
      </c>
      <c r="R129" s="70">
        <f t="shared" ca="1" si="422"/>
        <v>0</v>
      </c>
      <c r="S129" s="70">
        <f t="shared" ca="1" si="422"/>
        <v>0</v>
      </c>
      <c r="T129" s="70">
        <f t="shared" ca="1" si="422"/>
        <v>0</v>
      </c>
      <c r="U129" s="70" t="e">
        <f t="shared" ca="1" si="422"/>
        <v>#N/A</v>
      </c>
      <c r="V129" s="70" t="e">
        <f t="shared" ca="1" si="422"/>
        <v>#N/A</v>
      </c>
      <c r="W129" s="70" t="e">
        <f t="shared" ca="1" si="422"/>
        <v>#N/A</v>
      </c>
      <c r="X129" s="70" t="e">
        <f t="shared" ref="X129:AG129" ca="1" si="423">X128/X127</f>
        <v>#N/A</v>
      </c>
      <c r="Y129" s="70" t="e">
        <f t="shared" ca="1" si="423"/>
        <v>#N/A</v>
      </c>
      <c r="Z129" s="70" t="e">
        <f t="shared" ca="1" si="423"/>
        <v>#N/A</v>
      </c>
      <c r="AA129" s="70" t="e">
        <f t="shared" ca="1" si="423"/>
        <v>#N/A</v>
      </c>
      <c r="AB129" s="70" t="e">
        <f t="shared" ca="1" si="423"/>
        <v>#N/A</v>
      </c>
      <c r="AC129" s="70" t="e">
        <f t="shared" ca="1" si="423"/>
        <v>#N/A</v>
      </c>
      <c r="AD129" s="70" t="e">
        <f t="shared" ca="1" si="423"/>
        <v>#N/A</v>
      </c>
      <c r="AE129" s="70" t="e">
        <f t="shared" ca="1" si="423"/>
        <v>#N/A</v>
      </c>
      <c r="AF129" s="70" t="e">
        <f t="shared" ca="1" si="423"/>
        <v>#N/A</v>
      </c>
      <c r="AG129" s="70" t="e">
        <f t="shared" ca="1" si="423"/>
        <v>#N/A</v>
      </c>
    </row>
    <row r="130" spans="2:33" s="49" customFormat="1" x14ac:dyDescent="0.3">
      <c r="B130" s="48"/>
      <c r="C130" s="48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</row>
    <row r="131" spans="2:33" x14ac:dyDescent="0.3">
      <c r="B131" s="22" t="s">
        <v>53</v>
      </c>
      <c r="C131" s="22"/>
      <c r="D131" s="71">
        <f ca="1">D127-D128</f>
        <v>35627.079860894082</v>
      </c>
      <c r="E131" s="71">
        <f t="shared" ref="E131:W131" ca="1" si="424">E127-E128</f>
        <v>27672.771525926793</v>
      </c>
      <c r="F131" s="71">
        <f t="shared" ca="1" si="424"/>
        <v>11830.260215383943</v>
      </c>
      <c r="G131" s="71">
        <f t="shared" ca="1" si="424"/>
        <v>6857.1419672173779</v>
      </c>
      <c r="H131" s="71">
        <f t="shared" ca="1" si="424"/>
        <v>17373.247105248945</v>
      </c>
      <c r="I131" s="71">
        <f t="shared" ca="1" si="424"/>
        <v>-15750.184238390488</v>
      </c>
      <c r="J131" s="71">
        <f t="shared" ca="1" si="424"/>
        <v>-19204.9949456703</v>
      </c>
      <c r="K131" s="71">
        <f t="shared" ca="1" si="424"/>
        <v>-16808.238743752532</v>
      </c>
      <c r="L131" s="71">
        <f t="shared" ca="1" si="424"/>
        <v>-14673.165388480913</v>
      </c>
      <c r="M131" s="71">
        <f t="shared" ca="1" si="424"/>
        <v>-9477.7233038012746</v>
      </c>
      <c r="N131" s="71">
        <f t="shared" ca="1" si="424"/>
        <v>-19069.411576741782</v>
      </c>
      <c r="O131" s="71">
        <f t="shared" ca="1" si="424"/>
        <v>-10021.335106306809</v>
      </c>
      <c r="P131" s="71">
        <f t="shared" ca="1" si="424"/>
        <v>-8141.9504026717677</v>
      </c>
      <c r="Q131" s="71">
        <f t="shared" ca="1" si="424"/>
        <v>-7181.0709768815886</v>
      </c>
      <c r="R131" s="71">
        <f t="shared" ca="1" si="424"/>
        <v>-5519.1520628381168</v>
      </c>
      <c r="S131" s="71">
        <f t="shared" ca="1" si="424"/>
        <v>-20537.263956775896</v>
      </c>
      <c r="T131" s="71">
        <f t="shared" ca="1" si="424"/>
        <v>-16835.706484345603</v>
      </c>
      <c r="U131" s="71" t="e">
        <f t="shared" ca="1" si="424"/>
        <v>#N/A</v>
      </c>
      <c r="V131" s="71" t="e">
        <f t="shared" ca="1" si="424"/>
        <v>#N/A</v>
      </c>
      <c r="W131" s="71" t="e">
        <f t="shared" ca="1" si="424"/>
        <v>#N/A</v>
      </c>
      <c r="X131" s="71" t="e">
        <f t="shared" ref="X131:AG131" ca="1" si="425">X127-X128</f>
        <v>#N/A</v>
      </c>
      <c r="Y131" s="71" t="e">
        <f t="shared" ca="1" si="425"/>
        <v>#N/A</v>
      </c>
      <c r="Z131" s="71" t="e">
        <f t="shared" ca="1" si="425"/>
        <v>#N/A</v>
      </c>
      <c r="AA131" s="71" t="e">
        <f t="shared" ca="1" si="425"/>
        <v>#N/A</v>
      </c>
      <c r="AB131" s="71" t="e">
        <f t="shared" ca="1" si="425"/>
        <v>#N/A</v>
      </c>
      <c r="AC131" s="71" t="e">
        <f t="shared" ca="1" si="425"/>
        <v>#N/A</v>
      </c>
      <c r="AD131" s="71" t="e">
        <f t="shared" ca="1" si="425"/>
        <v>#N/A</v>
      </c>
      <c r="AE131" s="71" t="e">
        <f t="shared" ca="1" si="425"/>
        <v>#N/A</v>
      </c>
      <c r="AF131" s="71" t="e">
        <f t="shared" ca="1" si="425"/>
        <v>#N/A</v>
      </c>
      <c r="AG131" s="71" t="e">
        <f t="shared" ca="1" si="425"/>
        <v>#N/A</v>
      </c>
    </row>
    <row r="133" spans="2:33" x14ac:dyDescent="0.3">
      <c r="B133" s="5" t="s">
        <v>54</v>
      </c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</row>
    <row r="134" spans="2:33" x14ac:dyDescent="0.3"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</row>
    <row r="135" spans="2:33" x14ac:dyDescent="0.3">
      <c r="B135" s="10" t="s">
        <v>55</v>
      </c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2:33" x14ac:dyDescent="0.3">
      <c r="B136" s="10" t="s">
        <v>56</v>
      </c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2:33" x14ac:dyDescent="0.3">
      <c r="B137" s="10" t="s">
        <v>57</v>
      </c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2:33" x14ac:dyDescent="0.3">
      <c r="B138" s="10" t="s">
        <v>58</v>
      </c>
      <c r="C138" s="44"/>
      <c r="D138" s="44">
        <f t="shared" ref="D138:AG138" si="426">IFERROR(PPMT($C$21,D$142,$C$22,$C$18),0)</f>
        <v>-39329.022587040687</v>
      </c>
      <c r="E138" s="44">
        <f t="shared" si="426"/>
        <v>-40902.183490522315</v>
      </c>
      <c r="F138" s="44">
        <f t="shared" si="426"/>
        <v>-42538.270830143214</v>
      </c>
      <c r="G138" s="44">
        <f t="shared" si="426"/>
        <v>-44239.801663348946</v>
      </c>
      <c r="H138" s="44">
        <f t="shared" si="426"/>
        <v>-46009.39372988289</v>
      </c>
      <c r="I138" s="44">
        <f t="shared" si="426"/>
        <v>-47849.769479078212</v>
      </c>
      <c r="J138" s="44">
        <f t="shared" si="426"/>
        <v>-49763.760258241346</v>
      </c>
      <c r="K138" s="44">
        <f t="shared" si="426"/>
        <v>-51754.310668570994</v>
      </c>
      <c r="L138" s="44">
        <f t="shared" si="426"/>
        <v>-53824.48309531383</v>
      </c>
      <c r="M138" s="44">
        <f t="shared" si="426"/>
        <v>-55977.462419126387</v>
      </c>
      <c r="N138" s="44">
        <f t="shared" si="426"/>
        <v>-58216.560915891445</v>
      </c>
      <c r="O138" s="44">
        <f t="shared" si="426"/>
        <v>-60545.2233525271</v>
      </c>
      <c r="P138" s="44">
        <f t="shared" si="426"/>
        <v>-62967.032286628186</v>
      </c>
      <c r="Q138" s="44">
        <f t="shared" si="426"/>
        <v>-65485.713578093317</v>
      </c>
      <c r="R138" s="44">
        <f t="shared" si="426"/>
        <v>-68105.142121217054</v>
      </c>
      <c r="S138" s="44">
        <f t="shared" si="426"/>
        <v>-70829.347806065722</v>
      </c>
      <c r="T138" s="44">
        <f t="shared" si="426"/>
        <v>-73662.521718308359</v>
      </c>
      <c r="U138" s="44">
        <f t="shared" si="426"/>
        <v>0</v>
      </c>
      <c r="V138" s="44">
        <f t="shared" si="426"/>
        <v>0</v>
      </c>
      <c r="W138" s="44">
        <f t="shared" si="426"/>
        <v>0</v>
      </c>
      <c r="X138" s="44">
        <f t="shared" si="426"/>
        <v>0</v>
      </c>
      <c r="Y138" s="44">
        <f t="shared" si="426"/>
        <v>0</v>
      </c>
      <c r="Z138" s="44">
        <f t="shared" si="426"/>
        <v>0</v>
      </c>
      <c r="AA138" s="44">
        <f t="shared" si="426"/>
        <v>0</v>
      </c>
      <c r="AB138" s="44">
        <f t="shared" si="426"/>
        <v>0</v>
      </c>
      <c r="AC138" s="44">
        <f t="shared" si="426"/>
        <v>0</v>
      </c>
      <c r="AD138" s="44">
        <f t="shared" si="426"/>
        <v>0</v>
      </c>
      <c r="AE138" s="44">
        <f t="shared" si="426"/>
        <v>0</v>
      </c>
      <c r="AF138" s="44">
        <f t="shared" si="426"/>
        <v>0</v>
      </c>
      <c r="AG138" s="44">
        <f t="shared" si="426"/>
        <v>0</v>
      </c>
    </row>
    <row r="139" spans="2:33" x14ac:dyDescent="0.3">
      <c r="B139" s="10" t="s">
        <v>59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2:33" x14ac:dyDescent="0.3">
      <c r="B140" s="10" t="s">
        <v>60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  <row r="142" spans="2:33" x14ac:dyDescent="0.3">
      <c r="B142" s="7" t="s">
        <v>61</v>
      </c>
      <c r="C142" s="6"/>
      <c r="D142" s="6">
        <v>1</v>
      </c>
      <c r="E142" s="6">
        <v>2</v>
      </c>
      <c r="F142" s="6">
        <v>3</v>
      </c>
      <c r="G142" s="6">
        <v>4</v>
      </c>
      <c r="H142" s="6">
        <v>5</v>
      </c>
      <c r="I142" s="6">
        <v>6</v>
      </c>
      <c r="J142" s="6">
        <v>7</v>
      </c>
      <c r="K142" s="6">
        <v>8</v>
      </c>
      <c r="L142" s="6">
        <v>9</v>
      </c>
      <c r="M142" s="6">
        <v>10</v>
      </c>
      <c r="N142" s="6">
        <v>11</v>
      </c>
      <c r="O142" s="6">
        <v>12</v>
      </c>
      <c r="P142" s="6">
        <v>13</v>
      </c>
      <c r="Q142" s="6">
        <v>14</v>
      </c>
      <c r="R142" s="6">
        <v>15</v>
      </c>
      <c r="S142" s="6">
        <v>16</v>
      </c>
      <c r="T142" s="6">
        <v>17</v>
      </c>
      <c r="U142" s="6">
        <v>18</v>
      </c>
      <c r="V142" s="6">
        <v>19</v>
      </c>
      <c r="W142" s="6">
        <v>20</v>
      </c>
      <c r="X142" s="6">
        <v>21</v>
      </c>
      <c r="Y142" s="6">
        <v>22</v>
      </c>
      <c r="Z142" s="6">
        <v>23</v>
      </c>
      <c r="AA142" s="6">
        <v>24</v>
      </c>
      <c r="AB142" s="6">
        <v>25</v>
      </c>
      <c r="AC142" s="6">
        <v>26</v>
      </c>
      <c r="AD142" s="6">
        <v>27</v>
      </c>
      <c r="AE142" s="6">
        <v>28</v>
      </c>
      <c r="AF142" s="6">
        <v>29</v>
      </c>
      <c r="AG142" s="6">
        <v>30</v>
      </c>
    </row>
    <row r="144" spans="2:33" x14ac:dyDescent="0.3">
      <c r="B144" s="10" t="s">
        <v>62</v>
      </c>
      <c r="C144" s="20"/>
      <c r="D144" s="37">
        <f>C18</f>
        <v>931999.99999999988</v>
      </c>
      <c r="E144" s="37">
        <f>D148</f>
        <v>892670.97741295921</v>
      </c>
      <c r="F144" s="37">
        <f>E148</f>
        <v>851768.79392243689</v>
      </c>
      <c r="G144" s="37">
        <f t="shared" ref="G144:V144" si="427">F148</f>
        <v>809230.52309229365</v>
      </c>
      <c r="H144" s="37">
        <f t="shared" si="427"/>
        <v>764990.72142894473</v>
      </c>
      <c r="I144" s="37">
        <f t="shared" si="427"/>
        <v>718981.32769906183</v>
      </c>
      <c r="J144" s="37">
        <f t="shared" si="427"/>
        <v>671131.55821998359</v>
      </c>
      <c r="K144" s="37">
        <f t="shared" si="427"/>
        <v>621367.79796174227</v>
      </c>
      <c r="L144" s="37">
        <f t="shared" si="427"/>
        <v>569613.48729317123</v>
      </c>
      <c r="M144" s="37">
        <f t="shared" si="427"/>
        <v>515789.0041978574</v>
      </c>
      <c r="N144" s="37">
        <f t="shared" si="427"/>
        <v>459811.54177873104</v>
      </c>
      <c r="O144" s="37">
        <f t="shared" si="427"/>
        <v>401594.98086283961</v>
      </c>
      <c r="P144" s="37">
        <f t="shared" si="427"/>
        <v>341049.75751031248</v>
      </c>
      <c r="Q144" s="37">
        <f t="shared" si="427"/>
        <v>278082.72522368428</v>
      </c>
      <c r="R144" s="37">
        <f t="shared" si="427"/>
        <v>212597.01164559094</v>
      </c>
      <c r="S144" s="37">
        <f t="shared" si="427"/>
        <v>144491.86952437391</v>
      </c>
      <c r="T144" s="37">
        <f t="shared" si="427"/>
        <v>73662.521718308184</v>
      </c>
      <c r="U144" s="37">
        <f t="shared" si="427"/>
        <v>-1.7462298274040222E-10</v>
      </c>
      <c r="V144" s="37">
        <f t="shared" si="427"/>
        <v>-1.7462298274040222E-10</v>
      </c>
      <c r="W144" s="37">
        <f>V148</f>
        <v>-1.7462298274040222E-10</v>
      </c>
      <c r="X144" s="37">
        <f t="shared" ref="X144:AG144" si="428">W148</f>
        <v>-1.7462298274040222E-10</v>
      </c>
      <c r="Y144" s="37">
        <f t="shared" si="428"/>
        <v>-1.7462298274040222E-10</v>
      </c>
      <c r="Z144" s="37">
        <f t="shared" si="428"/>
        <v>-1.7462298274040222E-10</v>
      </c>
      <c r="AA144" s="37">
        <f t="shared" si="428"/>
        <v>-1.7462298274040222E-10</v>
      </c>
      <c r="AB144" s="37">
        <f t="shared" si="428"/>
        <v>-1.7462298274040222E-10</v>
      </c>
      <c r="AC144" s="37">
        <f t="shared" si="428"/>
        <v>-1.7462298274040222E-10</v>
      </c>
      <c r="AD144" s="37">
        <f t="shared" si="428"/>
        <v>-1.7462298274040222E-10</v>
      </c>
      <c r="AE144" s="37">
        <f t="shared" si="428"/>
        <v>-1.7462298274040222E-10</v>
      </c>
      <c r="AF144" s="37">
        <f t="shared" si="428"/>
        <v>-1.7462298274040222E-10</v>
      </c>
      <c r="AG144" s="37">
        <f t="shared" si="428"/>
        <v>-1.7462298274040222E-10</v>
      </c>
    </row>
    <row r="145" spans="2:33" x14ac:dyDescent="0.3">
      <c r="B145" s="10" t="s">
        <v>63</v>
      </c>
      <c r="D145" s="37">
        <f>D124</f>
        <v>37279.999999999993</v>
      </c>
      <c r="E145" s="37">
        <f t="shared" ref="E145:W145" si="429">E124</f>
        <v>35706.839096518372</v>
      </c>
      <c r="F145" s="37">
        <f t="shared" si="429"/>
        <v>34070.751756897473</v>
      </c>
      <c r="G145" s="37">
        <f t="shared" si="429"/>
        <v>32369.220923691748</v>
      </c>
      <c r="H145" s="37">
        <f t="shared" si="429"/>
        <v>30599.62885715779</v>
      </c>
      <c r="I145" s="37">
        <f t="shared" si="429"/>
        <v>28759.253107962475</v>
      </c>
      <c r="J145" s="37">
        <f t="shared" si="429"/>
        <v>26845.262328799345</v>
      </c>
      <c r="K145" s="37">
        <f t="shared" si="429"/>
        <v>24854.711918469693</v>
      </c>
      <c r="L145" s="37">
        <f t="shared" si="429"/>
        <v>22784.53949172685</v>
      </c>
      <c r="M145" s="37">
        <f t="shared" si="429"/>
        <v>20631.560167914296</v>
      </c>
      <c r="N145" s="37">
        <f t="shared" si="429"/>
        <v>18392.461671149242</v>
      </c>
      <c r="O145" s="37">
        <f t="shared" si="429"/>
        <v>16063.799234513584</v>
      </c>
      <c r="P145" s="37">
        <f t="shared" si="429"/>
        <v>13641.990300412499</v>
      </c>
      <c r="Q145" s="37">
        <f t="shared" si="429"/>
        <v>11123.309008947372</v>
      </c>
      <c r="R145" s="37">
        <f t="shared" si="429"/>
        <v>8503.8804658236386</v>
      </c>
      <c r="S145" s="37">
        <f t="shared" si="429"/>
        <v>5779.6747809749568</v>
      </c>
      <c r="T145" s="37">
        <f t="shared" si="429"/>
        <v>2946.5008687323275</v>
      </c>
      <c r="U145" s="37">
        <f t="shared" si="429"/>
        <v>-6.9849193096160886E-12</v>
      </c>
      <c r="V145" s="37">
        <f t="shared" si="429"/>
        <v>-6.9849193096160886E-12</v>
      </c>
      <c r="W145" s="37">
        <f t="shared" si="429"/>
        <v>-6.9849193096160886E-12</v>
      </c>
      <c r="X145" s="37">
        <f t="shared" ref="X145:AG145" si="430">X124</f>
        <v>-6.9849193096160886E-12</v>
      </c>
      <c r="Y145" s="37">
        <f t="shared" si="430"/>
        <v>-6.9849193096160886E-12</v>
      </c>
      <c r="Z145" s="37">
        <f t="shared" si="430"/>
        <v>-6.9849193096160886E-12</v>
      </c>
      <c r="AA145" s="37">
        <f t="shared" si="430"/>
        <v>-6.9849193096160886E-12</v>
      </c>
      <c r="AB145" s="37">
        <f t="shared" si="430"/>
        <v>-6.9849193096160886E-12</v>
      </c>
      <c r="AC145" s="37">
        <f t="shared" si="430"/>
        <v>-6.9849193096160886E-12</v>
      </c>
      <c r="AD145" s="37">
        <f t="shared" si="430"/>
        <v>-6.9849193096160886E-12</v>
      </c>
      <c r="AE145" s="37">
        <f t="shared" si="430"/>
        <v>-6.9849193096160886E-12</v>
      </c>
      <c r="AF145" s="37">
        <f t="shared" si="430"/>
        <v>-6.9849193096160886E-12</v>
      </c>
      <c r="AG145" s="37">
        <f t="shared" si="430"/>
        <v>-6.9849193096160886E-12</v>
      </c>
    </row>
    <row r="146" spans="2:33" x14ac:dyDescent="0.3">
      <c r="B146" s="10" t="s">
        <v>64</v>
      </c>
      <c r="D146" s="37">
        <f>-D138</f>
        <v>39329.022587040687</v>
      </c>
      <c r="E146" s="37">
        <f t="shared" ref="E146:W146" si="431">-E138</f>
        <v>40902.183490522315</v>
      </c>
      <c r="F146" s="37">
        <f t="shared" si="431"/>
        <v>42538.270830143214</v>
      </c>
      <c r="G146" s="37">
        <f t="shared" si="431"/>
        <v>44239.801663348946</v>
      </c>
      <c r="H146" s="37">
        <f t="shared" si="431"/>
        <v>46009.39372988289</v>
      </c>
      <c r="I146" s="37">
        <f t="shared" si="431"/>
        <v>47849.769479078212</v>
      </c>
      <c r="J146" s="37">
        <f t="shared" si="431"/>
        <v>49763.760258241346</v>
      </c>
      <c r="K146" s="37">
        <f t="shared" si="431"/>
        <v>51754.310668570994</v>
      </c>
      <c r="L146" s="37">
        <f t="shared" si="431"/>
        <v>53824.48309531383</v>
      </c>
      <c r="M146" s="37">
        <f t="shared" si="431"/>
        <v>55977.462419126387</v>
      </c>
      <c r="N146" s="37">
        <f t="shared" si="431"/>
        <v>58216.560915891445</v>
      </c>
      <c r="O146" s="37">
        <f t="shared" si="431"/>
        <v>60545.2233525271</v>
      </c>
      <c r="P146" s="37">
        <f t="shared" si="431"/>
        <v>62967.032286628186</v>
      </c>
      <c r="Q146" s="37">
        <f t="shared" si="431"/>
        <v>65485.713578093317</v>
      </c>
      <c r="R146" s="37">
        <f t="shared" si="431"/>
        <v>68105.142121217054</v>
      </c>
      <c r="S146" s="37">
        <f t="shared" si="431"/>
        <v>70829.347806065722</v>
      </c>
      <c r="T146" s="37">
        <f t="shared" si="431"/>
        <v>73662.521718308359</v>
      </c>
      <c r="U146" s="37">
        <f t="shared" si="431"/>
        <v>0</v>
      </c>
      <c r="V146" s="37">
        <f t="shared" si="431"/>
        <v>0</v>
      </c>
      <c r="W146" s="37">
        <f t="shared" si="431"/>
        <v>0</v>
      </c>
      <c r="X146" s="37">
        <f t="shared" ref="X146:AG146" si="432">-X138</f>
        <v>0</v>
      </c>
      <c r="Y146" s="37">
        <f t="shared" si="432"/>
        <v>0</v>
      </c>
      <c r="Z146" s="37">
        <f t="shared" si="432"/>
        <v>0</v>
      </c>
      <c r="AA146" s="37">
        <f t="shared" si="432"/>
        <v>0</v>
      </c>
      <c r="AB146" s="37">
        <f t="shared" si="432"/>
        <v>0</v>
      </c>
      <c r="AC146" s="37">
        <f t="shared" si="432"/>
        <v>0</v>
      </c>
      <c r="AD146" s="37">
        <f t="shared" si="432"/>
        <v>0</v>
      </c>
      <c r="AE146" s="37">
        <f t="shared" si="432"/>
        <v>0</v>
      </c>
      <c r="AF146" s="37">
        <f t="shared" si="432"/>
        <v>0</v>
      </c>
      <c r="AG146" s="37">
        <f t="shared" si="432"/>
        <v>0</v>
      </c>
    </row>
    <row r="147" spans="2:33" x14ac:dyDescent="0.3">
      <c r="B147" s="10" t="s">
        <v>65</v>
      </c>
      <c r="D147" s="37">
        <f>D145+D146</f>
        <v>76609.022587040672</v>
      </c>
      <c r="E147" s="37">
        <f t="shared" ref="E147:W147" si="433">E145+E146</f>
        <v>76609.022587040687</v>
      </c>
      <c r="F147" s="37">
        <f t="shared" si="433"/>
        <v>76609.022587040687</v>
      </c>
      <c r="G147" s="37">
        <f t="shared" si="433"/>
        <v>76609.022587040701</v>
      </c>
      <c r="H147" s="37">
        <f t="shared" si="433"/>
        <v>76609.022587040672</v>
      </c>
      <c r="I147" s="37">
        <f t="shared" si="433"/>
        <v>76609.022587040687</v>
      </c>
      <c r="J147" s="37">
        <f t="shared" si="433"/>
        <v>76609.022587040687</v>
      </c>
      <c r="K147" s="37">
        <f t="shared" si="433"/>
        <v>76609.022587040687</v>
      </c>
      <c r="L147" s="37">
        <f t="shared" si="433"/>
        <v>76609.022587040672</v>
      </c>
      <c r="M147" s="37">
        <f t="shared" si="433"/>
        <v>76609.022587040687</v>
      </c>
      <c r="N147" s="37">
        <f t="shared" si="433"/>
        <v>76609.022587040687</v>
      </c>
      <c r="O147" s="37">
        <f t="shared" si="433"/>
        <v>76609.022587040687</v>
      </c>
      <c r="P147" s="37">
        <f t="shared" si="433"/>
        <v>76609.022587040687</v>
      </c>
      <c r="Q147" s="37">
        <f t="shared" si="433"/>
        <v>76609.022587040687</v>
      </c>
      <c r="R147" s="37">
        <f t="shared" si="433"/>
        <v>76609.022587040687</v>
      </c>
      <c r="S147" s="37">
        <f t="shared" si="433"/>
        <v>76609.022587040672</v>
      </c>
      <c r="T147" s="37">
        <f t="shared" si="433"/>
        <v>76609.022587040687</v>
      </c>
      <c r="U147" s="37">
        <f t="shared" si="433"/>
        <v>-6.9849193096160886E-12</v>
      </c>
      <c r="V147" s="37">
        <f t="shared" si="433"/>
        <v>-6.9849193096160886E-12</v>
      </c>
      <c r="W147" s="37">
        <f t="shared" si="433"/>
        <v>-6.9849193096160886E-12</v>
      </c>
      <c r="X147" s="37">
        <f t="shared" ref="X147:AG147" si="434">X145+X146</f>
        <v>-6.9849193096160886E-12</v>
      </c>
      <c r="Y147" s="37">
        <f t="shared" si="434"/>
        <v>-6.9849193096160886E-12</v>
      </c>
      <c r="Z147" s="37">
        <f t="shared" si="434"/>
        <v>-6.9849193096160886E-12</v>
      </c>
      <c r="AA147" s="37">
        <f t="shared" si="434"/>
        <v>-6.9849193096160886E-12</v>
      </c>
      <c r="AB147" s="37">
        <f t="shared" si="434"/>
        <v>-6.9849193096160886E-12</v>
      </c>
      <c r="AC147" s="37">
        <f t="shared" si="434"/>
        <v>-6.9849193096160886E-12</v>
      </c>
      <c r="AD147" s="37">
        <f t="shared" si="434"/>
        <v>-6.9849193096160886E-12</v>
      </c>
      <c r="AE147" s="37">
        <f t="shared" si="434"/>
        <v>-6.9849193096160886E-12</v>
      </c>
      <c r="AF147" s="37">
        <f t="shared" si="434"/>
        <v>-6.9849193096160886E-12</v>
      </c>
      <c r="AG147" s="37">
        <f t="shared" si="434"/>
        <v>-6.9849193096160886E-12</v>
      </c>
    </row>
    <row r="148" spans="2:33" x14ac:dyDescent="0.3">
      <c r="B148" s="10" t="s">
        <v>66</v>
      </c>
      <c r="D148" s="37">
        <f>D144-D146</f>
        <v>892670.97741295921</v>
      </c>
      <c r="E148" s="37">
        <f>E144-E146</f>
        <v>851768.79392243689</v>
      </c>
      <c r="F148" s="37">
        <f t="shared" ref="F148:W148" si="435">F144-F146</f>
        <v>809230.52309229365</v>
      </c>
      <c r="G148" s="37">
        <f t="shared" si="435"/>
        <v>764990.72142894473</v>
      </c>
      <c r="H148" s="37">
        <f t="shared" si="435"/>
        <v>718981.32769906183</v>
      </c>
      <c r="I148" s="37">
        <f t="shared" si="435"/>
        <v>671131.55821998359</v>
      </c>
      <c r="J148" s="37">
        <f t="shared" si="435"/>
        <v>621367.79796174227</v>
      </c>
      <c r="K148" s="37">
        <f t="shared" si="435"/>
        <v>569613.48729317123</v>
      </c>
      <c r="L148" s="37">
        <f t="shared" si="435"/>
        <v>515789.0041978574</v>
      </c>
      <c r="M148" s="37">
        <f t="shared" si="435"/>
        <v>459811.54177873104</v>
      </c>
      <c r="N148" s="37">
        <f t="shared" si="435"/>
        <v>401594.98086283961</v>
      </c>
      <c r="O148" s="37">
        <f t="shared" si="435"/>
        <v>341049.75751031248</v>
      </c>
      <c r="P148" s="37">
        <f t="shared" si="435"/>
        <v>278082.72522368428</v>
      </c>
      <c r="Q148" s="37">
        <f t="shared" si="435"/>
        <v>212597.01164559094</v>
      </c>
      <c r="R148" s="37">
        <f t="shared" si="435"/>
        <v>144491.86952437391</v>
      </c>
      <c r="S148" s="37">
        <f t="shared" si="435"/>
        <v>73662.521718308184</v>
      </c>
      <c r="T148" s="37">
        <f t="shared" si="435"/>
        <v>-1.7462298274040222E-10</v>
      </c>
      <c r="U148" s="37">
        <f t="shared" si="435"/>
        <v>-1.7462298274040222E-10</v>
      </c>
      <c r="V148" s="37">
        <f t="shared" si="435"/>
        <v>-1.7462298274040222E-10</v>
      </c>
      <c r="W148" s="37">
        <f t="shared" si="435"/>
        <v>-1.7462298274040222E-10</v>
      </c>
      <c r="X148" s="37">
        <f t="shared" ref="X148:AG148" si="436">X144-X146</f>
        <v>-1.7462298274040222E-10</v>
      </c>
      <c r="Y148" s="37">
        <f t="shared" si="436"/>
        <v>-1.7462298274040222E-10</v>
      </c>
      <c r="Z148" s="37">
        <f t="shared" si="436"/>
        <v>-1.7462298274040222E-10</v>
      </c>
      <c r="AA148" s="37">
        <f t="shared" si="436"/>
        <v>-1.7462298274040222E-10</v>
      </c>
      <c r="AB148" s="37">
        <f t="shared" si="436"/>
        <v>-1.7462298274040222E-10</v>
      </c>
      <c r="AC148" s="37">
        <f t="shared" si="436"/>
        <v>-1.7462298274040222E-10</v>
      </c>
      <c r="AD148" s="37">
        <f t="shared" si="436"/>
        <v>-1.7462298274040222E-10</v>
      </c>
      <c r="AE148" s="37">
        <f t="shared" si="436"/>
        <v>-1.7462298274040222E-10</v>
      </c>
      <c r="AF148" s="37">
        <f t="shared" si="436"/>
        <v>-1.7462298274040222E-10</v>
      </c>
      <c r="AG148" s="37">
        <f t="shared" si="436"/>
        <v>-1.7462298274040222E-10</v>
      </c>
    </row>
    <row r="150" spans="2:33" s="16" customFormat="1" ht="14.5" x14ac:dyDescent="0.35">
      <c r="B150" s="14" t="s">
        <v>67</v>
      </c>
      <c r="C150" s="15"/>
      <c r="D150" s="15">
        <f t="shared" ref="D150:AG150" si="437">IF(-C127+C150&gt;0,-C127+C150,0)</f>
        <v>0</v>
      </c>
      <c r="E150" s="15">
        <f t="shared" ca="1" si="437"/>
        <v>0</v>
      </c>
      <c r="F150" s="15">
        <f t="shared" ca="1" si="437"/>
        <v>0</v>
      </c>
      <c r="G150" s="15">
        <f t="shared" ca="1" si="437"/>
        <v>0</v>
      </c>
      <c r="H150" s="15">
        <f t="shared" ca="1" si="437"/>
        <v>0</v>
      </c>
      <c r="I150" s="15">
        <f t="shared" ca="1" si="437"/>
        <v>0</v>
      </c>
      <c r="J150" s="15">
        <f t="shared" ca="1" si="437"/>
        <v>15750.184238390488</v>
      </c>
      <c r="K150" s="15">
        <f t="shared" ca="1" si="437"/>
        <v>34955.179184060791</v>
      </c>
      <c r="L150" s="15">
        <f t="shared" ca="1" si="437"/>
        <v>51763.417927813323</v>
      </c>
      <c r="M150" s="15">
        <f t="shared" ca="1" si="437"/>
        <v>66436.583316294244</v>
      </c>
      <c r="N150" s="15">
        <f t="shared" ca="1" si="437"/>
        <v>75914.306620095522</v>
      </c>
      <c r="O150" s="15">
        <f t="shared" ca="1" si="437"/>
        <v>94983.718196837304</v>
      </c>
      <c r="P150" s="15">
        <f t="shared" ca="1" si="437"/>
        <v>105005.05330314412</v>
      </c>
      <c r="Q150" s="15">
        <f t="shared" ca="1" si="437"/>
        <v>113147.00370581588</v>
      </c>
      <c r="R150" s="15">
        <f t="shared" ca="1" si="437"/>
        <v>120328.07468269746</v>
      </c>
      <c r="S150" s="15">
        <f t="shared" ca="1" si="437"/>
        <v>125847.22674553558</v>
      </c>
      <c r="T150" s="15">
        <f t="shared" ca="1" si="437"/>
        <v>146384.49070231148</v>
      </c>
      <c r="U150" s="15">
        <f t="shared" ca="1" si="437"/>
        <v>163220.19718665708</v>
      </c>
      <c r="V150" s="15" t="e">
        <f t="shared" ca="1" si="437"/>
        <v>#N/A</v>
      </c>
      <c r="W150" s="15" t="e">
        <f t="shared" ca="1" si="437"/>
        <v>#N/A</v>
      </c>
      <c r="X150" s="15" t="e">
        <f t="shared" ca="1" si="437"/>
        <v>#N/A</v>
      </c>
      <c r="Y150" s="15" t="e">
        <f t="shared" ca="1" si="437"/>
        <v>#N/A</v>
      </c>
      <c r="Z150" s="15" t="e">
        <f t="shared" ca="1" si="437"/>
        <v>#N/A</v>
      </c>
      <c r="AA150" s="15" t="e">
        <f t="shared" ca="1" si="437"/>
        <v>#N/A</v>
      </c>
      <c r="AB150" s="15" t="e">
        <f t="shared" ca="1" si="437"/>
        <v>#N/A</v>
      </c>
      <c r="AC150" s="15" t="e">
        <f t="shared" ca="1" si="437"/>
        <v>#N/A</v>
      </c>
      <c r="AD150" s="15" t="e">
        <f t="shared" ca="1" si="437"/>
        <v>#N/A</v>
      </c>
      <c r="AE150" s="15" t="e">
        <f t="shared" ca="1" si="437"/>
        <v>#N/A</v>
      </c>
      <c r="AF150" s="15" t="e">
        <f t="shared" ca="1" si="437"/>
        <v>#N/A</v>
      </c>
      <c r="AG150" s="15" t="e">
        <f t="shared" ca="1" si="437"/>
        <v>#N/A</v>
      </c>
    </row>
    <row r="151" spans="2:33" s="16" customFormat="1" ht="14.5" x14ac:dyDescent="0.35">
      <c r="B151" s="14" t="s">
        <v>68</v>
      </c>
      <c r="C151" s="15"/>
      <c r="D151" s="15">
        <f t="shared" ref="D151:AG151" ca="1" si="438">D127-D150</f>
        <v>47502.773147858774</v>
      </c>
      <c r="E151" s="15">
        <f t="shared" ca="1" si="438"/>
        <v>36897.028701235722</v>
      </c>
      <c r="F151" s="15">
        <f t="shared" ca="1" si="438"/>
        <v>15773.680287178591</v>
      </c>
      <c r="G151" s="15">
        <f t="shared" ca="1" si="438"/>
        <v>9142.8559562898372</v>
      </c>
      <c r="H151" s="15">
        <f t="shared" ca="1" si="438"/>
        <v>23164.329473665261</v>
      </c>
      <c r="I151" s="15">
        <f t="shared" ca="1" si="438"/>
        <v>-15750.184238390488</v>
      </c>
      <c r="J151" s="15">
        <f t="shared" ca="1" si="438"/>
        <v>-34955.179184060791</v>
      </c>
      <c r="K151" s="15">
        <f t="shared" ca="1" si="438"/>
        <v>-51763.417927813323</v>
      </c>
      <c r="L151" s="15">
        <f t="shared" ca="1" si="438"/>
        <v>-66436.583316294244</v>
      </c>
      <c r="M151" s="15">
        <f t="shared" ca="1" si="438"/>
        <v>-75914.306620095522</v>
      </c>
      <c r="N151" s="15">
        <f t="shared" ca="1" si="438"/>
        <v>-94983.718196837304</v>
      </c>
      <c r="O151" s="15">
        <f t="shared" ca="1" si="438"/>
        <v>-105005.05330314412</v>
      </c>
      <c r="P151" s="15">
        <f t="shared" ca="1" si="438"/>
        <v>-113147.00370581588</v>
      </c>
      <c r="Q151" s="15">
        <f t="shared" ca="1" si="438"/>
        <v>-120328.07468269746</v>
      </c>
      <c r="R151" s="15">
        <f t="shared" ca="1" si="438"/>
        <v>-125847.22674553558</v>
      </c>
      <c r="S151" s="15">
        <f t="shared" ca="1" si="438"/>
        <v>-146384.49070231148</v>
      </c>
      <c r="T151" s="15">
        <f t="shared" ca="1" si="438"/>
        <v>-163220.19718665708</v>
      </c>
      <c r="U151" s="15" t="e">
        <f t="shared" ca="1" si="438"/>
        <v>#N/A</v>
      </c>
      <c r="V151" s="15" t="e">
        <f t="shared" ca="1" si="438"/>
        <v>#N/A</v>
      </c>
      <c r="W151" s="15" t="e">
        <f t="shared" ca="1" si="438"/>
        <v>#N/A</v>
      </c>
      <c r="X151" s="15" t="e">
        <f t="shared" ca="1" si="438"/>
        <v>#N/A</v>
      </c>
      <c r="Y151" s="15" t="e">
        <f t="shared" ca="1" si="438"/>
        <v>#N/A</v>
      </c>
      <c r="Z151" s="15" t="e">
        <f t="shared" ca="1" si="438"/>
        <v>#N/A</v>
      </c>
      <c r="AA151" s="15" t="e">
        <f t="shared" ca="1" si="438"/>
        <v>#N/A</v>
      </c>
      <c r="AB151" s="15" t="e">
        <f t="shared" ca="1" si="438"/>
        <v>#N/A</v>
      </c>
      <c r="AC151" s="15" t="e">
        <f t="shared" ca="1" si="438"/>
        <v>#N/A</v>
      </c>
      <c r="AD151" s="15" t="e">
        <f t="shared" ca="1" si="438"/>
        <v>#N/A</v>
      </c>
      <c r="AE151" s="15" t="e">
        <f t="shared" ca="1" si="438"/>
        <v>#N/A</v>
      </c>
      <c r="AF151" s="15" t="e">
        <f t="shared" ca="1" si="438"/>
        <v>#N/A</v>
      </c>
      <c r="AG151" s="15" t="e">
        <f t="shared" ca="1" si="438"/>
        <v>#N/A</v>
      </c>
    </row>
    <row r="153" spans="2:33" s="16" customFormat="1" ht="14.5" x14ac:dyDescent="0.35">
      <c r="B153" s="14" t="s">
        <v>69</v>
      </c>
      <c r="C153" s="15">
        <f>-C20</f>
        <v>-1553333.3333333333</v>
      </c>
      <c r="D153" s="15">
        <f t="shared" ref="D153:AG153" ca="1" si="439">D117</f>
        <v>176155.3221674666</v>
      </c>
      <c r="E153" s="15">
        <f t="shared" ca="1" si="439"/>
        <v>163976.41681736193</v>
      </c>
      <c r="F153" s="15">
        <f t="shared" ca="1" si="439"/>
        <v>141216.9810636839</v>
      </c>
      <c r="G153" s="15">
        <f t="shared" ca="1" si="439"/>
        <v>132884.62589958942</v>
      </c>
      <c r="H153" s="15">
        <f t="shared" ca="1" si="439"/>
        <v>145136.50735043088</v>
      </c>
      <c r="I153" s="15">
        <f t="shared" ca="1" si="439"/>
        <v>104381.61788917982</v>
      </c>
      <c r="J153" s="15">
        <f t="shared" ca="1" si="439"/>
        <v>99012.816402736877</v>
      </c>
      <c r="K153" s="15">
        <f t="shared" ca="1" si="439"/>
        <v>99419.022194324993</v>
      </c>
      <c r="L153" s="15">
        <f t="shared" ca="1" si="439"/>
        <v>99483.923122853768</v>
      </c>
      <c r="M153" s="15">
        <f t="shared" ca="1" si="439"/>
        <v>102526.38588372085</v>
      </c>
      <c r="N153" s="15">
        <f t="shared" ca="1" si="439"/>
        <v>90695.599114015291</v>
      </c>
      <c r="O153" s="15">
        <f t="shared" ca="1" si="439"/>
        <v>97415.013147814607</v>
      </c>
      <c r="P153" s="15">
        <f t="shared" ca="1" si="439"/>
        <v>96872.588917348563</v>
      </c>
      <c r="Q153" s="15">
        <f t="shared" ca="1" si="439"/>
        <v>95314.787051673615</v>
      </c>
      <c r="R153" s="15">
        <f t="shared" ca="1" si="439"/>
        <v>94357.277422593354</v>
      </c>
      <c r="S153" s="15">
        <f t="shared" ca="1" si="439"/>
        <v>76614.959843806893</v>
      </c>
      <c r="T153" s="15">
        <f t="shared" ca="1" si="439"/>
        <v>77483.343403994557</v>
      </c>
      <c r="U153" s="15" t="e">
        <f t="shared" ca="1" si="439"/>
        <v>#N/A</v>
      </c>
      <c r="V153" s="15" t="e">
        <f t="shared" ca="1" si="439"/>
        <v>#N/A</v>
      </c>
      <c r="W153" s="15" t="e">
        <f t="shared" ca="1" si="439"/>
        <v>#N/A</v>
      </c>
      <c r="X153" s="15" t="e">
        <f t="shared" ca="1" si="439"/>
        <v>#N/A</v>
      </c>
      <c r="Y153" s="15" t="e">
        <f t="shared" ca="1" si="439"/>
        <v>#N/A</v>
      </c>
      <c r="Z153" s="15" t="e">
        <f t="shared" ca="1" si="439"/>
        <v>#N/A</v>
      </c>
      <c r="AA153" s="15" t="e">
        <f t="shared" ca="1" si="439"/>
        <v>#N/A</v>
      </c>
      <c r="AB153" s="15" t="e">
        <f t="shared" ca="1" si="439"/>
        <v>#N/A</v>
      </c>
      <c r="AC153" s="15" t="e">
        <f t="shared" ca="1" si="439"/>
        <v>#N/A</v>
      </c>
      <c r="AD153" s="15" t="e">
        <f t="shared" ca="1" si="439"/>
        <v>#N/A</v>
      </c>
      <c r="AE153" s="15" t="e">
        <f t="shared" ca="1" si="439"/>
        <v>#N/A</v>
      </c>
      <c r="AF153" s="15" t="e">
        <f t="shared" ca="1" si="439"/>
        <v>#N/A</v>
      </c>
      <c r="AG153" s="15" t="e">
        <f t="shared" ca="1" si="439"/>
        <v>#N/A</v>
      </c>
    </row>
    <row r="154" spans="2:33" x14ac:dyDescent="0.3">
      <c r="D154" s="18">
        <f ca="1">IRR($C153:D153,$C$21)</f>
        <v>-0.88659528615828331</v>
      </c>
      <c r="E154" s="18">
        <f ca="1">IRR($C153:E153,$C$21)</f>
        <v>-0.61348046021021996</v>
      </c>
      <c r="F154" s="18">
        <f ca="1">IRR($C153:F153,$C$21)</f>
        <v>-0.42633107076963306</v>
      </c>
      <c r="G154" s="18">
        <f ca="1">IRR($C153:G153,$C$21)</f>
        <v>-0.30029935389990281</v>
      </c>
      <c r="H154" s="18">
        <f ca="1">IRR($C153:H153,$C$21)</f>
        <v>-0.20523934469036031</v>
      </c>
      <c r="I154" s="18">
        <f ca="1">IRR($C153:I153,$C$21)</f>
        <v>-0.15454690999561305</v>
      </c>
      <c r="J154" s="18">
        <f ca="1">IRR($C153:J153,$C$21)</f>
        <v>-0.1159876386177634</v>
      </c>
      <c r="K154" s="18">
        <f ca="1">IRR($C153:K153,$C$21)</f>
        <v>-8.5017449491300967E-2</v>
      </c>
      <c r="L154" s="18">
        <f ca="1">IRR($C153:L153,$C$21)</f>
        <v>-6.0206197981321652E-2</v>
      </c>
      <c r="M154" s="18">
        <f ca="1">IRR($C153:M153,$C$21)</f>
        <v>-3.965347663096519E-2</v>
      </c>
      <c r="N154" s="18">
        <f ca="1">IRR($C153:N153,$C$21)</f>
        <v>-2.4747294105467832E-2</v>
      </c>
      <c r="O154" s="18">
        <f ca="1">IRR($C153:O153,$C$21)</f>
        <v>-1.143928674974215E-2</v>
      </c>
      <c r="P154" s="18">
        <f ca="1">IRR($C153:P153,$C$21)</f>
        <v>-4.3000692296046861E-4</v>
      </c>
      <c r="Q154" s="18">
        <f ca="1">IRR($C153:Q153,$C$21)</f>
        <v>8.6723593294593115E-3</v>
      </c>
      <c r="R154" s="18">
        <f ca="1">IRR($C153:R153,$C$21)</f>
        <v>1.6314819789502E-2</v>
      </c>
      <c r="S154" s="18">
        <f ca="1">IRR($C153:S153,$C$21)</f>
        <v>2.1680650775569577E-2</v>
      </c>
      <c r="T154" s="18">
        <f ca="1">IRR($C153:T153,$C$21)</f>
        <v>2.6446171853640621E-2</v>
      </c>
      <c r="U154" s="18" t="e">
        <f ca="1">IRR($C153:U153,$C$21)</f>
        <v>#VALUE!</v>
      </c>
      <c r="V154" s="18" t="e">
        <f ca="1">IRR($C153:V153,$C$21)</f>
        <v>#VALUE!</v>
      </c>
      <c r="W154" s="18" t="e">
        <f ca="1">IRR($C153:W153,$C$21)</f>
        <v>#VALUE!</v>
      </c>
      <c r="X154" s="18" t="e">
        <f ca="1">IRR($C153:X153,$C$21)</f>
        <v>#VALUE!</v>
      </c>
      <c r="Y154" s="18" t="e">
        <f ca="1">IRR($C153:Y153,$C$21)</f>
        <v>#VALUE!</v>
      </c>
      <c r="Z154" s="18" t="e">
        <f ca="1">IRR($C153:Z153,$C$21)</f>
        <v>#VALUE!</v>
      </c>
      <c r="AA154" s="18" t="e">
        <f ca="1">IRR($C153:AA153,$C$21)</f>
        <v>#VALUE!</v>
      </c>
      <c r="AB154" s="18" t="e">
        <f ca="1">IRR($C153:AB153,$C$21)</f>
        <v>#VALUE!</v>
      </c>
      <c r="AC154" s="18" t="e">
        <f ca="1">IRR($C153:AC153,$C$21)</f>
        <v>#VALUE!</v>
      </c>
      <c r="AD154" s="18" t="e">
        <f ca="1">IRR($C153:AD153,$C$21)</f>
        <v>#VALUE!</v>
      </c>
      <c r="AE154" s="18" t="e">
        <f ca="1">IRR($C153:AE153,$C$21)</f>
        <v>#VALUE!</v>
      </c>
      <c r="AF154" s="18" t="e">
        <f ca="1">IRR($C153:AF153,$C$21)</f>
        <v>#VALUE!</v>
      </c>
      <c r="AG154" s="18" t="e">
        <f ca="1">IRR($C153:AG153,$C$21)</f>
        <v>#VALUE!</v>
      </c>
    </row>
    <row r="155" spans="2:33" ht="14.5" x14ac:dyDescent="0.35">
      <c r="B155" s="46" t="s">
        <v>70</v>
      </c>
      <c r="C155" s="15">
        <f>C153</f>
        <v>-1553333.3333333333</v>
      </c>
      <c r="D155" s="15">
        <f t="shared" ref="D155:AG155" ca="1" si="440">D153-C128</f>
        <v>176155.3221674666</v>
      </c>
      <c r="E155" s="15">
        <f t="shared" ca="1" si="440"/>
        <v>152100.72353039723</v>
      </c>
      <c r="F155" s="15">
        <f t="shared" ca="1" si="440"/>
        <v>131992.72388837495</v>
      </c>
      <c r="G155" s="15">
        <f t="shared" ca="1" si="440"/>
        <v>128941.20582779477</v>
      </c>
      <c r="H155" s="15">
        <f t="shared" ca="1" si="440"/>
        <v>142850.79336135843</v>
      </c>
      <c r="I155" s="15">
        <f t="shared" ca="1" si="440"/>
        <v>98590.5355207635</v>
      </c>
      <c r="J155" s="15">
        <f t="shared" ca="1" si="440"/>
        <v>99012.816402736877</v>
      </c>
      <c r="K155" s="15">
        <f t="shared" ca="1" si="440"/>
        <v>99419.022194324993</v>
      </c>
      <c r="L155" s="15">
        <f t="shared" ca="1" si="440"/>
        <v>99483.923122853768</v>
      </c>
      <c r="M155" s="15">
        <f t="shared" ca="1" si="440"/>
        <v>102526.38588372085</v>
      </c>
      <c r="N155" s="15">
        <f t="shared" ca="1" si="440"/>
        <v>90695.599114015291</v>
      </c>
      <c r="O155" s="15">
        <f t="shared" ca="1" si="440"/>
        <v>97415.013147814607</v>
      </c>
      <c r="P155" s="15">
        <f t="shared" ca="1" si="440"/>
        <v>96872.588917348563</v>
      </c>
      <c r="Q155" s="15">
        <f t="shared" ca="1" si="440"/>
        <v>95314.787051673615</v>
      </c>
      <c r="R155" s="15">
        <f t="shared" ca="1" si="440"/>
        <v>94357.277422593354</v>
      </c>
      <c r="S155" s="15">
        <f t="shared" ca="1" si="440"/>
        <v>76614.959843806893</v>
      </c>
      <c r="T155" s="15">
        <f t="shared" ca="1" si="440"/>
        <v>77483.343403994557</v>
      </c>
      <c r="U155" s="15" t="e">
        <f t="shared" ca="1" si="440"/>
        <v>#N/A</v>
      </c>
      <c r="V155" s="15" t="e">
        <f t="shared" ca="1" si="440"/>
        <v>#N/A</v>
      </c>
      <c r="W155" s="15" t="e">
        <f t="shared" ca="1" si="440"/>
        <v>#N/A</v>
      </c>
      <c r="X155" s="15" t="e">
        <f t="shared" ca="1" si="440"/>
        <v>#N/A</v>
      </c>
      <c r="Y155" s="15" t="e">
        <f t="shared" ca="1" si="440"/>
        <v>#N/A</v>
      </c>
      <c r="Z155" s="15" t="e">
        <f t="shared" ca="1" si="440"/>
        <v>#N/A</v>
      </c>
      <c r="AA155" s="15" t="e">
        <f t="shared" ca="1" si="440"/>
        <v>#N/A</v>
      </c>
      <c r="AB155" s="15" t="e">
        <f t="shared" ca="1" si="440"/>
        <v>#N/A</v>
      </c>
      <c r="AC155" s="15" t="e">
        <f t="shared" ca="1" si="440"/>
        <v>#N/A</v>
      </c>
      <c r="AD155" s="15" t="e">
        <f t="shared" ca="1" si="440"/>
        <v>#N/A</v>
      </c>
      <c r="AE155" s="15" t="e">
        <f t="shared" ca="1" si="440"/>
        <v>#N/A</v>
      </c>
      <c r="AF155" s="15" t="e">
        <f t="shared" ca="1" si="440"/>
        <v>#N/A</v>
      </c>
      <c r="AG155" s="15" t="e">
        <f t="shared" ca="1" si="440"/>
        <v>#N/A</v>
      </c>
    </row>
    <row r="156" spans="2:33" x14ac:dyDescent="0.3">
      <c r="D156" s="18">
        <f ca="1">IRR($C155:D155,$C$21)</f>
        <v>-0.88659528615828331</v>
      </c>
      <c r="E156" s="18">
        <f ca="1">IRR($C155:E155,$C$21)</f>
        <v>-0.62528179754923152</v>
      </c>
      <c r="F156" s="18">
        <f ca="1">IRR($C155:F155,$C$21)</f>
        <v>-0.44034086115990423</v>
      </c>
      <c r="G156" s="18">
        <f ca="1">IRR($C155:G155,$C$21)</f>
        <v>-0.31124482816179166</v>
      </c>
      <c r="H156" s="18">
        <f ca="1">IRR($C155:H155,$C$21)</f>
        <v>-0.21357933426860032</v>
      </c>
      <c r="I156" s="18">
        <f ca="1">IRR($C155:I155,$C$21)</f>
        <v>-0.163497208374633</v>
      </c>
      <c r="J156" s="18">
        <f ca="1">IRR($C155:J155,$C$21)</f>
        <v>-0.12312017019173038</v>
      </c>
      <c r="K156" s="18">
        <f ca="1">IRR($C155:K155,$C$21)</f>
        <v>-9.094395201338612E-2</v>
      </c>
      <c r="L156" s="18">
        <f ca="1">IRR($C155:L155,$C$21)</f>
        <v>-6.5295784335926199E-2</v>
      </c>
      <c r="M156" s="18">
        <f ca="1">IRR($C155:M155,$C$21)</f>
        <v>-4.4121753278851261E-2</v>
      </c>
      <c r="N156" s="18">
        <f ca="1">IRR($C155:N155,$C$21)</f>
        <v>-2.8796060302649806E-2</v>
      </c>
      <c r="O156" s="18">
        <f ca="1">IRR($C155:O155,$C$21)</f>
        <v>-1.5131151786087482E-2</v>
      </c>
      <c r="P156" s="18">
        <f ca="1">IRR($C155:P155,$C$21)</f>
        <v>-3.8384471892134453E-3</v>
      </c>
      <c r="Q156" s="18">
        <f ca="1">IRR($C155:Q155,$C$21)</f>
        <v>5.4919879999373311E-3</v>
      </c>
      <c r="R156" s="47">
        <f ca="1">IRR($C155:R155,$C$21)</f>
        <v>1.3322832916477845E-2</v>
      </c>
      <c r="S156" s="18">
        <f ca="1">IRR($C155:S155,$C$21)</f>
        <v>1.8821177643063125E-2</v>
      </c>
      <c r="T156" s="18">
        <f ca="1">IRR($C155:T155,$C$21)</f>
        <v>2.3706032134118482E-2</v>
      </c>
      <c r="U156" s="18" t="e">
        <f ca="1">IRR($C155:U155,$C$21)</f>
        <v>#VALUE!</v>
      </c>
      <c r="V156" s="18" t="e">
        <f ca="1">IRR($C155:V155,$C$21)</f>
        <v>#VALUE!</v>
      </c>
      <c r="W156" s="47" t="e">
        <f ca="1">IRR($C155:W155,$C$21)</f>
        <v>#VALUE!</v>
      </c>
      <c r="X156" s="18" t="e">
        <f ca="1">IRR($C155:X155,$C$21)</f>
        <v>#VALUE!</v>
      </c>
      <c r="Y156" s="18" t="e">
        <f ca="1">IRR($C155:Y155,$C$21)</f>
        <v>#VALUE!</v>
      </c>
      <c r="Z156" s="18" t="e">
        <f ca="1">IRR($C155:Z155,$C$21)</f>
        <v>#VALUE!</v>
      </c>
      <c r="AA156" s="18" t="e">
        <f ca="1">IRR($C155:AA155,$C$21)</f>
        <v>#VALUE!</v>
      </c>
      <c r="AB156" s="47" t="e">
        <f ca="1">IRR($C155:AB155,$C$21)</f>
        <v>#VALUE!</v>
      </c>
      <c r="AC156" s="18" t="e">
        <f ca="1">IRR($C155:AC155,$C$21)</f>
        <v>#VALUE!</v>
      </c>
      <c r="AD156" s="18" t="e">
        <f ca="1">IRR($C155:AD155,$C$21)</f>
        <v>#VALUE!</v>
      </c>
      <c r="AE156" s="18" t="e">
        <f ca="1">IRR($C155:AE155,$C$21)</f>
        <v>#VALUE!</v>
      </c>
      <c r="AF156" s="18" t="e">
        <f ca="1">IRR($C155:AF155,$C$21)</f>
        <v>#VALUE!</v>
      </c>
      <c r="AG156" s="47" t="e">
        <f ca="1">IRR($C155:AG155,$C$21)</f>
        <v>#VALUE!</v>
      </c>
    </row>
    <row r="157" spans="2:33" s="16" customFormat="1" ht="14.5" x14ac:dyDescent="0.35">
      <c r="B157" s="14" t="s">
        <v>71</v>
      </c>
      <c r="C157" s="15">
        <f>-C17</f>
        <v>-621333.33333333337</v>
      </c>
      <c r="D157" s="15">
        <f ca="1">D117-C128-D146-D124</f>
        <v>99546.299580425897</v>
      </c>
      <c r="E157" s="15">
        <f t="shared" ref="E157:AG157" ca="1" si="441">E117-D128-E146-E124</f>
        <v>75491.700943356525</v>
      </c>
      <c r="F157" s="15">
        <f t="shared" ca="1" si="441"/>
        <v>55383.701301334266</v>
      </c>
      <c r="G157" s="15">
        <f t="shared" ca="1" si="441"/>
        <v>52332.183240754071</v>
      </c>
      <c r="H157" s="15">
        <f t="shared" ca="1" si="441"/>
        <v>66241.770774317745</v>
      </c>
      <c r="I157" s="15">
        <f t="shared" ca="1" si="441"/>
        <v>21981.512933722814</v>
      </c>
      <c r="J157" s="15">
        <f t="shared" ca="1" si="441"/>
        <v>22403.793815696186</v>
      </c>
      <c r="K157" s="15">
        <f t="shared" ca="1" si="441"/>
        <v>22809.999607284306</v>
      </c>
      <c r="L157" s="15">
        <f t="shared" ca="1" si="441"/>
        <v>22874.900535813089</v>
      </c>
      <c r="M157" s="15">
        <f t="shared" ca="1" si="441"/>
        <v>25917.363296680171</v>
      </c>
      <c r="N157" s="15">
        <f t="shared" ca="1" si="441"/>
        <v>14086.576526974604</v>
      </c>
      <c r="O157" s="15">
        <f t="shared" ca="1" si="441"/>
        <v>20805.99056077392</v>
      </c>
      <c r="P157" s="15">
        <f t="shared" ca="1" si="441"/>
        <v>20263.566330307876</v>
      </c>
      <c r="Q157" s="15">
        <f t="shared" ca="1" si="441"/>
        <v>18705.764464632928</v>
      </c>
      <c r="R157" s="15">
        <f t="shared" ca="1" si="441"/>
        <v>17748.25483555266</v>
      </c>
      <c r="S157" s="15">
        <f t="shared" ca="1" si="441"/>
        <v>5.9372567662148867</v>
      </c>
      <c r="T157" s="15">
        <f t="shared" ca="1" si="441"/>
        <v>874.32081695387069</v>
      </c>
      <c r="U157" s="15" t="e">
        <f t="shared" ca="1" si="441"/>
        <v>#N/A</v>
      </c>
      <c r="V157" s="15" t="e">
        <f t="shared" ca="1" si="441"/>
        <v>#N/A</v>
      </c>
      <c r="W157" s="15" t="e">
        <f t="shared" ca="1" si="441"/>
        <v>#N/A</v>
      </c>
      <c r="X157" s="15" t="e">
        <f t="shared" ca="1" si="441"/>
        <v>#N/A</v>
      </c>
      <c r="Y157" s="15" t="e">
        <f t="shared" ca="1" si="441"/>
        <v>#N/A</v>
      </c>
      <c r="Z157" s="15" t="e">
        <f t="shared" ca="1" si="441"/>
        <v>#N/A</v>
      </c>
      <c r="AA157" s="15" t="e">
        <f t="shared" ca="1" si="441"/>
        <v>#N/A</v>
      </c>
      <c r="AB157" s="15" t="e">
        <f t="shared" ca="1" si="441"/>
        <v>#N/A</v>
      </c>
      <c r="AC157" s="15" t="e">
        <f t="shared" ca="1" si="441"/>
        <v>#N/A</v>
      </c>
      <c r="AD157" s="15" t="e">
        <f t="shared" ca="1" si="441"/>
        <v>#N/A</v>
      </c>
      <c r="AE157" s="15" t="e">
        <f t="shared" ca="1" si="441"/>
        <v>#N/A</v>
      </c>
      <c r="AF157" s="15" t="e">
        <f t="shared" ca="1" si="441"/>
        <v>#N/A</v>
      </c>
      <c r="AG157" s="15" t="e">
        <f t="shared" ca="1" si="441"/>
        <v>#N/A</v>
      </c>
    </row>
    <row r="158" spans="2:33" x14ac:dyDescent="0.3">
      <c r="D158" s="18">
        <f ca="1">IRR($C157:D157,$C$21)</f>
        <v>-0.83978599852935742</v>
      </c>
      <c r="E158" s="18">
        <f ca="1">IRR($C157:E157,$C$21)</f>
        <v>-0.56223862664710766</v>
      </c>
      <c r="F158" s="18">
        <f ca="1">IRR($C157:F157,$C$21)</f>
        <v>-0.39520287815979194</v>
      </c>
      <c r="G158" s="18">
        <f ca="1">IRR($C157:G157,$C$21)</f>
        <v>-0.27751549609389636</v>
      </c>
      <c r="H158" s="18">
        <f ca="1">IRR($C157:H157,$C$21)</f>
        <v>-0.17702433970975129</v>
      </c>
      <c r="I158" s="18">
        <f ca="1">IRR($C157:I157,$C$21)</f>
        <v>-0.15069780480620154</v>
      </c>
      <c r="J158" s="18">
        <f ca="1">IRR($C157:J157,$C$21)</f>
        <v>-0.12571118338186982</v>
      </c>
      <c r="K158" s="18">
        <f ca="1">IRR($C157:K157,$C$21)</f>
        <v>-0.10311725234313018</v>
      </c>
      <c r="L158" s="18">
        <f ca="1">IRR($C157:L157,$C$21)</f>
        <v>-8.3497439955086072E-2</v>
      </c>
      <c r="M158" s="18">
        <f ca="1">IRR($C157:M157,$C$21)</f>
        <v>-6.4717016345783196E-2</v>
      </c>
      <c r="N158" s="18">
        <f ca="1">IRR($C157:N157,$C$21)</f>
        <v>-5.5748407178886517E-2</v>
      </c>
      <c r="O158" s="18">
        <f ca="1">IRR($C157:O157,$C$21)</f>
        <v>-4.3900873539217899E-2</v>
      </c>
      <c r="P158" s="18">
        <f ca="1">IRR($C157:P157,$C$21)</f>
        <v>-3.3905804782832671E-2</v>
      </c>
      <c r="Q158" s="18">
        <f ca="1">IRR($C157:Q157,$C$21)</f>
        <v>-2.582704834070304E-2</v>
      </c>
      <c r="R158" s="18">
        <f ca="1">IRR($C157:R157,$C$21)</f>
        <v>-1.9039315824446401E-2</v>
      </c>
      <c r="S158" s="18">
        <f ca="1">IRR($C157:S157,$C$21)</f>
        <v>-1.9037155191172661E-2</v>
      </c>
      <c r="T158" s="18">
        <f ca="1">IRR($C157:T157,$C$21)</f>
        <v>-1.8714088732722622E-2</v>
      </c>
      <c r="U158" s="18" t="e">
        <f ca="1">IRR($C157:U157,$C$21)</f>
        <v>#VALUE!</v>
      </c>
      <c r="V158" s="18" t="e">
        <f ca="1">IRR($C157:V157,$C$21)</f>
        <v>#VALUE!</v>
      </c>
      <c r="W158" s="18" t="e">
        <f ca="1">IRR($C157:W157,$C$21)</f>
        <v>#VALUE!</v>
      </c>
      <c r="X158" s="18" t="e">
        <f ca="1">IRR($C157:X157,$C$21)</f>
        <v>#VALUE!</v>
      </c>
      <c r="Y158" s="18" t="e">
        <f ca="1">IRR($C157:Y157,$C$21)</f>
        <v>#VALUE!</v>
      </c>
      <c r="Z158" s="18" t="e">
        <f ca="1">IRR($C157:Z157,$C$21)</f>
        <v>#VALUE!</v>
      </c>
      <c r="AA158" s="18" t="e">
        <f ca="1">IRR($C157:AA157,$C$21)</f>
        <v>#VALUE!</v>
      </c>
      <c r="AB158" s="18" t="e">
        <f ca="1">IRR($C157:AB157,$C$21)</f>
        <v>#VALUE!</v>
      </c>
      <c r="AC158" s="18" t="e">
        <f ca="1">IRR($C157:AC157,$C$21)</f>
        <v>#VALUE!</v>
      </c>
      <c r="AD158" s="18" t="e">
        <f ca="1">IRR($C157:AD157,$C$21)</f>
        <v>#VALUE!</v>
      </c>
      <c r="AE158" s="18" t="e">
        <f ca="1">IRR($C157:AE157,$C$21)</f>
        <v>#VALUE!</v>
      </c>
      <c r="AF158" s="18" t="e">
        <f ca="1">IRR($C157:AF157,$C$21)</f>
        <v>#VALUE!</v>
      </c>
      <c r="AG158" s="18" t="e">
        <f ca="1">IRR($C157:AG157,$C$21)</f>
        <v>#VALUE!</v>
      </c>
    </row>
    <row r="160" spans="2:33" s="16" customFormat="1" ht="14.5" x14ac:dyDescent="0.35">
      <c r="B160" s="14" t="s">
        <v>72</v>
      </c>
      <c r="C160" s="15"/>
      <c r="D160" s="19">
        <f t="shared" ref="D160:AG160" ca="1" si="442">IF(D$142&lt;=$C$22,(D117-D128)/(D146+D145),0)</f>
        <v>2.1443900905256004</v>
      </c>
      <c r="E160" s="19">
        <f t="shared" ca="1" si="442"/>
        <v>2.020025245280066</v>
      </c>
      <c r="F160" s="19">
        <f t="shared" ca="1" si="442"/>
        <v>1.79187198003895</v>
      </c>
      <c r="G160" s="19">
        <f t="shared" ca="1" si="442"/>
        <v>1.704745831499608</v>
      </c>
      <c r="H160" s="19">
        <f t="shared" ca="1" si="442"/>
        <v>1.8189166272640387</v>
      </c>
      <c r="I160" s="19">
        <f t="shared" ca="1" si="442"/>
        <v>1.3625238172251162</v>
      </c>
      <c r="J160" s="19">
        <f t="shared" ca="1" si="442"/>
        <v>1.2924432796442706</v>
      </c>
      <c r="K160" s="19">
        <f t="shared" ca="1" si="442"/>
        <v>1.2977456027632819</v>
      </c>
      <c r="L160" s="19">
        <f t="shared" ca="1" si="442"/>
        <v>1.2985927735838605</v>
      </c>
      <c r="M160" s="19">
        <f t="shared" ca="1" si="442"/>
        <v>1.3383069307173798</v>
      </c>
      <c r="N160" s="19">
        <f t="shared" ca="1" si="442"/>
        <v>1.1838762074136879</v>
      </c>
      <c r="O160" s="19">
        <f t="shared" ca="1" si="442"/>
        <v>1.2715866859825138</v>
      </c>
      <c r="P160" s="19">
        <f t="shared" ca="1" si="442"/>
        <v>1.2645062637013162</v>
      </c>
      <c r="Q160" s="19">
        <f t="shared" ca="1" si="442"/>
        <v>1.2441718198842708</v>
      </c>
      <c r="R160" s="19">
        <f t="shared" ca="1" si="442"/>
        <v>1.2316731663739435</v>
      </c>
      <c r="S160" s="19">
        <f t="shared" ca="1" si="442"/>
        <v>1.0000775007507696</v>
      </c>
      <c r="T160" s="19">
        <f t="shared" ca="1" si="442"/>
        <v>1.0114127655911611</v>
      </c>
      <c r="U160" s="19">
        <f t="shared" si="442"/>
        <v>0</v>
      </c>
      <c r="V160" s="19">
        <f t="shared" si="442"/>
        <v>0</v>
      </c>
      <c r="W160" s="19">
        <f t="shared" si="442"/>
        <v>0</v>
      </c>
      <c r="X160" s="19">
        <f t="shared" si="442"/>
        <v>0</v>
      </c>
      <c r="Y160" s="19">
        <f t="shared" si="442"/>
        <v>0</v>
      </c>
      <c r="Z160" s="19">
        <f t="shared" si="442"/>
        <v>0</v>
      </c>
      <c r="AA160" s="19">
        <f t="shared" si="442"/>
        <v>0</v>
      </c>
      <c r="AB160" s="19">
        <f t="shared" si="442"/>
        <v>0</v>
      </c>
      <c r="AC160" s="19">
        <f t="shared" si="442"/>
        <v>0</v>
      </c>
      <c r="AD160" s="19">
        <f t="shared" si="442"/>
        <v>0</v>
      </c>
      <c r="AE160" s="19">
        <f t="shared" si="442"/>
        <v>0</v>
      </c>
      <c r="AF160" s="19">
        <f t="shared" si="442"/>
        <v>0</v>
      </c>
      <c r="AG160" s="19">
        <f t="shared" si="442"/>
        <v>0</v>
      </c>
    </row>
    <row r="163" spans="2:33" s="16" customFormat="1" ht="14.5" x14ac:dyDescent="0.35">
      <c r="B163" s="14" t="s">
        <v>73</v>
      </c>
      <c r="C163" s="15"/>
      <c r="D163" s="19">
        <f t="shared" ref="D163:W163" ca="1" si="443">D108/D95</f>
        <v>0.77713260745772661</v>
      </c>
      <c r="E163" s="19">
        <f t="shared" ca="1" si="443"/>
        <v>0.76694519078645651</v>
      </c>
      <c r="F163" s="19">
        <f t="shared" ca="1" si="443"/>
        <v>0.74401246795885401</v>
      </c>
      <c r="G163" s="19">
        <f t="shared" ca="1" si="443"/>
        <v>0.73418783163221579</v>
      </c>
      <c r="H163" s="19">
        <f t="shared" ca="1" si="443"/>
        <v>0.74861837787687791</v>
      </c>
      <c r="I163" s="19">
        <f t="shared" ca="1" si="443"/>
        <v>0.69016398914249966</v>
      </c>
      <c r="J163" s="19">
        <f t="shared" ca="1" si="443"/>
        <v>0.67928108951667499</v>
      </c>
      <c r="K163" s="19">
        <f t="shared" ca="1" si="443"/>
        <v>0.67856975546975373</v>
      </c>
      <c r="L163" s="19">
        <f t="shared" ca="1" si="443"/>
        <v>0.68008409848794582</v>
      </c>
      <c r="M163" s="19">
        <f t="shared" ca="1" si="443"/>
        <v>0.68560422248637776</v>
      </c>
      <c r="N163" s="19">
        <f t="shared" ca="1" si="443"/>
        <v>0.66207427409370778</v>
      </c>
      <c r="O163" s="19">
        <f t="shared" ca="1" si="443"/>
        <v>0.67494482434575698</v>
      </c>
      <c r="P163" s="19">
        <f t="shared" ca="1" si="443"/>
        <v>0.67499995353541886</v>
      </c>
      <c r="Q163" s="19">
        <f t="shared" ca="1" si="443"/>
        <v>0.66945603766705053</v>
      </c>
      <c r="R163" s="19">
        <f t="shared" ca="1" si="443"/>
        <v>0.66849166307126906</v>
      </c>
      <c r="S163" s="19">
        <f t="shared" ca="1" si="443"/>
        <v>0.61787056499663773</v>
      </c>
      <c r="T163" s="19">
        <f t="shared" ca="1" si="443"/>
        <v>0.61409542353301783</v>
      </c>
      <c r="U163" s="19" t="e">
        <f t="shared" ca="1" si="443"/>
        <v>#N/A</v>
      </c>
      <c r="V163" s="19" t="e">
        <f t="shared" ca="1" si="443"/>
        <v>#N/A</v>
      </c>
      <c r="W163" s="19" t="e">
        <f t="shared" ca="1" si="443"/>
        <v>#N/A</v>
      </c>
      <c r="X163" s="19" t="e">
        <f ca="1">X117/X95</f>
        <v>#N/A</v>
      </c>
      <c r="Y163" s="19" t="e">
        <f ca="1">Y117/Y95</f>
        <v>#N/A</v>
      </c>
      <c r="Z163" s="19" t="e">
        <f ca="1">Z117/Z95</f>
        <v>#N/A</v>
      </c>
      <c r="AA163" s="19" t="e">
        <f ca="1">AA117/AA95</f>
        <v>#N/A</v>
      </c>
      <c r="AB163" s="19"/>
      <c r="AC163" s="19"/>
      <c r="AD163" s="19"/>
      <c r="AE163" s="19"/>
      <c r="AF163" s="19"/>
      <c r="AG163" s="19"/>
    </row>
    <row r="164" spans="2:33" s="16" customFormat="1" ht="14.5" x14ac:dyDescent="0.35">
      <c r="B164" s="14" t="s">
        <v>74</v>
      </c>
      <c r="C164" s="15"/>
      <c r="D164" s="19">
        <f ca="1">D118/D95</f>
        <v>0.40310213961154479</v>
      </c>
      <c r="E164" s="19">
        <f t="shared" ref="E164:AA164" ca="1" si="444">E118/E95</f>
        <v>0.42736472964000088</v>
      </c>
      <c r="F164" s="19">
        <f t="shared" ca="1" si="444"/>
        <v>0.48140326459119076</v>
      </c>
      <c r="G164" s="19">
        <f t="shared" ca="1" si="444"/>
        <v>0.50483352141958726</v>
      </c>
      <c r="H164" s="19">
        <f t="shared" ca="1" si="444"/>
        <v>0.4713022979420019</v>
      </c>
      <c r="I164" s="19">
        <f t="shared" ca="1" si="444"/>
        <v>0.6041489316293509</v>
      </c>
      <c r="J164" s="19">
        <f t="shared" ca="1" si="444"/>
        <v>0.62686475251338625</v>
      </c>
      <c r="K164" s="19">
        <f t="shared" ca="1" si="444"/>
        <v>0.62364974907611381</v>
      </c>
      <c r="L164" s="19">
        <f t="shared" ca="1" si="444"/>
        <v>0.62463376670225423</v>
      </c>
      <c r="M164" s="19">
        <f t="shared" ca="1" si="444"/>
        <v>0.61101739700680802</v>
      </c>
      <c r="N164" s="19">
        <f t="shared" ca="1" si="444"/>
        <v>0.6670159815384048</v>
      </c>
      <c r="O164" s="19">
        <f t="shared" ca="1" si="444"/>
        <v>0.63307930733925899</v>
      </c>
      <c r="P164" s="19">
        <f t="shared" ca="1" si="444"/>
        <v>0.63667614370531866</v>
      </c>
      <c r="Q164" s="19">
        <f t="shared" ca="1" si="444"/>
        <v>0.64176720643610707</v>
      </c>
      <c r="R164" s="19">
        <f t="shared" ca="1" si="444"/>
        <v>0.64734580015078924</v>
      </c>
      <c r="S164" s="19">
        <f t="shared" ca="1" si="444"/>
        <v>0.73688491912055309</v>
      </c>
      <c r="T164" s="19">
        <f t="shared" ca="1" si="444"/>
        <v>0.72417453512460006</v>
      </c>
      <c r="U164" s="19" t="e">
        <f t="shared" ca="1" si="444"/>
        <v>#N/A</v>
      </c>
      <c r="V164" s="19" t="e">
        <f t="shared" ca="1" si="444"/>
        <v>#N/A</v>
      </c>
      <c r="W164" s="19" t="e">
        <f t="shared" ca="1" si="444"/>
        <v>#N/A</v>
      </c>
      <c r="X164" s="19" t="e">
        <f t="shared" ca="1" si="444"/>
        <v>#N/A</v>
      </c>
      <c r="Y164" s="19" t="e">
        <f t="shared" ca="1" si="444"/>
        <v>#N/A</v>
      </c>
      <c r="Z164" s="19" t="e">
        <f t="shared" ca="1" si="444"/>
        <v>#N/A</v>
      </c>
      <c r="AA164" s="19" t="e">
        <f t="shared" ca="1" si="444"/>
        <v>#N/A</v>
      </c>
      <c r="AB164" s="19"/>
      <c r="AC164" s="19"/>
      <c r="AD164" s="19"/>
      <c r="AE164" s="19"/>
      <c r="AF164" s="19"/>
      <c r="AG164" s="19"/>
    </row>
    <row r="165" spans="2:33" s="16" customFormat="1" ht="14.5" x14ac:dyDescent="0.35">
      <c r="B165" s="14" t="s">
        <v>75</v>
      </c>
      <c r="C165" s="15"/>
      <c r="D165" s="19">
        <f t="shared" ref="D165:W165" ca="1" si="445">D124/D95</f>
        <v>0.16446567296151027</v>
      </c>
      <c r="E165" s="19">
        <f t="shared" ca="1" si="445"/>
        <v>0.16700687241972362</v>
      </c>
      <c r="F165" s="19">
        <f t="shared" ca="1" si="445"/>
        <v>0.17950436207407106</v>
      </c>
      <c r="G165" s="19">
        <f t="shared" ca="1" si="445"/>
        <v>0.17884001223397222</v>
      </c>
      <c r="H165" s="19">
        <f t="shared" ca="1" si="445"/>
        <v>0.15783378652877553</v>
      </c>
      <c r="I165" s="19">
        <f t="shared" ca="1" si="445"/>
        <v>0.19015417897453105</v>
      </c>
      <c r="J165" s="19">
        <f t="shared" ca="1" si="445"/>
        <v>0.18417291524053359</v>
      </c>
      <c r="K165" s="19">
        <f t="shared" ca="1" si="445"/>
        <v>0.16964214107659845</v>
      </c>
      <c r="L165" s="19">
        <f t="shared" ca="1" si="445"/>
        <v>0.15575786029827768</v>
      </c>
      <c r="M165" s="19">
        <f t="shared" ca="1" si="445"/>
        <v>0.1379653115213316</v>
      </c>
      <c r="N165" s="19">
        <f t="shared" ca="1" si="445"/>
        <v>0.13426424025728417</v>
      </c>
      <c r="O165" s="19">
        <f t="shared" ca="1" si="445"/>
        <v>0.11129884195788879</v>
      </c>
      <c r="P165" s="19">
        <f t="shared" ca="1" si="445"/>
        <v>9.5056227172431673E-2</v>
      </c>
      <c r="Q165" s="19">
        <f t="shared" ca="1" si="445"/>
        <v>7.8126034849546055E-2</v>
      </c>
      <c r="R165" s="19">
        <f t="shared" ca="1" si="445"/>
        <v>6.0247321144055531E-2</v>
      </c>
      <c r="S165" s="19">
        <f t="shared" ca="1" si="445"/>
        <v>4.6610882909788293E-2</v>
      </c>
      <c r="T165" s="19">
        <f t="shared" ca="1" si="445"/>
        <v>2.3352537712399497E-2</v>
      </c>
      <c r="U165" s="19" t="e">
        <f t="shared" ca="1" si="445"/>
        <v>#N/A</v>
      </c>
      <c r="V165" s="19" t="e">
        <f t="shared" ca="1" si="445"/>
        <v>#N/A</v>
      </c>
      <c r="W165" s="19" t="e">
        <f t="shared" ca="1" si="445"/>
        <v>#N/A</v>
      </c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</row>
  </sheetData>
  <sheetProtection selectLockedCells="1"/>
  <mergeCells count="4">
    <mergeCell ref="D98:F98"/>
    <mergeCell ref="B8:C8"/>
    <mergeCell ref="D41:W41"/>
    <mergeCell ref="X41:AG41"/>
  </mergeCells>
  <dataValidations disablePrompts="1" count="4">
    <dataValidation type="list" allowBlank="1" showInputMessage="1" showErrorMessage="1" sqref="C38" xr:uid="{1C3C6D6C-F222-4EEA-96EB-48233FFE5718}">
      <formula1>"cas 1, cas 2, cas 3"</formula1>
    </dataValidation>
    <dataValidation type="list" allowBlank="1" showInputMessage="1" showErrorMessage="1" sqref="C40" xr:uid="{0D8DBC31-B69C-4B95-AC13-EC9F873403A0}">
      <formula1>$AE$15:$AE$21</formula1>
    </dataValidation>
    <dataValidation type="list" allowBlank="1" showInputMessage="1" showErrorMessage="1" sqref="C39" xr:uid="{52240689-629A-4075-B264-560847CD7BD1}">
      <formula1>"Site pollué,Friche industrielle,Carrière/ancienne carrière,Ancienne mine,Ancienne décharge,Ancien aérodrome, aéroport/délaissé d'aéroport,Délaissé portuaire/routier/ferroviaire,Site ICPE,Plan d'eau,Zone SEVESO/d'aléa fort/ Majeur PPRT,Terrain militaire"</formula1>
    </dataValidation>
    <dataValidation type="list" allowBlank="1" showInputMessage="1" showErrorMessage="1" sqref="D31 D36" xr:uid="{70871371-699B-4A93-9977-69A2EA67335E}">
      <formula1>#REF!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ABEB9-31B5-42D8-A372-6FFF1590F407}">
  <sheetPr codeName="Feuil3">
    <tabColor theme="3"/>
  </sheetPr>
  <dimension ref="A1:M27"/>
  <sheetViews>
    <sheetView zoomScaleNormal="100" workbookViewId="0">
      <selection activeCell="G10" sqref="G10"/>
    </sheetView>
  </sheetViews>
  <sheetFormatPr baseColWidth="10" defaultRowHeight="14.5" x14ac:dyDescent="0.35"/>
  <cols>
    <col min="1" max="1" width="16.26953125" customWidth="1"/>
    <col min="3" max="3" width="14.26953125" customWidth="1"/>
    <col min="4" max="4" width="26.08984375" customWidth="1"/>
    <col min="9" max="9" width="21.7265625" bestFit="1" customWidth="1"/>
    <col min="10" max="10" width="22.26953125" bestFit="1" customWidth="1"/>
    <col min="11" max="11" width="12.453125" bestFit="1" customWidth="1"/>
    <col min="12" max="12" width="5.54296875" bestFit="1" customWidth="1"/>
    <col min="13" max="13" width="11.81640625" bestFit="1" customWidth="1"/>
    <col min="14" max="14" width="11.7265625" bestFit="1" customWidth="1"/>
    <col min="15" max="16" width="24.36328125" bestFit="1" customWidth="1"/>
    <col min="17" max="17" width="29.1796875" bestFit="1" customWidth="1"/>
    <col min="18" max="18" width="27.36328125" bestFit="1" customWidth="1"/>
  </cols>
  <sheetData>
    <row r="1" spans="1:13" s="137" customFormat="1" x14ac:dyDescent="0.35">
      <c r="A1" s="138" t="s">
        <v>175</v>
      </c>
    </row>
    <row r="3" spans="1:13" x14ac:dyDescent="0.35">
      <c r="A3" t="s">
        <v>173</v>
      </c>
      <c r="B3" t="s">
        <v>172</v>
      </c>
      <c r="C3" t="s">
        <v>171</v>
      </c>
      <c r="D3" t="s">
        <v>174</v>
      </c>
      <c r="E3" t="s">
        <v>203</v>
      </c>
    </row>
    <row r="4" spans="1:13" x14ac:dyDescent="0.35">
      <c r="A4">
        <v>1</v>
      </c>
      <c r="B4">
        <v>1</v>
      </c>
      <c r="C4" s="142">
        <v>-2.6941434930203512E-2</v>
      </c>
      <c r="D4" s="56" t="e">
        <v>#NUM!</v>
      </c>
      <c r="E4" s="142"/>
    </row>
    <row r="5" spans="1:13" x14ac:dyDescent="0.35">
      <c r="A5">
        <v>1</v>
      </c>
      <c r="B5">
        <v>2</v>
      </c>
      <c r="C5" s="142">
        <v>-3.3566137866953838E-2</v>
      </c>
      <c r="D5" s="142" t="e">
        <v>#NUM!</v>
      </c>
      <c r="E5" s="142"/>
    </row>
    <row r="6" spans="1:13" x14ac:dyDescent="0.35">
      <c r="A6">
        <v>2</v>
      </c>
      <c r="B6">
        <v>1</v>
      </c>
      <c r="C6" s="142">
        <v>2.2426216155170264E-2</v>
      </c>
      <c r="D6" s="142">
        <v>-1.8186200219464821E-2</v>
      </c>
      <c r="E6" s="142"/>
    </row>
    <row r="7" spans="1:13" x14ac:dyDescent="0.35">
      <c r="A7">
        <v>2</v>
      </c>
      <c r="B7">
        <v>2</v>
      </c>
      <c r="C7" s="142">
        <v>-1.4549847233652491E-3</v>
      </c>
      <c r="D7" s="142">
        <v>-0.10176383686205104</v>
      </c>
      <c r="E7" s="142"/>
    </row>
    <row r="8" spans="1:13" x14ac:dyDescent="0.35">
      <c r="A8">
        <v>3</v>
      </c>
      <c r="B8">
        <v>1</v>
      </c>
      <c r="C8" s="142">
        <v>3.6460737035688195E-2</v>
      </c>
      <c r="D8" s="142">
        <v>2.9489690719677109E-2</v>
      </c>
      <c r="E8" s="142"/>
    </row>
    <row r="9" spans="1:13" x14ac:dyDescent="0.35">
      <c r="A9">
        <v>3</v>
      </c>
      <c r="B9">
        <v>2</v>
      </c>
      <c r="C9" s="142">
        <v>5.7810949471410744E-3</v>
      </c>
      <c r="D9" s="56">
        <v>-7.016500464615949E-2</v>
      </c>
      <c r="E9" s="142"/>
      <c r="I9" s="139" t="s">
        <v>185</v>
      </c>
      <c r="J9" s="139" t="s">
        <v>184</v>
      </c>
    </row>
    <row r="10" spans="1:13" x14ac:dyDescent="0.35">
      <c r="A10">
        <v>4</v>
      </c>
      <c r="B10">
        <v>1</v>
      </c>
      <c r="C10" s="142">
        <v>4.0940783651871815E-2</v>
      </c>
      <c r="D10" s="142">
        <v>4.2750281163030035E-2</v>
      </c>
      <c r="E10" s="142"/>
      <c r="I10" s="139" t="s">
        <v>182</v>
      </c>
      <c r="J10">
        <v>1</v>
      </c>
      <c r="K10">
        <v>2</v>
      </c>
      <c r="L10" t="s">
        <v>205</v>
      </c>
      <c r="M10" t="s">
        <v>183</v>
      </c>
    </row>
    <row r="11" spans="1:13" x14ac:dyDescent="0.35">
      <c r="A11">
        <v>4</v>
      </c>
      <c r="B11">
        <v>2</v>
      </c>
      <c r="C11" s="142">
        <v>7.8785850464353491E-3</v>
      </c>
      <c r="D11" s="56">
        <v>-6.3493799395272776E-2</v>
      </c>
      <c r="E11" s="142"/>
      <c r="I11" s="140">
        <v>1</v>
      </c>
      <c r="J11" s="143">
        <v>-2.6941434930203512E-2</v>
      </c>
      <c r="K11" s="143">
        <v>-3.3566137866953838E-2</v>
      </c>
      <c r="L11" s="143"/>
      <c r="M11" s="143">
        <v>-6.050757279715735E-2</v>
      </c>
    </row>
    <row r="12" spans="1:13" x14ac:dyDescent="0.35">
      <c r="A12">
        <v>5</v>
      </c>
      <c r="B12">
        <v>1</v>
      </c>
      <c r="C12" s="142">
        <v>4.3056888490810907E-2</v>
      </c>
      <c r="D12" s="56">
        <v>4.8930630627259886E-2</v>
      </c>
      <c r="E12" s="142"/>
      <c r="I12" s="140">
        <v>2</v>
      </c>
      <c r="J12" s="143">
        <v>2.2426216155170264E-2</v>
      </c>
      <c r="K12" s="143">
        <v>-1.4549847233652491E-3</v>
      </c>
      <c r="L12" s="143"/>
      <c r="M12" s="143">
        <v>2.0971231431805015E-2</v>
      </c>
    </row>
    <row r="13" spans="1:13" x14ac:dyDescent="0.35">
      <c r="A13">
        <v>5</v>
      </c>
      <c r="B13">
        <v>2</v>
      </c>
      <c r="C13" s="142">
        <v>8.7259207476881873E-3</v>
      </c>
      <c r="D13" s="56">
        <v>-6.1250985252255585E-2</v>
      </c>
      <c r="E13" s="142"/>
      <c r="I13" s="140">
        <v>3</v>
      </c>
      <c r="J13" s="143">
        <v>3.6460737035688195E-2</v>
      </c>
      <c r="K13" s="143">
        <v>5.7810949471410744E-3</v>
      </c>
      <c r="L13" s="143"/>
      <c r="M13" s="143">
        <v>4.224183198282927E-2</v>
      </c>
    </row>
    <row r="14" spans="1:13" x14ac:dyDescent="0.35">
      <c r="A14">
        <v>6</v>
      </c>
      <c r="B14">
        <v>1</v>
      </c>
      <c r="C14" s="142">
        <v>4.4323926074768538E-2</v>
      </c>
      <c r="D14" s="56">
        <v>5.2628118495498644E-2</v>
      </c>
      <c r="E14" s="142"/>
      <c r="I14" s="140">
        <v>4</v>
      </c>
      <c r="J14" s="143">
        <v>4.0940783651871815E-2</v>
      </c>
      <c r="K14" s="143">
        <v>7.8785850464353491E-3</v>
      </c>
      <c r="L14" s="143"/>
      <c r="M14" s="143">
        <v>4.8819368698307164E-2</v>
      </c>
    </row>
    <row r="15" spans="1:13" x14ac:dyDescent="0.35">
      <c r="A15">
        <v>6</v>
      </c>
      <c r="B15">
        <v>2</v>
      </c>
      <c r="C15" s="142">
        <v>8.956144663192056E-3</v>
      </c>
      <c r="D15" s="56">
        <v>-6.1182477542453984E-2</v>
      </c>
      <c r="E15" s="142"/>
      <c r="I15" s="140">
        <v>5</v>
      </c>
      <c r="J15" s="143">
        <v>4.3056888490810907E-2</v>
      </c>
      <c r="K15" s="143">
        <v>8.7259207476881873E-3</v>
      </c>
      <c r="L15" s="143"/>
      <c r="M15" s="143">
        <v>5.1782809238499095E-2</v>
      </c>
    </row>
    <row r="16" spans="1:13" x14ac:dyDescent="0.35">
      <c r="A16">
        <v>7</v>
      </c>
      <c r="B16">
        <v>1</v>
      </c>
      <c r="C16" s="142">
        <v>3.6709436671381823E-2</v>
      </c>
      <c r="D16" s="142">
        <v>2.9958199040603484E-2</v>
      </c>
      <c r="E16" s="142"/>
      <c r="I16" s="140">
        <v>6</v>
      </c>
      <c r="J16" s="143">
        <v>4.4323926074768538E-2</v>
      </c>
      <c r="K16" s="143">
        <v>8.956144663192056E-3</v>
      </c>
      <c r="L16" s="143"/>
      <c r="M16" s="143">
        <v>5.3280070737960594E-2</v>
      </c>
    </row>
    <row r="17" spans="1:13" x14ac:dyDescent="0.35">
      <c r="A17">
        <v>7</v>
      </c>
      <c r="B17">
        <v>2</v>
      </c>
      <c r="C17" s="142">
        <v>5.4813196363379113E-4</v>
      </c>
      <c r="D17" s="56">
        <v>-0.10701896907488162</v>
      </c>
      <c r="E17" s="142"/>
      <c r="I17" s="140">
        <v>7</v>
      </c>
      <c r="J17" s="143">
        <v>3.6709436671381823E-2</v>
      </c>
      <c r="K17" s="143">
        <v>5.4813196363379113E-4</v>
      </c>
      <c r="L17" s="143"/>
      <c r="M17" s="143">
        <v>3.7257568635015614E-2</v>
      </c>
    </row>
    <row r="18" spans="1:13" x14ac:dyDescent="0.35">
      <c r="A18">
        <v>8</v>
      </c>
      <c r="B18">
        <v>1</v>
      </c>
      <c r="C18" s="142">
        <v>2.9537938254954987E-2</v>
      </c>
      <c r="D18" s="56">
        <v>6.0707078873714071E-3</v>
      </c>
      <c r="E18" s="142"/>
      <c r="I18" s="140">
        <v>8</v>
      </c>
      <c r="J18" s="143">
        <v>2.9537938254954987E-2</v>
      </c>
      <c r="K18" s="143">
        <v>-6.4031155680859264E-3</v>
      </c>
      <c r="L18" s="143"/>
      <c r="M18" s="143">
        <v>2.3134822686869061E-2</v>
      </c>
    </row>
    <row r="19" spans="1:13" x14ac:dyDescent="0.35">
      <c r="A19">
        <v>8</v>
      </c>
      <c r="B19">
        <v>2</v>
      </c>
      <c r="C19" s="142">
        <v>-6.4031155680859264E-3</v>
      </c>
      <c r="D19" s="56">
        <v>-0.18136873624687222</v>
      </c>
      <c r="E19" s="142"/>
      <c r="I19" s="140" t="s">
        <v>205</v>
      </c>
    </row>
    <row r="20" spans="1:13" x14ac:dyDescent="0.35">
      <c r="I20" s="140" t="s">
        <v>183</v>
      </c>
      <c r="J20">
        <v>0.22651449140444302</v>
      </c>
      <c r="K20">
        <v>-9.5343607903145555E-3</v>
      </c>
      <c r="M20">
        <v>0.21698013061412846</v>
      </c>
    </row>
    <row r="27" spans="1:13" x14ac:dyDescent="0.35">
      <c r="E27" s="165">
        <f>C14 - C8</f>
        <v>7.8631890390803427E-3</v>
      </c>
    </row>
  </sheetData>
  <conditionalFormatting sqref="C4:C2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Dimensionnement">
                <anchor moveWithCells="1" sizeWithCells="1">
                  <from>
                    <xdr:col>5</xdr:col>
                    <xdr:colOff>279400</xdr:colOff>
                    <xdr:row>2</xdr:row>
                    <xdr:rowOff>139700</xdr:rowOff>
                  </from>
                  <to>
                    <xdr:col>8</xdr:col>
                    <xdr:colOff>431800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F2AA-1277-4C94-9800-FCF95969113B}">
  <sheetPr codeName="Feuil4">
    <tabColor theme="5" tint="-0.249977111117893"/>
  </sheetPr>
  <dimension ref="A3:R14"/>
  <sheetViews>
    <sheetView zoomScale="69" zoomScaleNormal="69" workbookViewId="0">
      <selection activeCell="K20" sqref="K20"/>
    </sheetView>
  </sheetViews>
  <sheetFormatPr baseColWidth="10" defaultRowHeight="14.5" x14ac:dyDescent="0.35"/>
  <cols>
    <col min="1" max="1" width="22.36328125" customWidth="1"/>
    <col min="2" max="2" width="12.81640625" bestFit="1" customWidth="1"/>
    <col min="3" max="6" width="11.1796875" bestFit="1" customWidth="1"/>
    <col min="7" max="15" width="11" bestFit="1" customWidth="1"/>
    <col min="16" max="16" width="11.1796875" bestFit="1" customWidth="1"/>
    <col min="17" max="18" width="11" bestFit="1" customWidth="1"/>
  </cols>
  <sheetData>
    <row r="3" spans="1:18" x14ac:dyDescent="0.35">
      <c r="A3" t="s">
        <v>108</v>
      </c>
      <c r="B3">
        <f>BP!D39</f>
        <v>2025</v>
      </c>
      <c r="C3">
        <f>BP!E39</f>
        <v>2026</v>
      </c>
      <c r="D3">
        <f>BP!F39</f>
        <v>2027</v>
      </c>
      <c r="E3">
        <f>BP!G39</f>
        <v>2028</v>
      </c>
      <c r="F3">
        <f>BP!H39</f>
        <v>2029</v>
      </c>
      <c r="G3">
        <f>BP!I39</f>
        <v>2030</v>
      </c>
      <c r="H3">
        <f>BP!J39</f>
        <v>2031</v>
      </c>
      <c r="I3">
        <f>BP!K39</f>
        <v>2032</v>
      </c>
      <c r="J3">
        <f>BP!L39</f>
        <v>2033</v>
      </c>
      <c r="K3">
        <f>BP!M39</f>
        <v>2034</v>
      </c>
      <c r="L3">
        <f>BP!N39</f>
        <v>2035</v>
      </c>
      <c r="M3">
        <f>BP!O39</f>
        <v>2036</v>
      </c>
      <c r="N3">
        <f>BP!P39</f>
        <v>2037</v>
      </c>
      <c r="O3">
        <f>BP!Q39</f>
        <v>2038</v>
      </c>
      <c r="P3">
        <f>BP!R39</f>
        <v>2039</v>
      </c>
      <c r="Q3">
        <f>BP!S39</f>
        <v>2040</v>
      </c>
      <c r="R3">
        <f>BP!T39</f>
        <v>2041</v>
      </c>
    </row>
    <row r="4" spans="1:18" x14ac:dyDescent="0.35">
      <c r="A4" t="s">
        <v>105</v>
      </c>
      <c r="B4" s="62">
        <f ca="1">BP!D46-BP!D51</f>
        <v>-1264.2798026747209</v>
      </c>
      <c r="C4" s="62">
        <f ca="1">BP!E46-BP!E51</f>
        <v>-1139.9607018166853</v>
      </c>
      <c r="D4" s="62">
        <f ca="1">BP!F46-BP!F51</f>
        <v>-856.735566385933</v>
      </c>
      <c r="E4" s="62">
        <f ca="1">BP!G46-BP!G51</f>
        <v>-772.62456087085457</v>
      </c>
      <c r="F4" s="62">
        <f ca="1">BP!H46-BP!H51</f>
        <v>-561.962457114166</v>
      </c>
      <c r="G4" s="62">
        <f ca="1">BP!I46-BP!I51</f>
        <v>592.19605122819894</v>
      </c>
      <c r="H4" s="62">
        <f ca="1">BP!J46-BP!J51</f>
        <v>1439.6932495998853</v>
      </c>
      <c r="I4" s="62">
        <f ca="1">BP!K46-BP!K51</f>
        <v>2894.5614042266511</v>
      </c>
      <c r="J4" s="62">
        <f ca="1">BP!L46-BP!L51</f>
        <v>1923.3493981741749</v>
      </c>
      <c r="K4" s="62">
        <f ca="1">BP!M46-BP!M51</f>
        <v>2008.0295989088427</v>
      </c>
      <c r="L4" s="62">
        <f ca="1">BP!N46-BP!N51</f>
        <v>1822.3041773878836</v>
      </c>
      <c r="M4" s="62">
        <f ca="1">BP!O46-BP!O51</f>
        <v>2544.0490974327136</v>
      </c>
      <c r="N4" s="62">
        <f ca="1">BP!P46-BP!P51</f>
        <v>1800.6264664740929</v>
      </c>
      <c r="O4" s="62">
        <f ca="1">BP!Q46-BP!Q51</f>
        <v>3509.2566833615929</v>
      </c>
      <c r="P4" s="62">
        <f ca="1">BP!R46-BP!R51</f>
        <v>2833.9676998170025</v>
      </c>
      <c r="Q4" s="62">
        <f ca="1">BP!S46-BP!S51</f>
        <v>7831.3331270585168</v>
      </c>
      <c r="R4" s="62">
        <f ca="1">BP!T46-BP!T51</f>
        <v>11401.524697270801</v>
      </c>
    </row>
    <row r="5" spans="1:18" x14ac:dyDescent="0.35">
      <c r="A5" t="s">
        <v>106</v>
      </c>
      <c r="B5" s="62">
        <f ca="1">BP!D79</f>
        <v>0</v>
      </c>
      <c r="C5" s="62">
        <f ca="1">BP!E79</f>
        <v>0</v>
      </c>
      <c r="D5" s="62">
        <f ca="1">BP!F79</f>
        <v>0</v>
      </c>
      <c r="E5" s="62">
        <f ca="1">BP!G79</f>
        <v>0</v>
      </c>
      <c r="F5" s="62">
        <f ca="1">BP!H79</f>
        <v>0</v>
      </c>
      <c r="G5" s="62">
        <f ca="1">BP!I79</f>
        <v>2.4840031406104929E-2</v>
      </c>
      <c r="H5" s="62">
        <f ca="1">BP!J79</f>
        <v>9.8732007774484602E-3</v>
      </c>
      <c r="I5" s="62">
        <f ca="1">BP!K79</f>
        <v>9.9118774653914415E-2</v>
      </c>
      <c r="J5" s="62">
        <f ca="1">BP!L79</f>
        <v>2.5092486430198058E-2</v>
      </c>
      <c r="K5" s="62">
        <f ca="1">BP!M79</f>
        <v>2.107470838047458E-2</v>
      </c>
      <c r="L5" s="62">
        <f ca="1">BP!N79</f>
        <v>0</v>
      </c>
      <c r="M5" s="62">
        <f ca="1">BP!O79</f>
        <v>0</v>
      </c>
      <c r="N5" s="62">
        <f ca="1">BP!P79</f>
        <v>2.458883657617161E-2</v>
      </c>
      <c r="O5" s="62">
        <f ca="1">BP!Q79</f>
        <v>6.2502581734125147E-7</v>
      </c>
      <c r="P5" s="62">
        <f ca="1">BP!R79</f>
        <v>0</v>
      </c>
      <c r="Q5" s="62">
        <f ca="1">BP!S79</f>
        <v>0.30918662728835211</v>
      </c>
      <c r="R5" s="62">
        <f ca="1">BP!T79</f>
        <v>1.5861595678044049</v>
      </c>
    </row>
    <row r="6" spans="1:18" x14ac:dyDescent="0.35">
      <c r="A6" t="s">
        <v>107</v>
      </c>
      <c r="B6" s="62">
        <f ca="1">BP!D83</f>
        <v>154921.05689376919</v>
      </c>
      <c r="C6" s="62">
        <f ca="1">BP!E83</f>
        <v>148383.91542688632</v>
      </c>
      <c r="D6" s="62">
        <f ca="1">BP!F83</f>
        <v>127227.51054853651</v>
      </c>
      <c r="E6" s="62">
        <f ca="1">BP!G83</f>
        <v>126311.69675004597</v>
      </c>
      <c r="F6" s="62">
        <f ca="1">BP!H83</f>
        <v>131581.12189994095</v>
      </c>
      <c r="G6" s="62">
        <f ca="1">BP!I83</f>
        <v>78690.998414780872</v>
      </c>
      <c r="H6" s="62">
        <f ca="1">BP!J83</f>
        <v>77654.247571968692</v>
      </c>
      <c r="I6" s="62">
        <f ca="1">BP!K83</f>
        <v>75314.728154112803</v>
      </c>
      <c r="J6" s="62">
        <f ca="1">BP!L83</f>
        <v>76539.634003745232</v>
      </c>
      <c r="K6" s="62">
        <f ca="1">BP!M83</f>
        <v>79246.328491019754</v>
      </c>
      <c r="L6" s="62">
        <f ca="1">BP!N83</f>
        <v>77505.698003609374</v>
      </c>
      <c r="M6" s="62">
        <f ca="1">BP!O83</f>
        <v>72536.066593402749</v>
      </c>
      <c r="N6" s="62">
        <f ca="1">BP!P83</f>
        <v>73743.065575601271</v>
      </c>
      <c r="O6" s="62">
        <f ca="1">BP!Q83</f>
        <v>72379.155327103712</v>
      </c>
      <c r="P6" s="62">
        <f ca="1">BP!R83</f>
        <v>73481.728322919385</v>
      </c>
      <c r="Q6" s="62">
        <f ca="1">BP!S83</f>
        <v>51745.57672865194</v>
      </c>
      <c r="R6" s="62">
        <f ca="1">BP!T83</f>
        <v>46757.472881035166</v>
      </c>
    </row>
    <row r="7" spans="1:18" x14ac:dyDescent="0.35">
      <c r="A7" t="s">
        <v>85</v>
      </c>
      <c r="B7" s="62">
        <f>BP!D87</f>
        <v>76089.799350000001</v>
      </c>
      <c r="C7" s="62">
        <f>BP!E87</f>
        <v>69505.533599999995</v>
      </c>
      <c r="D7" s="62">
        <f>BP!F87</f>
        <v>65961.230017320006</v>
      </c>
      <c r="E7" s="62">
        <f>BP!G87</f>
        <v>57967.116934092606</v>
      </c>
      <c r="F7" s="62">
        <f>BP!H87</f>
        <v>65473.711570929081</v>
      </c>
      <c r="G7" s="62">
        <f>BP!I87</f>
        <v>73544.20722833398</v>
      </c>
      <c r="H7" s="62">
        <f>BP!J87</f>
        <v>68249.113093439286</v>
      </c>
      <c r="I7" s="62">
        <f>BP!K87</f>
        <v>69867.40357509398</v>
      </c>
      <c r="J7" s="62">
        <f>BP!L87</f>
        <v>69388.047329931127</v>
      </c>
      <c r="K7" s="62">
        <f>BP!M87</f>
        <v>69912.357260758596</v>
      </c>
      <c r="L7" s="62">
        <f>BP!N87</f>
        <v>59245.603973371493</v>
      </c>
      <c r="M7" s="62">
        <f>BP!O87</f>
        <v>70751.822428195708</v>
      </c>
      <c r="N7" s="62">
        <f>BP!P87</f>
        <v>69482.114124981716</v>
      </c>
      <c r="O7" s="62">
        <f>BP!Q87</f>
        <v>68005.825614381494</v>
      </c>
      <c r="P7" s="62">
        <f>BP!R87</f>
        <v>66360.137981611711</v>
      </c>
      <c r="Q7" s="62">
        <f>BP!S87</f>
        <v>65612.722711952112</v>
      </c>
      <c r="R7" s="62">
        <f>BP!T87</f>
        <v>69177.389113602578</v>
      </c>
    </row>
    <row r="11" spans="1:18" x14ac:dyDescent="0.35">
      <c r="B11" s="62"/>
    </row>
    <row r="12" spans="1:18" x14ac:dyDescent="0.35">
      <c r="B12" s="62"/>
    </row>
    <row r="13" spans="1:18" x14ac:dyDescent="0.35">
      <c r="B13" s="62"/>
    </row>
    <row r="14" spans="1:18" x14ac:dyDescent="0.35">
      <c r="B14" s="62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86CC-E966-43F0-8F4E-38E787E08B33}">
  <sheetPr codeName="Feuil5"/>
  <dimension ref="A1:L29"/>
  <sheetViews>
    <sheetView zoomScale="63" zoomScaleNormal="63" workbookViewId="0">
      <selection activeCell="E46" sqref="E46"/>
    </sheetView>
  </sheetViews>
  <sheetFormatPr baseColWidth="10" defaultRowHeight="14.5" x14ac:dyDescent="0.35"/>
  <cols>
    <col min="2" max="2" width="31.453125" customWidth="1"/>
    <col min="3" max="3" width="16.36328125" customWidth="1"/>
    <col min="4" max="4" width="16.90625" bestFit="1" customWidth="1"/>
    <col min="5" max="5" width="16.1796875" customWidth="1"/>
    <col min="9" max="9" width="29.7265625" bestFit="1" customWidth="1"/>
    <col min="10" max="10" width="30.81640625" bestFit="1" customWidth="1"/>
    <col min="11" max="12" width="16.08984375" bestFit="1" customWidth="1"/>
    <col min="13" max="13" width="10.1796875" bestFit="1" customWidth="1"/>
    <col min="14" max="14" width="26.81640625" bestFit="1" customWidth="1"/>
    <col min="15" max="15" width="32.54296875" bestFit="1" customWidth="1"/>
  </cols>
  <sheetData>
    <row r="1" spans="1:6" s="138" customFormat="1" ht="15.5" x14ac:dyDescent="0.35">
      <c r="A1" s="157" t="s">
        <v>189</v>
      </c>
    </row>
    <row r="3" spans="1:6" s="92" customFormat="1" ht="14" x14ac:dyDescent="0.3">
      <c r="A3" s="121"/>
      <c r="B3" s="93" t="s">
        <v>192</v>
      </c>
    </row>
    <row r="5" spans="1:6" x14ac:dyDescent="0.35">
      <c r="B5" s="146" t="s">
        <v>173</v>
      </c>
      <c r="C5" s="149">
        <v>6</v>
      </c>
    </row>
    <row r="6" spans="1:6" x14ac:dyDescent="0.35">
      <c r="B6" s="146" t="s">
        <v>172</v>
      </c>
      <c r="C6" s="149">
        <v>1</v>
      </c>
    </row>
    <row r="8" spans="1:6" s="92" customFormat="1" ht="14" x14ac:dyDescent="0.3">
      <c r="A8" s="121"/>
      <c r="B8" s="93" t="s">
        <v>191</v>
      </c>
    </row>
    <row r="9" spans="1:6" s="154" customFormat="1" ht="14" x14ac:dyDescent="0.3">
      <c r="A9" s="152"/>
      <c r="B9" s="153"/>
    </row>
    <row r="10" spans="1:6" x14ac:dyDescent="0.35">
      <c r="C10" s="147" t="s">
        <v>176</v>
      </c>
      <c r="D10" s="147" t="s">
        <v>177</v>
      </c>
    </row>
    <row r="11" spans="1:6" x14ac:dyDescent="0.35">
      <c r="B11" s="148" t="s">
        <v>178</v>
      </c>
      <c r="C11" s="149">
        <v>17</v>
      </c>
      <c r="D11" s="149">
        <v>15</v>
      </c>
    </row>
    <row r="12" spans="1:6" x14ac:dyDescent="0.35">
      <c r="B12" s="148" t="s">
        <v>179</v>
      </c>
      <c r="C12" s="149">
        <v>250</v>
      </c>
      <c r="D12" s="149">
        <v>250</v>
      </c>
    </row>
    <row r="13" spans="1:6" x14ac:dyDescent="0.35">
      <c r="B13" s="148" t="s">
        <v>180</v>
      </c>
      <c r="C13" s="149">
        <v>200</v>
      </c>
      <c r="D13" s="149">
        <v>230</v>
      </c>
    </row>
    <row r="14" spans="1:6" x14ac:dyDescent="0.35">
      <c r="B14" s="148" t="s">
        <v>181</v>
      </c>
      <c r="C14" s="150">
        <v>0.01</v>
      </c>
      <c r="D14" s="150">
        <v>0.02</v>
      </c>
    </row>
    <row r="16" spans="1:6" x14ac:dyDescent="0.35">
      <c r="B16" s="146" t="s">
        <v>187</v>
      </c>
      <c r="C16" s="149">
        <v>1</v>
      </c>
      <c r="D16" s="149">
        <v>1.25</v>
      </c>
      <c r="E16" s="149">
        <v>1.5</v>
      </c>
      <c r="F16" s="149">
        <v>1.75</v>
      </c>
    </row>
    <row r="17" spans="1:12" x14ac:dyDescent="0.35">
      <c r="B17" s="145" t="s">
        <v>190</v>
      </c>
      <c r="C17" s="151">
        <f>AVERAGE(BP!$D$88:$T$88)*C16</f>
        <v>24390.388235294118</v>
      </c>
      <c r="D17" s="151">
        <f>AVERAGE(BP!$D$88:$T$88)*D16</f>
        <v>30487.985294117647</v>
      </c>
      <c r="E17" s="151">
        <f>AVERAGE(BP!$D$88:$T$88)*E16</f>
        <v>36585.582352941179</v>
      </c>
      <c r="F17" s="151">
        <f>AVERAGE(BP!$D$88:$T$88)*F16</f>
        <v>42683.179411764708</v>
      </c>
    </row>
    <row r="19" spans="1:12" s="92" customFormat="1" ht="14" x14ac:dyDescent="0.3">
      <c r="A19" s="121"/>
      <c r="B19" s="93" t="s">
        <v>193</v>
      </c>
    </row>
    <row r="21" spans="1:12" ht="29" x14ac:dyDescent="0.35">
      <c r="B21" s="155" t="s">
        <v>194</v>
      </c>
      <c r="C21" s="156" t="s">
        <v>190</v>
      </c>
      <c r="D21" s="155" t="s">
        <v>171</v>
      </c>
      <c r="E21" s="155" t="s">
        <v>174</v>
      </c>
      <c r="I21" s="139" t="s">
        <v>185</v>
      </c>
      <c r="J21" s="139" t="s">
        <v>184</v>
      </c>
    </row>
    <row r="22" spans="1:12" x14ac:dyDescent="0.35">
      <c r="B22" s="155" t="s">
        <v>176</v>
      </c>
      <c r="C22" s="158">
        <v>24390.388235294118</v>
      </c>
      <c r="D22" s="159">
        <v>3.1709458527517276E-2</v>
      </c>
      <c r="E22" s="159">
        <v>1.4900514768186213E-2</v>
      </c>
      <c r="I22" s="139" t="s">
        <v>182</v>
      </c>
      <c r="J22" t="s">
        <v>176</v>
      </c>
      <c r="K22" t="s">
        <v>177</v>
      </c>
      <c r="L22" t="s">
        <v>183</v>
      </c>
    </row>
    <row r="23" spans="1:12" x14ac:dyDescent="0.35">
      <c r="B23" s="155" t="s">
        <v>177</v>
      </c>
      <c r="C23" s="158">
        <v>24390.388235294118</v>
      </c>
      <c r="D23" s="159">
        <v>-8.5635706717406279E-3</v>
      </c>
      <c r="E23" s="159" t="e">
        <v>#NUM!</v>
      </c>
      <c r="I23" s="160">
        <v>24390.388235294118</v>
      </c>
      <c r="J23" s="143">
        <v>3.1709458527517276E-2</v>
      </c>
      <c r="K23" s="143">
        <v>-8.5635706717406279E-3</v>
      </c>
      <c r="L23" s="143">
        <v>2.3145887855776648E-2</v>
      </c>
    </row>
    <row r="24" spans="1:12" x14ac:dyDescent="0.35">
      <c r="B24" s="155" t="s">
        <v>176</v>
      </c>
      <c r="C24" s="158">
        <v>30487.985294117647</v>
      </c>
      <c r="D24" s="159">
        <v>4.6387499372158469E-2</v>
      </c>
      <c r="E24" s="159">
        <v>5.7956864633146088E-2</v>
      </c>
      <c r="I24" s="160">
        <v>30487.985294117647</v>
      </c>
      <c r="J24" s="143">
        <v>4.6387499372158469E-2</v>
      </c>
      <c r="K24" s="143">
        <v>1.1732783704943683E-2</v>
      </c>
      <c r="L24" s="143">
        <v>5.8120283077102153E-2</v>
      </c>
    </row>
    <row r="25" spans="1:12" x14ac:dyDescent="0.35">
      <c r="B25" s="155" t="s">
        <v>177</v>
      </c>
      <c r="C25" s="158">
        <v>30487.985294117647</v>
      </c>
      <c r="D25" s="159">
        <v>1.1732783704943683E-2</v>
      </c>
      <c r="E25" s="159">
        <v>-5.837176261692778E-2</v>
      </c>
      <c r="I25" s="160">
        <v>36585.582352941179</v>
      </c>
      <c r="J25" s="143">
        <v>5.9947826563139905E-2</v>
      </c>
      <c r="K25" s="143">
        <v>2.9349506855767871E-2</v>
      </c>
      <c r="L25" s="143">
        <v>8.9297333418907776E-2</v>
      </c>
    </row>
    <row r="26" spans="1:12" x14ac:dyDescent="0.35">
      <c r="B26" s="155" t="s">
        <v>176</v>
      </c>
      <c r="C26" s="158">
        <v>36585.582352941179</v>
      </c>
      <c r="D26" s="159">
        <v>5.9947826563139905E-2</v>
      </c>
      <c r="E26" s="159">
        <v>9.3590838062416193E-2</v>
      </c>
      <c r="I26" s="160">
        <v>42683.179411764708</v>
      </c>
      <c r="J26" s="143">
        <v>7.2920125457662577E-2</v>
      </c>
      <c r="K26" s="143">
        <v>4.3640352433781615E-2</v>
      </c>
      <c r="L26" s="143">
        <v>0.11656047789144419</v>
      </c>
    </row>
    <row r="27" spans="1:12" x14ac:dyDescent="0.35">
      <c r="B27" s="155" t="s">
        <v>177</v>
      </c>
      <c r="C27" s="158">
        <v>36585.582352941179</v>
      </c>
      <c r="D27" s="159">
        <v>2.9349506855767871E-2</v>
      </c>
      <c r="E27" s="159">
        <v>8.2949831069589752E-3</v>
      </c>
      <c r="I27" s="160" t="s">
        <v>183</v>
      </c>
      <c r="J27">
        <v>0.21096490992047823</v>
      </c>
      <c r="K27">
        <v>7.6159072322752541E-2</v>
      </c>
      <c r="L27">
        <v>0.28712398224323077</v>
      </c>
    </row>
    <row r="28" spans="1:12" x14ac:dyDescent="0.35">
      <c r="B28" s="155" t="s">
        <v>176</v>
      </c>
      <c r="C28" s="158">
        <v>42683.179411764708</v>
      </c>
      <c r="D28" s="159">
        <v>7.2920125457662577E-2</v>
      </c>
      <c r="E28" s="159">
        <v>0.12578129199161459</v>
      </c>
    </row>
    <row r="29" spans="1:12" x14ac:dyDescent="0.35">
      <c r="B29" s="155" t="s">
        <v>177</v>
      </c>
      <c r="C29" s="158">
        <v>42683.179411764708</v>
      </c>
      <c r="D29" s="159">
        <v>4.3640352433781615E-2</v>
      </c>
      <c r="E29" s="159">
        <v>5.0157165509573387E-2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nsibilité">
                <anchor moveWithCells="1" sizeWithCells="1">
                  <from>
                    <xdr:col>7</xdr:col>
                    <xdr:colOff>0</xdr:colOff>
                    <xdr:row>10</xdr:row>
                    <xdr:rowOff>171450</xdr:rowOff>
                  </from>
                  <to>
                    <xdr:col>10</xdr:col>
                    <xdr:colOff>755650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4B6E-0DD8-4912-BF5A-C5DC27407B37}">
  <sheetPr codeName="Feuil6">
    <tabColor theme="8" tint="0.39997558519241921"/>
  </sheetPr>
  <dimension ref="A1:P3537"/>
  <sheetViews>
    <sheetView tabSelected="1" workbookViewId="0">
      <selection activeCell="A10" sqref="A10"/>
    </sheetView>
  </sheetViews>
  <sheetFormatPr baseColWidth="10" defaultRowHeight="14.5" x14ac:dyDescent="0.35"/>
  <cols>
    <col min="1" max="1" width="34.90625" customWidth="1"/>
    <col min="3" max="3" width="8.7265625"/>
    <col min="4" max="4" width="16.453125" bestFit="1" customWidth="1"/>
  </cols>
  <sheetData>
    <row r="1" spans="1:16" x14ac:dyDescent="0.35">
      <c r="A1" s="12"/>
      <c r="B1" s="55" t="s">
        <v>76</v>
      </c>
      <c r="C1" s="55" t="s">
        <v>90</v>
      </c>
      <c r="D1" s="55" t="s">
        <v>91</v>
      </c>
      <c r="E1" s="55" t="s">
        <v>93</v>
      </c>
      <c r="F1" s="55" t="s">
        <v>92</v>
      </c>
      <c r="G1" s="55" t="s">
        <v>94</v>
      </c>
      <c r="H1" s="55" t="s">
        <v>163</v>
      </c>
      <c r="I1" s="55" t="s">
        <v>168</v>
      </c>
      <c r="J1" s="57"/>
      <c r="K1" s="57"/>
      <c r="L1" s="57"/>
      <c r="M1" s="57"/>
      <c r="N1" s="57"/>
      <c r="O1" s="57"/>
      <c r="P1" s="57"/>
    </row>
    <row r="2" spans="1:16" x14ac:dyDescent="0.35">
      <c r="A2" t="str">
        <f>C2&amp;D2&amp;E2&amp;G2&amp;H2&amp;I2</f>
        <v>networkturpe_power_costS1202511</v>
      </c>
      <c r="B2" t="s">
        <v>95</v>
      </c>
      <c r="C2" t="s">
        <v>96</v>
      </c>
      <c r="D2" t="s">
        <v>97</v>
      </c>
      <c r="E2" t="s">
        <v>110</v>
      </c>
      <c r="F2">
        <v>1337.841234072125</v>
      </c>
      <c r="G2">
        <v>2025</v>
      </c>
      <c r="H2">
        <v>1</v>
      </c>
      <c r="I2">
        <v>1</v>
      </c>
    </row>
    <row r="3" spans="1:16" x14ac:dyDescent="0.35">
      <c r="A3" t="str">
        <f t="shared" ref="A3:A66" si="0">C3&amp;D3&amp;E3&amp;G3&amp;H3&amp;I3</f>
        <v>networkturpe_energy_costS1202511</v>
      </c>
      <c r="B3" t="s">
        <v>95</v>
      </c>
      <c r="C3" t="s">
        <v>96</v>
      </c>
      <c r="D3" t="s">
        <v>98</v>
      </c>
      <c r="E3" t="s">
        <v>110</v>
      </c>
      <c r="F3">
        <v>45.801610655969853</v>
      </c>
      <c r="G3">
        <v>2025</v>
      </c>
      <c r="H3">
        <v>1</v>
      </c>
      <c r="I3">
        <v>1</v>
      </c>
    </row>
    <row r="4" spans="1:16" x14ac:dyDescent="0.35">
      <c r="A4" t="str">
        <f t="shared" si="0"/>
        <v>DAcostS1202511</v>
      </c>
      <c r="C4" t="s">
        <v>99</v>
      </c>
      <c r="D4" t="s">
        <v>100</v>
      </c>
      <c r="E4" t="s">
        <v>110</v>
      </c>
      <c r="F4">
        <v>421.5611829436067</v>
      </c>
      <c r="G4">
        <v>2025</v>
      </c>
      <c r="H4">
        <v>1</v>
      </c>
      <c r="I4">
        <v>1</v>
      </c>
    </row>
    <row r="5" spans="1:16" x14ac:dyDescent="0.35">
      <c r="A5" t="str">
        <f t="shared" si="0"/>
        <v>DAincomeS1202511</v>
      </c>
      <c r="C5" t="s">
        <v>99</v>
      </c>
      <c r="D5" t="s">
        <v>101</v>
      </c>
      <c r="E5" t="s">
        <v>110</v>
      </c>
      <c r="F5">
        <v>0</v>
      </c>
      <c r="G5">
        <v>2025</v>
      </c>
      <c r="H5">
        <v>1</v>
      </c>
      <c r="I5">
        <v>1</v>
      </c>
    </row>
    <row r="6" spans="1:16" x14ac:dyDescent="0.35">
      <c r="A6" t="str">
        <f t="shared" si="0"/>
        <v>DAenergy_boughtS1202511</v>
      </c>
      <c r="C6" t="s">
        <v>99</v>
      </c>
      <c r="D6" t="s">
        <v>111</v>
      </c>
      <c r="E6" t="s">
        <v>110</v>
      </c>
      <c r="F6">
        <v>2.4332522072128322</v>
      </c>
      <c r="G6">
        <v>2025</v>
      </c>
      <c r="H6">
        <v>1</v>
      </c>
      <c r="I6">
        <v>1</v>
      </c>
    </row>
    <row r="7" spans="1:16" x14ac:dyDescent="0.35">
      <c r="A7" t="str">
        <f t="shared" si="0"/>
        <v>DAenergy_soldS1202511</v>
      </c>
      <c r="C7" t="s">
        <v>99</v>
      </c>
      <c r="D7" t="s">
        <v>112</v>
      </c>
      <c r="E7" t="s">
        <v>110</v>
      </c>
      <c r="F7">
        <v>0</v>
      </c>
      <c r="G7">
        <v>2025</v>
      </c>
      <c r="H7">
        <v>1</v>
      </c>
      <c r="I7">
        <v>1</v>
      </c>
    </row>
    <row r="8" spans="1:16" x14ac:dyDescent="0.35">
      <c r="A8" t="str">
        <f t="shared" si="0"/>
        <v>DAhours_boughtS1202511</v>
      </c>
      <c r="C8" t="s">
        <v>99</v>
      </c>
      <c r="D8" t="s">
        <v>113</v>
      </c>
      <c r="E8" t="s">
        <v>110</v>
      </c>
      <c r="F8">
        <v>6352</v>
      </c>
      <c r="G8">
        <v>2025</v>
      </c>
      <c r="H8">
        <v>1</v>
      </c>
      <c r="I8">
        <v>1</v>
      </c>
    </row>
    <row r="9" spans="1:16" x14ac:dyDescent="0.35">
      <c r="A9" t="str">
        <f t="shared" si="0"/>
        <v>DAhours_soldS1202511</v>
      </c>
      <c r="C9" t="s">
        <v>99</v>
      </c>
      <c r="D9" t="s">
        <v>114</v>
      </c>
      <c r="E9" t="s">
        <v>110</v>
      </c>
      <c r="F9">
        <v>0</v>
      </c>
      <c r="G9">
        <v>2025</v>
      </c>
      <c r="H9">
        <v>1</v>
      </c>
      <c r="I9">
        <v>1</v>
      </c>
    </row>
    <row r="10" spans="1:16" x14ac:dyDescent="0.35">
      <c r="A10" t="str">
        <f t="shared" si="0"/>
        <v>DAco2_emissionS1202511</v>
      </c>
      <c r="C10" t="s">
        <v>99</v>
      </c>
      <c r="D10" t="s">
        <v>204</v>
      </c>
      <c r="E10" t="s">
        <v>110</v>
      </c>
      <c r="F10">
        <v>170.32765450489771</v>
      </c>
      <c r="G10">
        <v>2025</v>
      </c>
      <c r="H10">
        <v>1</v>
      </c>
      <c r="I10">
        <v>1</v>
      </c>
    </row>
    <row r="11" spans="1:16" x14ac:dyDescent="0.35">
      <c r="A11" t="str">
        <f t="shared" si="0"/>
        <v>fcrincomeS1202511</v>
      </c>
      <c r="C11" t="s">
        <v>102</v>
      </c>
      <c r="D11" t="s">
        <v>101</v>
      </c>
      <c r="E11" t="s">
        <v>110</v>
      </c>
      <c r="F11">
        <v>0</v>
      </c>
      <c r="G11">
        <v>2025</v>
      </c>
      <c r="H11">
        <v>1</v>
      </c>
      <c r="I11">
        <v>1</v>
      </c>
    </row>
    <row r="12" spans="1:16" x14ac:dyDescent="0.35">
      <c r="A12" t="str">
        <f t="shared" si="0"/>
        <v>fcractivation_hoursS1202511</v>
      </c>
      <c r="C12" t="s">
        <v>102</v>
      </c>
      <c r="D12" t="s">
        <v>115</v>
      </c>
      <c r="E12" t="s">
        <v>110</v>
      </c>
      <c r="F12">
        <v>0</v>
      </c>
      <c r="G12">
        <v>2025</v>
      </c>
      <c r="H12">
        <v>1</v>
      </c>
      <c r="I12">
        <v>1</v>
      </c>
    </row>
    <row r="13" spans="1:16" x14ac:dyDescent="0.35">
      <c r="A13" t="str">
        <f t="shared" si="0"/>
        <v>afrrincomeS1202511</v>
      </c>
      <c r="C13" t="s">
        <v>103</v>
      </c>
      <c r="D13" t="s">
        <v>101</v>
      </c>
      <c r="E13" t="s">
        <v>110</v>
      </c>
      <c r="F13">
        <v>51826.62702559193</v>
      </c>
      <c r="G13">
        <v>2025</v>
      </c>
      <c r="H13">
        <v>1</v>
      </c>
      <c r="I13">
        <v>1</v>
      </c>
    </row>
    <row r="14" spans="1:16" x14ac:dyDescent="0.35">
      <c r="A14" t="str">
        <f t="shared" si="0"/>
        <v>afrractivation_hoursS1202511</v>
      </c>
      <c r="B14" t="s">
        <v>95</v>
      </c>
      <c r="C14" t="s">
        <v>103</v>
      </c>
      <c r="D14" t="s">
        <v>115</v>
      </c>
      <c r="E14" t="s">
        <v>110</v>
      </c>
      <c r="F14">
        <v>8760</v>
      </c>
      <c r="G14">
        <v>2025</v>
      </c>
      <c r="H14">
        <v>1</v>
      </c>
      <c r="I14">
        <v>1</v>
      </c>
    </row>
    <row r="15" spans="1:16" x14ac:dyDescent="0.35">
      <c r="A15" t="str">
        <f t="shared" si="0"/>
        <v>networkturpe_power_costS1202611</v>
      </c>
      <c r="B15" t="s">
        <v>95</v>
      </c>
      <c r="C15" t="s">
        <v>96</v>
      </c>
      <c r="D15" t="s">
        <v>97</v>
      </c>
      <c r="E15" t="s">
        <v>110</v>
      </c>
      <c r="F15">
        <v>1304.1261637973271</v>
      </c>
      <c r="G15">
        <v>2026</v>
      </c>
      <c r="H15">
        <v>1</v>
      </c>
      <c r="I15">
        <v>1</v>
      </c>
    </row>
    <row r="16" spans="1:16" x14ac:dyDescent="0.35">
      <c r="A16" t="str">
        <f t="shared" si="0"/>
        <v>networkturpe_energy_costS1202611</v>
      </c>
      <c r="C16" t="s">
        <v>96</v>
      </c>
      <c r="D16" t="s">
        <v>98</v>
      </c>
      <c r="E16" t="s">
        <v>110</v>
      </c>
      <c r="F16">
        <v>44.779364332672472</v>
      </c>
      <c r="G16">
        <v>2026</v>
      </c>
      <c r="H16">
        <v>1</v>
      </c>
      <c r="I16">
        <v>1</v>
      </c>
    </row>
    <row r="17" spans="1:9" x14ac:dyDescent="0.35">
      <c r="A17" t="str">
        <f t="shared" si="0"/>
        <v>DAcostS1202611</v>
      </c>
      <c r="C17" t="s">
        <v>99</v>
      </c>
      <c r="D17" t="s">
        <v>100</v>
      </c>
      <c r="E17" t="s">
        <v>110</v>
      </c>
      <c r="F17">
        <v>376.49036206312229</v>
      </c>
      <c r="G17">
        <v>2026</v>
      </c>
      <c r="H17">
        <v>1</v>
      </c>
      <c r="I17">
        <v>1</v>
      </c>
    </row>
    <row r="18" spans="1:9" x14ac:dyDescent="0.35">
      <c r="A18" t="str">
        <f t="shared" si="0"/>
        <v>DAincomeS1202611</v>
      </c>
      <c r="C18" t="s">
        <v>99</v>
      </c>
      <c r="D18" t="s">
        <v>101</v>
      </c>
      <c r="E18" t="s">
        <v>110</v>
      </c>
      <c r="F18">
        <v>0</v>
      </c>
      <c r="G18">
        <v>2026</v>
      </c>
      <c r="H18">
        <v>1</v>
      </c>
      <c r="I18">
        <v>1</v>
      </c>
    </row>
    <row r="19" spans="1:9" x14ac:dyDescent="0.35">
      <c r="A19" t="str">
        <f t="shared" si="0"/>
        <v>DAenergy_boughtS1202611</v>
      </c>
      <c r="C19" t="s">
        <v>99</v>
      </c>
      <c r="D19" t="s">
        <v>111</v>
      </c>
      <c r="E19" t="s">
        <v>110</v>
      </c>
      <c r="F19">
        <v>2.3723529804054899</v>
      </c>
      <c r="G19">
        <v>2026</v>
      </c>
      <c r="H19">
        <v>1</v>
      </c>
      <c r="I19">
        <v>1</v>
      </c>
    </row>
    <row r="20" spans="1:9" x14ac:dyDescent="0.35">
      <c r="A20" t="str">
        <f t="shared" si="0"/>
        <v>DAenergy_soldS1202611</v>
      </c>
      <c r="C20" t="s">
        <v>99</v>
      </c>
      <c r="D20" t="s">
        <v>112</v>
      </c>
      <c r="E20" t="s">
        <v>110</v>
      </c>
      <c r="F20">
        <v>0</v>
      </c>
      <c r="G20">
        <v>2026</v>
      </c>
      <c r="H20">
        <v>1</v>
      </c>
      <c r="I20">
        <v>1</v>
      </c>
    </row>
    <row r="21" spans="1:9" x14ac:dyDescent="0.35">
      <c r="A21" t="str">
        <f t="shared" si="0"/>
        <v>DAhours_boughtS1202611</v>
      </c>
      <c r="C21" t="s">
        <v>99</v>
      </c>
      <c r="D21" t="s">
        <v>113</v>
      </c>
      <c r="E21" t="s">
        <v>110</v>
      </c>
      <c r="F21">
        <v>6928</v>
      </c>
      <c r="G21">
        <v>2026</v>
      </c>
      <c r="H21">
        <v>1</v>
      </c>
      <c r="I21">
        <v>1</v>
      </c>
    </row>
    <row r="22" spans="1:9" x14ac:dyDescent="0.35">
      <c r="A22" t="str">
        <f t="shared" si="0"/>
        <v>DAhours_soldS1202611</v>
      </c>
      <c r="C22" t="s">
        <v>99</v>
      </c>
      <c r="D22" t="s">
        <v>114</v>
      </c>
      <c r="E22" t="s">
        <v>110</v>
      </c>
      <c r="F22">
        <v>0</v>
      </c>
      <c r="G22">
        <v>2026</v>
      </c>
      <c r="H22">
        <v>1</v>
      </c>
      <c r="I22">
        <v>1</v>
      </c>
    </row>
    <row r="23" spans="1:9" x14ac:dyDescent="0.35">
      <c r="A23" t="str">
        <f t="shared" si="0"/>
        <v>DAco2_emissionS1202611</v>
      </c>
      <c r="C23" t="s">
        <v>99</v>
      </c>
      <c r="D23" t="s">
        <v>204</v>
      </c>
      <c r="E23" t="s">
        <v>110</v>
      </c>
      <c r="F23">
        <v>166.0647086283879</v>
      </c>
      <c r="G23">
        <v>2026</v>
      </c>
      <c r="H23">
        <v>1</v>
      </c>
      <c r="I23">
        <v>1</v>
      </c>
    </row>
    <row r="24" spans="1:9" x14ac:dyDescent="0.35">
      <c r="A24" t="str">
        <f t="shared" si="0"/>
        <v>fcrincomeS1202611</v>
      </c>
      <c r="C24" t="s">
        <v>102</v>
      </c>
      <c r="D24" t="s">
        <v>101</v>
      </c>
      <c r="E24" t="s">
        <v>110</v>
      </c>
      <c r="F24">
        <v>0</v>
      </c>
      <c r="G24">
        <v>2026</v>
      </c>
      <c r="H24">
        <v>1</v>
      </c>
      <c r="I24">
        <v>1</v>
      </c>
    </row>
    <row r="25" spans="1:9" x14ac:dyDescent="0.35">
      <c r="A25" t="str">
        <f t="shared" si="0"/>
        <v>fcractivation_hoursS1202611</v>
      </c>
      <c r="C25" t="s">
        <v>102</v>
      </c>
      <c r="D25" t="s">
        <v>115</v>
      </c>
      <c r="E25" t="s">
        <v>110</v>
      </c>
      <c r="F25">
        <v>0</v>
      </c>
      <c r="G25">
        <v>2026</v>
      </c>
      <c r="H25">
        <v>1</v>
      </c>
      <c r="I25">
        <v>1</v>
      </c>
    </row>
    <row r="26" spans="1:9" x14ac:dyDescent="0.35">
      <c r="A26" t="str">
        <f t="shared" si="0"/>
        <v>afrrincomeS1202611</v>
      </c>
      <c r="B26" t="s">
        <v>95</v>
      </c>
      <c r="C26" t="s">
        <v>103</v>
      </c>
      <c r="D26" t="s">
        <v>101</v>
      </c>
      <c r="E26" t="s">
        <v>110</v>
      </c>
      <c r="F26">
        <v>49116.928116662399</v>
      </c>
      <c r="G26">
        <v>2026</v>
      </c>
      <c r="H26">
        <v>1</v>
      </c>
      <c r="I26">
        <v>1</v>
      </c>
    </row>
    <row r="27" spans="1:9" x14ac:dyDescent="0.35">
      <c r="A27" t="str">
        <f t="shared" si="0"/>
        <v>afrractivation_hoursS1202611</v>
      </c>
      <c r="B27" t="s">
        <v>95</v>
      </c>
      <c r="C27" t="s">
        <v>103</v>
      </c>
      <c r="D27" t="s">
        <v>115</v>
      </c>
      <c r="E27" t="s">
        <v>110</v>
      </c>
      <c r="F27">
        <v>8760</v>
      </c>
      <c r="G27">
        <v>2026</v>
      </c>
      <c r="H27">
        <v>1</v>
      </c>
      <c r="I27">
        <v>1</v>
      </c>
    </row>
    <row r="28" spans="1:9" x14ac:dyDescent="0.35">
      <c r="A28" t="str">
        <f t="shared" si="0"/>
        <v>networkturpe_power_costS1202711</v>
      </c>
      <c r="C28" t="s">
        <v>96</v>
      </c>
      <c r="D28" t="s">
        <v>97</v>
      </c>
      <c r="E28" t="s">
        <v>110</v>
      </c>
      <c r="F28">
        <v>1272.144569943285</v>
      </c>
      <c r="G28">
        <v>2027</v>
      </c>
      <c r="H28">
        <v>1</v>
      </c>
      <c r="I28">
        <v>1</v>
      </c>
    </row>
    <row r="29" spans="1:9" x14ac:dyDescent="0.35">
      <c r="A29" t="str">
        <f t="shared" si="0"/>
        <v>networkturpe_energy_costS1202711</v>
      </c>
      <c r="C29" t="s">
        <v>96</v>
      </c>
      <c r="D29" t="s">
        <v>98</v>
      </c>
      <c r="E29" t="s">
        <v>110</v>
      </c>
      <c r="F29">
        <v>43.31230352344037</v>
      </c>
      <c r="G29">
        <v>2027</v>
      </c>
      <c r="H29">
        <v>1</v>
      </c>
      <c r="I29">
        <v>1</v>
      </c>
    </row>
    <row r="30" spans="1:9" x14ac:dyDescent="0.35">
      <c r="A30" t="str">
        <f t="shared" si="0"/>
        <v>DAcostS1202711</v>
      </c>
      <c r="C30" t="s">
        <v>99</v>
      </c>
      <c r="D30" t="s">
        <v>100</v>
      </c>
      <c r="E30" t="s">
        <v>110</v>
      </c>
      <c r="F30">
        <v>280.0032536377343</v>
      </c>
      <c r="G30">
        <v>2027</v>
      </c>
      <c r="H30">
        <v>1</v>
      </c>
      <c r="I30">
        <v>1</v>
      </c>
    </row>
    <row r="31" spans="1:9" x14ac:dyDescent="0.35">
      <c r="A31" t="str">
        <f t="shared" si="0"/>
        <v>DAincomeS1202711</v>
      </c>
      <c r="C31" t="s">
        <v>99</v>
      </c>
      <c r="D31" t="s">
        <v>101</v>
      </c>
      <c r="E31" t="s">
        <v>110</v>
      </c>
      <c r="F31">
        <v>2.0270330478633362E-5</v>
      </c>
      <c r="G31">
        <v>2027</v>
      </c>
      <c r="H31">
        <v>1</v>
      </c>
      <c r="I31">
        <v>1</v>
      </c>
    </row>
    <row r="32" spans="1:9" x14ac:dyDescent="0.35">
      <c r="A32" t="str">
        <f t="shared" si="0"/>
        <v>DAenergy_boughtS1202711</v>
      </c>
      <c r="C32" t="s">
        <v>99</v>
      </c>
      <c r="D32" t="s">
        <v>111</v>
      </c>
      <c r="E32" t="s">
        <v>110</v>
      </c>
      <c r="F32">
        <v>2.312973449387743</v>
      </c>
      <c r="G32">
        <v>2027</v>
      </c>
      <c r="H32">
        <v>1</v>
      </c>
      <c r="I32">
        <v>1</v>
      </c>
    </row>
    <row r="33" spans="1:9" x14ac:dyDescent="0.35">
      <c r="A33" t="str">
        <f t="shared" si="0"/>
        <v>DAenergy_soldS1202711</v>
      </c>
      <c r="C33" t="s">
        <v>99</v>
      </c>
      <c r="D33" t="s">
        <v>112</v>
      </c>
      <c r="E33" t="s">
        <v>110</v>
      </c>
      <c r="F33">
        <v>1.320972986551538E-7</v>
      </c>
      <c r="G33">
        <v>2027</v>
      </c>
      <c r="H33">
        <v>1</v>
      </c>
      <c r="I33">
        <v>1</v>
      </c>
    </row>
    <row r="34" spans="1:9" x14ac:dyDescent="0.35">
      <c r="A34" t="str">
        <f t="shared" si="0"/>
        <v>DAhours_boughtS1202711</v>
      </c>
      <c r="C34" t="s">
        <v>99</v>
      </c>
      <c r="D34" t="s">
        <v>113</v>
      </c>
      <c r="E34" t="s">
        <v>110</v>
      </c>
      <c r="F34">
        <v>6066</v>
      </c>
      <c r="G34">
        <v>2027</v>
      </c>
      <c r="H34">
        <v>1</v>
      </c>
      <c r="I34">
        <v>1</v>
      </c>
    </row>
    <row r="35" spans="1:9" x14ac:dyDescent="0.35">
      <c r="A35" t="str">
        <f t="shared" si="0"/>
        <v>DAhours_soldS1202711</v>
      </c>
      <c r="C35" t="s">
        <v>99</v>
      </c>
      <c r="D35" t="s">
        <v>114</v>
      </c>
      <c r="E35" t="s">
        <v>110</v>
      </c>
      <c r="F35">
        <v>0</v>
      </c>
      <c r="G35">
        <v>2027</v>
      </c>
      <c r="H35">
        <v>1</v>
      </c>
      <c r="I35">
        <v>1</v>
      </c>
    </row>
    <row r="36" spans="1:9" x14ac:dyDescent="0.35">
      <c r="A36" t="str">
        <f t="shared" si="0"/>
        <v>DAco2_emissionS1202711</v>
      </c>
      <c r="C36" t="s">
        <v>99</v>
      </c>
      <c r="D36" t="s">
        <v>204</v>
      </c>
      <c r="E36" t="s">
        <v>110</v>
      </c>
      <c r="F36">
        <v>161.90814145714711</v>
      </c>
      <c r="G36">
        <v>2027</v>
      </c>
      <c r="H36">
        <v>1</v>
      </c>
      <c r="I36">
        <v>1</v>
      </c>
    </row>
    <row r="37" spans="1:9" x14ac:dyDescent="0.35">
      <c r="A37" t="str">
        <f t="shared" si="0"/>
        <v>fcrincomeS1202711</v>
      </c>
      <c r="C37" t="s">
        <v>102</v>
      </c>
      <c r="D37" t="s">
        <v>101</v>
      </c>
      <c r="E37" t="s">
        <v>110</v>
      </c>
      <c r="F37">
        <v>0</v>
      </c>
      <c r="G37">
        <v>2027</v>
      </c>
      <c r="H37">
        <v>1</v>
      </c>
      <c r="I37">
        <v>1</v>
      </c>
    </row>
    <row r="38" spans="1:9" x14ac:dyDescent="0.35">
      <c r="A38" t="str">
        <f t="shared" si="0"/>
        <v>fcractivation_hoursS1202711</v>
      </c>
      <c r="B38" t="s">
        <v>95</v>
      </c>
      <c r="C38" t="s">
        <v>102</v>
      </c>
      <c r="D38" t="s">
        <v>115</v>
      </c>
      <c r="E38" t="s">
        <v>110</v>
      </c>
      <c r="F38">
        <v>0</v>
      </c>
      <c r="G38">
        <v>2027</v>
      </c>
      <c r="H38">
        <v>1</v>
      </c>
      <c r="I38">
        <v>1</v>
      </c>
    </row>
    <row r="39" spans="1:9" x14ac:dyDescent="0.35">
      <c r="A39" t="str">
        <f t="shared" si="0"/>
        <v>afrrincomeS1202711</v>
      </c>
      <c r="B39" t="s">
        <v>95</v>
      </c>
      <c r="C39" t="s">
        <v>103</v>
      </c>
      <c r="D39" t="s">
        <v>101</v>
      </c>
      <c r="E39" t="s">
        <v>110</v>
      </c>
      <c r="F39">
        <v>41669.529254562643</v>
      </c>
      <c r="G39">
        <v>2027</v>
      </c>
      <c r="H39">
        <v>1</v>
      </c>
      <c r="I39">
        <v>1</v>
      </c>
    </row>
    <row r="40" spans="1:9" x14ac:dyDescent="0.35">
      <c r="A40" t="str">
        <f t="shared" si="0"/>
        <v>afrractivation_hoursS1202711</v>
      </c>
      <c r="C40" t="s">
        <v>103</v>
      </c>
      <c r="D40" t="s">
        <v>115</v>
      </c>
      <c r="E40" t="s">
        <v>110</v>
      </c>
      <c r="F40">
        <v>8760</v>
      </c>
      <c r="G40">
        <v>2027</v>
      </c>
      <c r="H40">
        <v>1</v>
      </c>
      <c r="I40">
        <v>1</v>
      </c>
    </row>
    <row r="41" spans="1:9" x14ac:dyDescent="0.35">
      <c r="A41" t="str">
        <f t="shared" si="0"/>
        <v>networkturpe_power_costS1202811</v>
      </c>
      <c r="C41" t="s">
        <v>96</v>
      </c>
      <c r="D41" t="s">
        <v>97</v>
      </c>
      <c r="E41" t="s">
        <v>110</v>
      </c>
      <c r="F41">
        <v>1240.341875701545</v>
      </c>
      <c r="G41">
        <v>2028</v>
      </c>
      <c r="H41">
        <v>1</v>
      </c>
      <c r="I41">
        <v>1</v>
      </c>
    </row>
    <row r="42" spans="1:9" x14ac:dyDescent="0.35">
      <c r="A42" t="str">
        <f t="shared" si="0"/>
        <v>networkturpe_energy_costS1202811</v>
      </c>
      <c r="C42" t="s">
        <v>96</v>
      </c>
      <c r="D42" t="s">
        <v>98</v>
      </c>
      <c r="E42" t="s">
        <v>110</v>
      </c>
      <c r="F42">
        <v>42.297466751859517</v>
      </c>
      <c r="G42">
        <v>2028</v>
      </c>
      <c r="H42">
        <v>1</v>
      </c>
      <c r="I42">
        <v>1</v>
      </c>
    </row>
    <row r="43" spans="1:9" x14ac:dyDescent="0.35">
      <c r="A43" t="str">
        <f t="shared" si="0"/>
        <v>DAcostS1202811</v>
      </c>
      <c r="C43" t="s">
        <v>99</v>
      </c>
      <c r="D43" t="s">
        <v>100</v>
      </c>
      <c r="E43" t="s">
        <v>110</v>
      </c>
      <c r="F43">
        <v>250.12097928375891</v>
      </c>
      <c r="G43">
        <v>2028</v>
      </c>
      <c r="H43">
        <v>1</v>
      </c>
      <c r="I43">
        <v>1</v>
      </c>
    </row>
    <row r="44" spans="1:9" x14ac:dyDescent="0.35">
      <c r="A44" t="str">
        <f t="shared" si="0"/>
        <v>DAincomeS1202811</v>
      </c>
      <c r="C44" t="s">
        <v>99</v>
      </c>
      <c r="D44" t="s">
        <v>101</v>
      </c>
      <c r="E44" t="s">
        <v>110</v>
      </c>
      <c r="F44">
        <v>9.5807924928985601E-5</v>
      </c>
      <c r="G44">
        <v>2028</v>
      </c>
      <c r="H44">
        <v>1</v>
      </c>
      <c r="I44">
        <v>1</v>
      </c>
    </row>
    <row r="45" spans="1:9" x14ac:dyDescent="0.35">
      <c r="A45" t="str">
        <f t="shared" si="0"/>
        <v>DAenergy_boughtS1202811</v>
      </c>
      <c r="C45" t="s">
        <v>99</v>
      </c>
      <c r="D45" t="s">
        <v>111</v>
      </c>
      <c r="E45" t="s">
        <v>110</v>
      </c>
      <c r="F45">
        <v>2.255141459837545</v>
      </c>
      <c r="G45">
        <v>2028</v>
      </c>
      <c r="H45">
        <v>1</v>
      </c>
      <c r="I45">
        <v>1</v>
      </c>
    </row>
    <row r="46" spans="1:9" x14ac:dyDescent="0.35">
      <c r="A46" t="str">
        <f t="shared" si="0"/>
        <v>DAenergy_soldS1202811</v>
      </c>
      <c r="C46" t="s">
        <v>99</v>
      </c>
      <c r="D46" t="s">
        <v>112</v>
      </c>
      <c r="E46" t="s">
        <v>110</v>
      </c>
      <c r="F46">
        <v>7.7276919607793815E-7</v>
      </c>
      <c r="G46">
        <v>2028</v>
      </c>
      <c r="H46">
        <v>1</v>
      </c>
      <c r="I46">
        <v>1</v>
      </c>
    </row>
    <row r="47" spans="1:9" x14ac:dyDescent="0.35">
      <c r="A47" t="str">
        <f t="shared" si="0"/>
        <v>DAhours_boughtS1202811</v>
      </c>
      <c r="C47" t="s">
        <v>99</v>
      </c>
      <c r="D47" t="s">
        <v>113</v>
      </c>
      <c r="E47" t="s">
        <v>110</v>
      </c>
      <c r="F47">
        <v>5973</v>
      </c>
      <c r="G47">
        <v>2028</v>
      </c>
      <c r="H47">
        <v>1</v>
      </c>
      <c r="I47">
        <v>1</v>
      </c>
    </row>
    <row r="48" spans="1:9" x14ac:dyDescent="0.35">
      <c r="A48" t="str">
        <f t="shared" si="0"/>
        <v>DAhours_soldS1202811</v>
      </c>
      <c r="C48" t="s">
        <v>99</v>
      </c>
      <c r="D48" t="s">
        <v>114</v>
      </c>
      <c r="E48" t="s">
        <v>110</v>
      </c>
      <c r="F48">
        <v>0</v>
      </c>
      <c r="G48">
        <v>2028</v>
      </c>
      <c r="H48">
        <v>1</v>
      </c>
      <c r="I48">
        <v>1</v>
      </c>
    </row>
    <row r="49" spans="1:9" x14ac:dyDescent="0.35">
      <c r="A49" t="str">
        <f t="shared" si="0"/>
        <v>DAco2_emissionS1202811</v>
      </c>
      <c r="C49" t="s">
        <v>99</v>
      </c>
      <c r="D49" t="s">
        <v>204</v>
      </c>
      <c r="E49" t="s">
        <v>110</v>
      </c>
      <c r="F49">
        <v>157.85990218862619</v>
      </c>
      <c r="G49">
        <v>2028</v>
      </c>
      <c r="H49">
        <v>1</v>
      </c>
      <c r="I49">
        <v>1</v>
      </c>
    </row>
    <row r="50" spans="1:9" x14ac:dyDescent="0.35">
      <c r="A50" t="str">
        <f t="shared" si="0"/>
        <v>fcrincomeS1202811</v>
      </c>
      <c r="B50" t="s">
        <v>95</v>
      </c>
      <c r="C50" t="s">
        <v>102</v>
      </c>
      <c r="D50" t="s">
        <v>101</v>
      </c>
      <c r="E50" t="s">
        <v>110</v>
      </c>
      <c r="F50">
        <v>0</v>
      </c>
      <c r="G50">
        <v>2028</v>
      </c>
      <c r="H50">
        <v>1</v>
      </c>
      <c r="I50">
        <v>1</v>
      </c>
    </row>
    <row r="51" spans="1:9" x14ac:dyDescent="0.35">
      <c r="A51" t="str">
        <f t="shared" si="0"/>
        <v>fcractivation_hoursS1202811</v>
      </c>
      <c r="B51" t="s">
        <v>95</v>
      </c>
      <c r="C51" t="s">
        <v>102</v>
      </c>
      <c r="D51" t="s">
        <v>115</v>
      </c>
      <c r="E51" t="s">
        <v>110</v>
      </c>
      <c r="F51">
        <v>0</v>
      </c>
      <c r="G51">
        <v>2028</v>
      </c>
      <c r="H51">
        <v>1</v>
      </c>
      <c r="I51">
        <v>1</v>
      </c>
    </row>
    <row r="52" spans="1:9" x14ac:dyDescent="0.35">
      <c r="A52" t="str">
        <f t="shared" si="0"/>
        <v>afrrincomeS1202811</v>
      </c>
      <c r="C52" t="s">
        <v>103</v>
      </c>
      <c r="D52" t="s">
        <v>101</v>
      </c>
      <c r="E52" t="s">
        <v>110</v>
      </c>
      <c r="F52">
        <v>40939.549397980853</v>
      </c>
      <c r="G52">
        <v>2028</v>
      </c>
      <c r="H52">
        <v>1</v>
      </c>
      <c r="I52">
        <v>1</v>
      </c>
    </row>
    <row r="53" spans="1:9" x14ac:dyDescent="0.35">
      <c r="A53" t="str">
        <f t="shared" si="0"/>
        <v>afrractivation_hoursS1202811</v>
      </c>
      <c r="C53" t="s">
        <v>103</v>
      </c>
      <c r="D53" t="s">
        <v>115</v>
      </c>
      <c r="E53" t="s">
        <v>110</v>
      </c>
      <c r="F53">
        <v>8760</v>
      </c>
      <c r="G53">
        <v>2028</v>
      </c>
      <c r="H53">
        <v>1</v>
      </c>
      <c r="I53">
        <v>1</v>
      </c>
    </row>
    <row r="54" spans="1:9" x14ac:dyDescent="0.35">
      <c r="A54" t="str">
        <f t="shared" si="0"/>
        <v>networkturpe_power_costS1202911</v>
      </c>
      <c r="C54" t="s">
        <v>96</v>
      </c>
      <c r="D54" t="s">
        <v>97</v>
      </c>
      <c r="E54" t="s">
        <v>110</v>
      </c>
      <c r="F54">
        <v>1209.1318499466579</v>
      </c>
      <c r="G54">
        <v>2029</v>
      </c>
      <c r="H54">
        <v>1</v>
      </c>
      <c r="I54">
        <v>1</v>
      </c>
    </row>
    <row r="55" spans="1:9" x14ac:dyDescent="0.35">
      <c r="A55" t="str">
        <f t="shared" si="0"/>
        <v>networkturpe_energy_costS1202911</v>
      </c>
      <c r="C55" t="s">
        <v>96</v>
      </c>
      <c r="D55" t="s">
        <v>98</v>
      </c>
      <c r="E55" t="s">
        <v>110</v>
      </c>
      <c r="F55">
        <v>45.998064498584682</v>
      </c>
      <c r="G55">
        <v>2029</v>
      </c>
      <c r="H55">
        <v>1</v>
      </c>
      <c r="I55">
        <v>1</v>
      </c>
    </row>
    <row r="56" spans="1:9" x14ac:dyDescent="0.35">
      <c r="A56" t="str">
        <f t="shared" si="0"/>
        <v>DAcostS1202911</v>
      </c>
      <c r="C56" t="s">
        <v>99</v>
      </c>
      <c r="D56" t="s">
        <v>100</v>
      </c>
      <c r="E56" t="s">
        <v>110</v>
      </c>
      <c r="F56">
        <v>227.04977257526909</v>
      </c>
      <c r="G56">
        <v>2029</v>
      </c>
      <c r="H56">
        <v>1</v>
      </c>
      <c r="I56">
        <v>1</v>
      </c>
    </row>
    <row r="57" spans="1:9" x14ac:dyDescent="0.35">
      <c r="A57" t="str">
        <f t="shared" si="0"/>
        <v>DAincomeS1202911</v>
      </c>
      <c r="C57" t="s">
        <v>99</v>
      </c>
      <c r="D57" t="s">
        <v>101</v>
      </c>
      <c r="E57" t="s">
        <v>110</v>
      </c>
      <c r="F57">
        <v>46.985641336295522</v>
      </c>
      <c r="G57">
        <v>2029</v>
      </c>
      <c r="H57">
        <v>1</v>
      </c>
      <c r="I57">
        <v>1</v>
      </c>
    </row>
    <row r="58" spans="1:9" x14ac:dyDescent="0.35">
      <c r="A58" t="str">
        <f t="shared" si="0"/>
        <v>DAenergy_boughtS1202911</v>
      </c>
      <c r="C58" t="s">
        <v>99</v>
      </c>
      <c r="D58" t="s">
        <v>111</v>
      </c>
      <c r="E58" t="s">
        <v>110</v>
      </c>
      <c r="F58">
        <v>2.6507804625176532</v>
      </c>
      <c r="G58">
        <v>2029</v>
      </c>
      <c r="H58">
        <v>1</v>
      </c>
      <c r="I58">
        <v>1</v>
      </c>
    </row>
    <row r="59" spans="1:9" x14ac:dyDescent="0.35">
      <c r="A59" t="str">
        <f t="shared" si="0"/>
        <v>DAenergy_soldS1202911</v>
      </c>
      <c r="C59" t="s">
        <v>99</v>
      </c>
      <c r="D59" t="s">
        <v>112</v>
      </c>
      <c r="E59" t="s">
        <v>110</v>
      </c>
      <c r="F59">
        <v>0.36653134109373198</v>
      </c>
      <c r="G59">
        <v>2029</v>
      </c>
      <c r="H59">
        <v>1</v>
      </c>
      <c r="I59">
        <v>1</v>
      </c>
    </row>
    <row r="60" spans="1:9" x14ac:dyDescent="0.35">
      <c r="A60" t="str">
        <f t="shared" si="0"/>
        <v>DAhours_boughtS1202911</v>
      </c>
      <c r="C60" t="s">
        <v>99</v>
      </c>
      <c r="D60" t="s">
        <v>113</v>
      </c>
      <c r="E60" t="s">
        <v>110</v>
      </c>
      <c r="F60">
        <v>6515</v>
      </c>
      <c r="G60">
        <v>2029</v>
      </c>
      <c r="H60">
        <v>1</v>
      </c>
      <c r="I60">
        <v>1</v>
      </c>
    </row>
    <row r="61" spans="1:9" x14ac:dyDescent="0.35">
      <c r="A61" t="str">
        <f t="shared" si="0"/>
        <v>DAhours_soldS1202911</v>
      </c>
      <c r="C61" t="s">
        <v>99</v>
      </c>
      <c r="D61" t="s">
        <v>114</v>
      </c>
      <c r="E61" t="s">
        <v>110</v>
      </c>
      <c r="F61">
        <v>1</v>
      </c>
      <c r="G61">
        <v>2029</v>
      </c>
      <c r="H61">
        <v>1</v>
      </c>
      <c r="I61">
        <v>1</v>
      </c>
    </row>
    <row r="62" spans="1:9" x14ac:dyDescent="0.35">
      <c r="A62" t="str">
        <f t="shared" si="0"/>
        <v>DAco2_emissionS1202911</v>
      </c>
      <c r="B62" t="s">
        <v>95</v>
      </c>
      <c r="C62" t="s">
        <v>99</v>
      </c>
      <c r="D62" t="s">
        <v>204</v>
      </c>
      <c r="E62" t="s">
        <v>110</v>
      </c>
      <c r="F62">
        <v>185.5546323762797</v>
      </c>
      <c r="G62">
        <v>2029</v>
      </c>
      <c r="H62">
        <v>1</v>
      </c>
      <c r="I62">
        <v>1</v>
      </c>
    </row>
    <row r="63" spans="1:9" x14ac:dyDescent="0.35">
      <c r="A63" t="str">
        <f t="shared" si="0"/>
        <v>fcrincomeS1202911</v>
      </c>
      <c r="B63" t="s">
        <v>95</v>
      </c>
      <c r="C63" t="s">
        <v>102</v>
      </c>
      <c r="D63" t="s">
        <v>101</v>
      </c>
      <c r="E63" t="s">
        <v>110</v>
      </c>
      <c r="F63">
        <v>0</v>
      </c>
      <c r="G63">
        <v>2029</v>
      </c>
      <c r="H63">
        <v>1</v>
      </c>
      <c r="I63">
        <v>1</v>
      </c>
    </row>
    <row r="64" spans="1:9" x14ac:dyDescent="0.35">
      <c r="A64" t="str">
        <f t="shared" si="0"/>
        <v>fcractivation_hoursS1202911</v>
      </c>
      <c r="C64" t="s">
        <v>102</v>
      </c>
      <c r="D64" t="s">
        <v>115</v>
      </c>
      <c r="E64" t="s">
        <v>110</v>
      </c>
      <c r="F64">
        <v>0</v>
      </c>
      <c r="G64">
        <v>2029</v>
      </c>
      <c r="H64">
        <v>1</v>
      </c>
      <c r="I64">
        <v>1</v>
      </c>
    </row>
    <row r="65" spans="1:9" x14ac:dyDescent="0.35">
      <c r="A65" t="str">
        <f t="shared" si="0"/>
        <v>afrrincomeS1202911</v>
      </c>
      <c r="C65" t="s">
        <v>103</v>
      </c>
      <c r="D65" t="s">
        <v>101</v>
      </c>
      <c r="E65" t="s">
        <v>110</v>
      </c>
      <c r="F65">
        <v>42203.135398634637</v>
      </c>
      <c r="G65">
        <v>2029</v>
      </c>
      <c r="H65">
        <v>1</v>
      </c>
      <c r="I65">
        <v>1</v>
      </c>
    </row>
    <row r="66" spans="1:9" x14ac:dyDescent="0.35">
      <c r="A66" t="str">
        <f t="shared" si="0"/>
        <v>afrractivation_hoursS1202911</v>
      </c>
      <c r="C66" t="s">
        <v>103</v>
      </c>
      <c r="D66" t="s">
        <v>115</v>
      </c>
      <c r="E66" t="s">
        <v>110</v>
      </c>
      <c r="F66">
        <v>8758</v>
      </c>
      <c r="G66">
        <v>2029</v>
      </c>
      <c r="H66">
        <v>1</v>
      </c>
      <c r="I66">
        <v>1</v>
      </c>
    </row>
    <row r="67" spans="1:9" x14ac:dyDescent="0.35">
      <c r="A67" t="str">
        <f t="shared" ref="A67:A130" si="1">C67&amp;D67&amp;E67&amp;G67&amp;H67&amp;I67</f>
        <v>networkturpe_power_costS1203011</v>
      </c>
      <c r="C67" t="s">
        <v>96</v>
      </c>
      <c r="D67" t="s">
        <v>97</v>
      </c>
      <c r="E67" t="s">
        <v>110</v>
      </c>
      <c r="F67">
        <v>1180.310246727413</v>
      </c>
      <c r="G67">
        <v>2030</v>
      </c>
      <c r="H67">
        <v>1</v>
      </c>
      <c r="I67">
        <v>1</v>
      </c>
    </row>
    <row r="68" spans="1:9" x14ac:dyDescent="0.35">
      <c r="A68" t="str">
        <f t="shared" si="1"/>
        <v>networkturpe_energy_costS1203011</v>
      </c>
      <c r="C68" t="s">
        <v>96</v>
      </c>
      <c r="D68" t="s">
        <v>98</v>
      </c>
      <c r="E68" t="s">
        <v>110</v>
      </c>
      <c r="F68">
        <v>138.03434173337419</v>
      </c>
      <c r="G68">
        <v>2030</v>
      </c>
      <c r="H68">
        <v>1</v>
      </c>
      <c r="I68">
        <v>1</v>
      </c>
    </row>
    <row r="69" spans="1:9" x14ac:dyDescent="0.35">
      <c r="A69" t="str">
        <f t="shared" si="1"/>
        <v>DAcostS1203011</v>
      </c>
      <c r="C69" t="s">
        <v>99</v>
      </c>
      <c r="D69" t="s">
        <v>100</v>
      </c>
      <c r="E69" t="s">
        <v>110</v>
      </c>
      <c r="F69">
        <v>544.69217834705603</v>
      </c>
      <c r="G69">
        <v>2030</v>
      </c>
      <c r="H69">
        <v>1</v>
      </c>
      <c r="I69">
        <v>1</v>
      </c>
    </row>
    <row r="70" spans="1:9" x14ac:dyDescent="0.35">
      <c r="A70" t="str">
        <f t="shared" si="1"/>
        <v>DAincomeS1203011</v>
      </c>
      <c r="C70" t="s">
        <v>99</v>
      </c>
      <c r="D70" t="s">
        <v>101</v>
      </c>
      <c r="E70" t="s">
        <v>110</v>
      </c>
      <c r="F70">
        <v>732.47194625185296</v>
      </c>
      <c r="G70">
        <v>2030</v>
      </c>
      <c r="H70">
        <v>1</v>
      </c>
      <c r="I70">
        <v>1</v>
      </c>
    </row>
    <row r="71" spans="1:9" x14ac:dyDescent="0.35">
      <c r="A71" t="str">
        <f t="shared" si="1"/>
        <v>DAenergy_boughtS1203011</v>
      </c>
      <c r="C71" t="s">
        <v>99</v>
      </c>
      <c r="D71" t="s">
        <v>111</v>
      </c>
      <c r="E71" t="s">
        <v>110</v>
      </c>
      <c r="F71">
        <v>9.5860488794875565</v>
      </c>
      <c r="G71">
        <v>2030</v>
      </c>
      <c r="H71">
        <v>1</v>
      </c>
      <c r="I71">
        <v>1</v>
      </c>
    </row>
    <row r="72" spans="1:9" x14ac:dyDescent="0.35">
      <c r="A72" t="str">
        <f t="shared" si="1"/>
        <v>DAenergy_soldS1203011</v>
      </c>
      <c r="C72" t="s">
        <v>99</v>
      </c>
      <c r="D72" t="s">
        <v>112</v>
      </c>
      <c r="E72" t="s">
        <v>110</v>
      </c>
      <c r="F72">
        <v>6.0290676217676227</v>
      </c>
      <c r="G72">
        <v>2030</v>
      </c>
      <c r="H72">
        <v>1</v>
      </c>
      <c r="I72">
        <v>1</v>
      </c>
    </row>
    <row r="73" spans="1:9" x14ac:dyDescent="0.35">
      <c r="A73" t="str">
        <f t="shared" si="1"/>
        <v>DAhours_boughtS1203011</v>
      </c>
      <c r="C73" t="s">
        <v>99</v>
      </c>
      <c r="D73" t="s">
        <v>113</v>
      </c>
      <c r="E73" t="s">
        <v>110</v>
      </c>
      <c r="F73">
        <v>4396</v>
      </c>
      <c r="G73">
        <v>2030</v>
      </c>
      <c r="H73">
        <v>1</v>
      </c>
      <c r="I73">
        <v>1</v>
      </c>
    </row>
    <row r="74" spans="1:9" x14ac:dyDescent="0.35">
      <c r="A74" t="str">
        <f t="shared" si="1"/>
        <v>DAhours_soldS1203011</v>
      </c>
      <c r="B74" t="s">
        <v>95</v>
      </c>
      <c r="C74" t="s">
        <v>99</v>
      </c>
      <c r="D74" t="s">
        <v>114</v>
      </c>
      <c r="E74" t="s">
        <v>110</v>
      </c>
      <c r="F74">
        <v>38</v>
      </c>
      <c r="G74">
        <v>2030</v>
      </c>
      <c r="H74">
        <v>1</v>
      </c>
      <c r="I74">
        <v>1</v>
      </c>
    </row>
    <row r="75" spans="1:9" x14ac:dyDescent="0.35">
      <c r="A75" t="str">
        <f t="shared" si="1"/>
        <v>DAco2_emissionS1203011</v>
      </c>
      <c r="B75" t="s">
        <v>95</v>
      </c>
      <c r="C75" t="s">
        <v>99</v>
      </c>
      <c r="D75" t="s">
        <v>204</v>
      </c>
      <c r="E75" t="s">
        <v>110</v>
      </c>
      <c r="F75">
        <v>671.02342156410566</v>
      </c>
      <c r="G75">
        <v>2030</v>
      </c>
      <c r="H75">
        <v>1</v>
      </c>
      <c r="I75">
        <v>1</v>
      </c>
    </row>
    <row r="76" spans="1:9" x14ac:dyDescent="0.35">
      <c r="A76" t="str">
        <f t="shared" si="1"/>
        <v>fcrincomeS1203011</v>
      </c>
      <c r="C76" t="s">
        <v>102</v>
      </c>
      <c r="D76" t="s">
        <v>101</v>
      </c>
      <c r="E76" t="s">
        <v>110</v>
      </c>
      <c r="F76">
        <v>8.2800104687005046E-3</v>
      </c>
      <c r="G76">
        <v>2030</v>
      </c>
      <c r="H76">
        <v>1</v>
      </c>
      <c r="I76">
        <v>1</v>
      </c>
    </row>
    <row r="77" spans="1:9" x14ac:dyDescent="0.35">
      <c r="A77" t="str">
        <f t="shared" si="1"/>
        <v>fcractivation_hoursS1203011</v>
      </c>
      <c r="C77" t="s">
        <v>102</v>
      </c>
      <c r="D77" t="s">
        <v>115</v>
      </c>
      <c r="E77" t="s">
        <v>110</v>
      </c>
      <c r="F77">
        <v>4</v>
      </c>
      <c r="G77">
        <v>2030</v>
      </c>
      <c r="H77">
        <v>1</v>
      </c>
      <c r="I77">
        <v>1</v>
      </c>
    </row>
    <row r="78" spans="1:9" x14ac:dyDescent="0.35">
      <c r="A78" t="str">
        <f t="shared" si="1"/>
        <v>afrrincomeS1203011</v>
      </c>
      <c r="C78" t="s">
        <v>103</v>
      </c>
      <c r="D78" t="s">
        <v>101</v>
      </c>
      <c r="E78" t="s">
        <v>110</v>
      </c>
      <c r="F78">
        <v>24981.658921292201</v>
      </c>
      <c r="G78">
        <v>2030</v>
      </c>
      <c r="H78">
        <v>1</v>
      </c>
      <c r="I78">
        <v>1</v>
      </c>
    </row>
    <row r="79" spans="1:9" x14ac:dyDescent="0.35">
      <c r="A79" t="str">
        <f t="shared" si="1"/>
        <v>afrractivation_hoursS1203011</v>
      </c>
      <c r="C79" t="s">
        <v>103</v>
      </c>
      <c r="D79" t="s">
        <v>115</v>
      </c>
      <c r="E79" t="s">
        <v>110</v>
      </c>
      <c r="F79">
        <v>8723</v>
      </c>
      <c r="G79">
        <v>2030</v>
      </c>
      <c r="H79">
        <v>1</v>
      </c>
      <c r="I79">
        <v>1</v>
      </c>
    </row>
    <row r="80" spans="1:9" x14ac:dyDescent="0.35">
      <c r="A80" t="str">
        <f t="shared" si="1"/>
        <v>networkturpe_power_costS1203111</v>
      </c>
      <c r="C80" t="s">
        <v>96</v>
      </c>
      <c r="D80" t="s">
        <v>97</v>
      </c>
      <c r="E80" t="s">
        <v>110</v>
      </c>
      <c r="F80">
        <v>1150.850956723898</v>
      </c>
      <c r="G80">
        <v>2031</v>
      </c>
      <c r="H80">
        <v>1</v>
      </c>
      <c r="I80">
        <v>1</v>
      </c>
    </row>
    <row r="81" spans="1:9" x14ac:dyDescent="0.35">
      <c r="A81" t="str">
        <f t="shared" si="1"/>
        <v>networkturpe_energy_costS1203111</v>
      </c>
      <c r="C81" t="s">
        <v>96</v>
      </c>
      <c r="D81" t="s">
        <v>98</v>
      </c>
      <c r="E81" t="s">
        <v>110</v>
      </c>
      <c r="F81">
        <v>199.6124477048632</v>
      </c>
      <c r="G81">
        <v>2031</v>
      </c>
      <c r="H81">
        <v>1</v>
      </c>
      <c r="I81">
        <v>1</v>
      </c>
    </row>
    <row r="82" spans="1:9" x14ac:dyDescent="0.35">
      <c r="A82" t="str">
        <f t="shared" si="1"/>
        <v>DAcostS1203111</v>
      </c>
      <c r="C82" t="s">
        <v>99</v>
      </c>
      <c r="D82" t="s">
        <v>100</v>
      </c>
      <c r="E82" t="s">
        <v>110</v>
      </c>
      <c r="F82">
        <v>597.94350005202</v>
      </c>
      <c r="G82">
        <v>2031</v>
      </c>
      <c r="H82">
        <v>1</v>
      </c>
      <c r="I82">
        <v>1</v>
      </c>
    </row>
    <row r="83" spans="1:9" x14ac:dyDescent="0.35">
      <c r="A83" t="str">
        <f t="shared" si="1"/>
        <v>DAincomeS1203111</v>
      </c>
      <c r="C83" t="s">
        <v>99</v>
      </c>
      <c r="D83" t="s">
        <v>101</v>
      </c>
      <c r="E83" t="s">
        <v>110</v>
      </c>
      <c r="F83">
        <v>1049.8283247493041</v>
      </c>
      <c r="G83">
        <v>2031</v>
      </c>
      <c r="H83">
        <v>1</v>
      </c>
      <c r="I83">
        <v>1</v>
      </c>
    </row>
    <row r="84" spans="1:9" x14ac:dyDescent="0.35">
      <c r="A84" t="str">
        <f t="shared" si="1"/>
        <v>DAenergy_boughtS1203111</v>
      </c>
      <c r="C84" t="s">
        <v>99</v>
      </c>
      <c r="D84" t="s">
        <v>111</v>
      </c>
      <c r="E84" t="s">
        <v>110</v>
      </c>
      <c r="F84">
        <v>13.937576003512691</v>
      </c>
      <c r="G84">
        <v>2031</v>
      </c>
      <c r="H84">
        <v>1</v>
      </c>
      <c r="I84">
        <v>1</v>
      </c>
    </row>
    <row r="85" spans="1:9" x14ac:dyDescent="0.35">
      <c r="A85" t="str">
        <f t="shared" si="1"/>
        <v>DAenergy_soldS1203111</v>
      </c>
      <c r="C85" t="s">
        <v>99</v>
      </c>
      <c r="D85" t="s">
        <v>112</v>
      </c>
      <c r="E85" t="s">
        <v>110</v>
      </c>
      <c r="F85">
        <v>9.5997576911942417</v>
      </c>
      <c r="G85">
        <v>2031</v>
      </c>
      <c r="H85">
        <v>1</v>
      </c>
      <c r="I85">
        <v>1</v>
      </c>
    </row>
    <row r="86" spans="1:9" x14ac:dyDescent="0.35">
      <c r="A86" t="str">
        <f t="shared" si="1"/>
        <v>DAhours_boughtS1203111</v>
      </c>
      <c r="B86" t="s">
        <v>95</v>
      </c>
      <c r="C86" t="s">
        <v>99</v>
      </c>
      <c r="D86" t="s">
        <v>113</v>
      </c>
      <c r="E86" t="s">
        <v>110</v>
      </c>
      <c r="F86">
        <v>4509</v>
      </c>
      <c r="G86">
        <v>2031</v>
      </c>
      <c r="H86">
        <v>1</v>
      </c>
      <c r="I86">
        <v>1</v>
      </c>
    </row>
    <row r="87" spans="1:9" x14ac:dyDescent="0.35">
      <c r="A87" t="str">
        <f t="shared" si="1"/>
        <v>DAhours_soldS1203111</v>
      </c>
      <c r="B87" t="s">
        <v>95</v>
      </c>
      <c r="C87" t="s">
        <v>99</v>
      </c>
      <c r="D87" t="s">
        <v>114</v>
      </c>
      <c r="E87" t="s">
        <v>110</v>
      </c>
      <c r="F87">
        <v>69</v>
      </c>
      <c r="G87">
        <v>2031</v>
      </c>
      <c r="H87">
        <v>1</v>
      </c>
      <c r="I87">
        <v>1</v>
      </c>
    </row>
    <row r="88" spans="1:9" x14ac:dyDescent="0.35">
      <c r="A88" t="str">
        <f t="shared" si="1"/>
        <v>DAco2_emissionS1203111</v>
      </c>
      <c r="C88" t="s">
        <v>99</v>
      </c>
      <c r="D88" t="s">
        <v>204</v>
      </c>
      <c r="E88" t="s">
        <v>110</v>
      </c>
      <c r="F88">
        <v>975.63032024587267</v>
      </c>
      <c r="G88">
        <v>2031</v>
      </c>
      <c r="H88">
        <v>1</v>
      </c>
      <c r="I88">
        <v>1</v>
      </c>
    </row>
    <row r="89" spans="1:9" x14ac:dyDescent="0.35">
      <c r="A89" t="str">
        <f t="shared" si="1"/>
        <v>fcrincomeS1203111</v>
      </c>
      <c r="C89" t="s">
        <v>102</v>
      </c>
      <c r="D89" t="s">
        <v>101</v>
      </c>
      <c r="E89" t="s">
        <v>110</v>
      </c>
      <c r="F89">
        <v>3.290832009148158E-3</v>
      </c>
      <c r="G89">
        <v>2031</v>
      </c>
      <c r="H89">
        <v>1</v>
      </c>
      <c r="I89">
        <v>1</v>
      </c>
    </row>
    <row r="90" spans="1:9" x14ac:dyDescent="0.35">
      <c r="A90" t="str">
        <f t="shared" si="1"/>
        <v>fcractivation_hoursS1203111</v>
      </c>
      <c r="C90" t="s">
        <v>102</v>
      </c>
      <c r="D90" t="s">
        <v>115</v>
      </c>
      <c r="E90" t="s">
        <v>110</v>
      </c>
      <c r="F90">
        <v>4</v>
      </c>
      <c r="G90">
        <v>2031</v>
      </c>
      <c r="H90">
        <v>1</v>
      </c>
      <c r="I90">
        <v>1</v>
      </c>
    </row>
    <row r="91" spans="1:9" x14ac:dyDescent="0.35">
      <c r="A91" t="str">
        <f t="shared" si="1"/>
        <v>afrrincomeS1203111</v>
      </c>
      <c r="C91" t="s">
        <v>103</v>
      </c>
      <c r="D91" t="s">
        <v>101</v>
      </c>
      <c r="E91" t="s">
        <v>110</v>
      </c>
      <c r="F91">
        <v>24402.930495440942</v>
      </c>
      <c r="G91">
        <v>2031</v>
      </c>
      <c r="H91">
        <v>1</v>
      </c>
      <c r="I91">
        <v>1</v>
      </c>
    </row>
    <row r="92" spans="1:9" x14ac:dyDescent="0.35">
      <c r="A92" t="str">
        <f t="shared" si="1"/>
        <v>afrractivation_hoursS1203111</v>
      </c>
      <c r="C92" t="s">
        <v>103</v>
      </c>
      <c r="D92" t="s">
        <v>115</v>
      </c>
      <c r="E92" t="s">
        <v>110</v>
      </c>
      <c r="F92">
        <v>8701</v>
      </c>
      <c r="G92">
        <v>2031</v>
      </c>
      <c r="H92">
        <v>1</v>
      </c>
      <c r="I92">
        <v>1</v>
      </c>
    </row>
    <row r="93" spans="1:9" x14ac:dyDescent="0.35">
      <c r="A93" t="str">
        <f t="shared" si="1"/>
        <v>networkturpe_power_costS1203211</v>
      </c>
      <c r="C93" t="s">
        <v>96</v>
      </c>
      <c r="D93" t="s">
        <v>97</v>
      </c>
      <c r="E93" t="s">
        <v>110</v>
      </c>
      <c r="F93">
        <v>1123.5386303292239</v>
      </c>
      <c r="G93">
        <v>2032</v>
      </c>
      <c r="H93">
        <v>1</v>
      </c>
      <c r="I93">
        <v>1</v>
      </c>
    </row>
    <row r="94" spans="1:9" x14ac:dyDescent="0.35">
      <c r="A94" t="str">
        <f t="shared" si="1"/>
        <v>networkturpe_energy_costS1203211</v>
      </c>
      <c r="C94" t="s">
        <v>96</v>
      </c>
      <c r="D94" t="s">
        <v>98</v>
      </c>
      <c r="E94" t="s">
        <v>110</v>
      </c>
      <c r="F94">
        <v>305.28703356598731</v>
      </c>
      <c r="G94">
        <v>2032</v>
      </c>
      <c r="H94">
        <v>1</v>
      </c>
      <c r="I94">
        <v>1</v>
      </c>
    </row>
    <row r="95" spans="1:9" x14ac:dyDescent="0.35">
      <c r="A95" t="str">
        <f t="shared" si="1"/>
        <v>DAcostS1203211</v>
      </c>
      <c r="C95" t="s">
        <v>99</v>
      </c>
      <c r="D95" t="s">
        <v>100</v>
      </c>
      <c r="E95" t="s">
        <v>110</v>
      </c>
      <c r="F95">
        <v>1038.8808872747361</v>
      </c>
      <c r="G95">
        <v>2032</v>
      </c>
      <c r="H95">
        <v>1</v>
      </c>
      <c r="I95">
        <v>1</v>
      </c>
    </row>
    <row r="96" spans="1:9" x14ac:dyDescent="0.35">
      <c r="A96" t="str">
        <f t="shared" si="1"/>
        <v>DAincomeS1203211</v>
      </c>
      <c r="C96" t="s">
        <v>99</v>
      </c>
      <c r="D96" t="s">
        <v>101</v>
      </c>
      <c r="E96" t="s">
        <v>110</v>
      </c>
      <c r="F96">
        <v>1938.7881623649889</v>
      </c>
      <c r="G96">
        <v>2032</v>
      </c>
      <c r="H96">
        <v>1</v>
      </c>
      <c r="I96">
        <v>1</v>
      </c>
    </row>
    <row r="97" spans="1:9" x14ac:dyDescent="0.35">
      <c r="A97" t="str">
        <f t="shared" si="1"/>
        <v>DAenergy_boughtS1203211</v>
      </c>
      <c r="C97" t="s">
        <v>99</v>
      </c>
      <c r="D97" t="s">
        <v>111</v>
      </c>
      <c r="E97" t="s">
        <v>110</v>
      </c>
      <c r="F97">
        <v>23.674098454568171</v>
      </c>
      <c r="G97">
        <v>2032</v>
      </c>
      <c r="H97">
        <v>1</v>
      </c>
      <c r="I97">
        <v>1</v>
      </c>
    </row>
    <row r="98" spans="1:9" x14ac:dyDescent="0.35">
      <c r="A98" t="str">
        <f t="shared" si="1"/>
        <v>DAenergy_soldS1203211</v>
      </c>
      <c r="B98" t="s">
        <v>95</v>
      </c>
      <c r="C98" t="s">
        <v>99</v>
      </c>
      <c r="D98" t="s">
        <v>112</v>
      </c>
      <c r="E98" t="s">
        <v>110</v>
      </c>
      <c r="F98">
        <v>17.534164297897771</v>
      </c>
      <c r="G98">
        <v>2032</v>
      </c>
      <c r="H98">
        <v>1</v>
      </c>
      <c r="I98">
        <v>1</v>
      </c>
    </row>
    <row r="99" spans="1:9" x14ac:dyDescent="0.35">
      <c r="A99" t="str">
        <f t="shared" si="1"/>
        <v>DAhours_boughtS1203211</v>
      </c>
      <c r="B99" t="s">
        <v>95</v>
      </c>
      <c r="C99" t="s">
        <v>99</v>
      </c>
      <c r="D99" t="s">
        <v>113</v>
      </c>
      <c r="E99" t="s">
        <v>110</v>
      </c>
      <c r="F99">
        <v>4322</v>
      </c>
      <c r="G99">
        <v>2032</v>
      </c>
      <c r="H99">
        <v>1</v>
      </c>
      <c r="I99">
        <v>1</v>
      </c>
    </row>
    <row r="100" spans="1:9" x14ac:dyDescent="0.35">
      <c r="A100" t="str">
        <f t="shared" si="1"/>
        <v>DAhours_soldS1203211</v>
      </c>
      <c r="C100" t="s">
        <v>99</v>
      </c>
      <c r="D100" t="s">
        <v>114</v>
      </c>
      <c r="E100" t="s">
        <v>110</v>
      </c>
      <c r="F100">
        <v>95</v>
      </c>
      <c r="G100">
        <v>2032</v>
      </c>
      <c r="H100">
        <v>1</v>
      </c>
      <c r="I100">
        <v>1</v>
      </c>
    </row>
    <row r="101" spans="1:9" x14ac:dyDescent="0.35">
      <c r="A101" t="str">
        <f t="shared" si="1"/>
        <v>DAco2_emissionS1203211</v>
      </c>
      <c r="C101" t="s">
        <v>99</v>
      </c>
      <c r="D101" t="s">
        <v>204</v>
      </c>
      <c r="E101" t="s">
        <v>110</v>
      </c>
      <c r="F101">
        <v>1657.1868918197561</v>
      </c>
      <c r="G101">
        <v>2032</v>
      </c>
      <c r="H101">
        <v>1</v>
      </c>
      <c r="I101">
        <v>1</v>
      </c>
    </row>
    <row r="102" spans="1:9" x14ac:dyDescent="0.35">
      <c r="A102" t="str">
        <f t="shared" si="1"/>
        <v>fcrincomeS1203211</v>
      </c>
      <c r="C102" t="s">
        <v>102</v>
      </c>
      <c r="D102" t="s">
        <v>101</v>
      </c>
      <c r="E102" t="s">
        <v>110</v>
      </c>
      <c r="F102">
        <v>3.3040026391441692E-2</v>
      </c>
      <c r="G102">
        <v>2032</v>
      </c>
      <c r="H102">
        <v>1</v>
      </c>
      <c r="I102">
        <v>1</v>
      </c>
    </row>
    <row r="103" spans="1:9" x14ac:dyDescent="0.35">
      <c r="A103" t="str">
        <f t="shared" si="1"/>
        <v>fcractivation_hoursS1203211</v>
      </c>
      <c r="C103" t="s">
        <v>102</v>
      </c>
      <c r="D103" t="s">
        <v>115</v>
      </c>
      <c r="E103" t="s">
        <v>110</v>
      </c>
      <c r="F103">
        <v>20</v>
      </c>
      <c r="G103">
        <v>2032</v>
      </c>
      <c r="H103">
        <v>1</v>
      </c>
      <c r="I103">
        <v>1</v>
      </c>
    </row>
    <row r="104" spans="1:9" x14ac:dyDescent="0.35">
      <c r="A104" t="str">
        <f t="shared" si="1"/>
        <v>afrrincomeS1203211</v>
      </c>
      <c r="C104" t="s">
        <v>103</v>
      </c>
      <c r="D104" t="s">
        <v>101</v>
      </c>
      <c r="E104" t="s">
        <v>110</v>
      </c>
      <c r="F104">
        <v>23429.214439672262</v>
      </c>
      <c r="G104">
        <v>2032</v>
      </c>
      <c r="H104">
        <v>1</v>
      </c>
      <c r="I104">
        <v>1</v>
      </c>
    </row>
    <row r="105" spans="1:9" x14ac:dyDescent="0.35">
      <c r="A105" t="str">
        <f t="shared" si="1"/>
        <v>afrractivation_hoursS1203211</v>
      </c>
      <c r="C105" t="s">
        <v>103</v>
      </c>
      <c r="D105" t="s">
        <v>115</v>
      </c>
      <c r="E105" t="s">
        <v>110</v>
      </c>
      <c r="F105">
        <v>8625</v>
      </c>
      <c r="G105">
        <v>2032</v>
      </c>
      <c r="H105">
        <v>1</v>
      </c>
      <c r="I105">
        <v>1</v>
      </c>
    </row>
    <row r="106" spans="1:9" x14ac:dyDescent="0.35">
      <c r="A106" t="str">
        <f t="shared" si="1"/>
        <v>networkturpe_power_costS1203311</v>
      </c>
      <c r="C106" t="s">
        <v>96</v>
      </c>
      <c r="D106" t="s">
        <v>97</v>
      </c>
      <c r="E106" t="s">
        <v>110</v>
      </c>
      <c r="F106">
        <v>1094.3436738884629</v>
      </c>
      <c r="G106">
        <v>2033</v>
      </c>
      <c r="H106">
        <v>1</v>
      </c>
      <c r="I106">
        <v>1</v>
      </c>
    </row>
    <row r="107" spans="1:9" x14ac:dyDescent="0.35">
      <c r="A107" t="str">
        <f t="shared" si="1"/>
        <v>networkturpe_energy_costS1203311</v>
      </c>
      <c r="C107" t="s">
        <v>96</v>
      </c>
      <c r="D107" t="s">
        <v>98</v>
      </c>
      <c r="E107" t="s">
        <v>110</v>
      </c>
      <c r="F107">
        <v>215.5171001814021</v>
      </c>
      <c r="G107">
        <v>2033</v>
      </c>
      <c r="H107">
        <v>1</v>
      </c>
      <c r="I107">
        <v>1</v>
      </c>
    </row>
    <row r="108" spans="1:9" x14ac:dyDescent="0.35">
      <c r="A108" t="str">
        <f t="shared" si="1"/>
        <v>DAcostS1203311</v>
      </c>
      <c r="C108" t="s">
        <v>99</v>
      </c>
      <c r="D108" t="s">
        <v>100</v>
      </c>
      <c r="E108" t="s">
        <v>110</v>
      </c>
      <c r="F108">
        <v>729.73513796292821</v>
      </c>
      <c r="G108">
        <v>2033</v>
      </c>
      <c r="H108">
        <v>1</v>
      </c>
      <c r="I108">
        <v>1</v>
      </c>
    </row>
    <row r="109" spans="1:9" x14ac:dyDescent="0.35">
      <c r="A109" t="str">
        <f t="shared" si="1"/>
        <v>DAincomeS1203311</v>
      </c>
      <c r="C109" t="s">
        <v>99</v>
      </c>
      <c r="D109" t="s">
        <v>101</v>
      </c>
      <c r="E109" t="s">
        <v>110</v>
      </c>
      <c r="F109">
        <v>1321.5892137578251</v>
      </c>
      <c r="G109">
        <v>2033</v>
      </c>
      <c r="H109">
        <v>1</v>
      </c>
      <c r="I109">
        <v>1</v>
      </c>
    </row>
    <row r="110" spans="1:9" x14ac:dyDescent="0.35">
      <c r="A110" t="str">
        <f t="shared" si="1"/>
        <v>DAenergy_boughtS1203311</v>
      </c>
      <c r="B110" t="s">
        <v>95</v>
      </c>
      <c r="C110" t="s">
        <v>99</v>
      </c>
      <c r="D110" t="s">
        <v>111</v>
      </c>
      <c r="E110" t="s">
        <v>110</v>
      </c>
      <c r="F110">
        <v>16.96290092447564</v>
      </c>
      <c r="G110">
        <v>2033</v>
      </c>
      <c r="H110">
        <v>1</v>
      </c>
      <c r="I110">
        <v>1</v>
      </c>
    </row>
    <row r="111" spans="1:9" x14ac:dyDescent="0.35">
      <c r="A111" t="str">
        <f t="shared" si="1"/>
        <v>DAenergy_soldS1203311</v>
      </c>
      <c r="B111" t="s">
        <v>95</v>
      </c>
      <c r="C111" t="s">
        <v>99</v>
      </c>
      <c r="D111" t="s">
        <v>112</v>
      </c>
      <c r="E111" t="s">
        <v>110</v>
      </c>
      <c r="F111">
        <v>12.142214041408449</v>
      </c>
      <c r="G111">
        <v>2033</v>
      </c>
      <c r="H111">
        <v>1</v>
      </c>
      <c r="I111">
        <v>1</v>
      </c>
    </row>
    <row r="112" spans="1:9" x14ac:dyDescent="0.35">
      <c r="A112" t="str">
        <f t="shared" si="1"/>
        <v>DAhours_boughtS1203311</v>
      </c>
      <c r="C112" t="s">
        <v>99</v>
      </c>
      <c r="D112" t="s">
        <v>113</v>
      </c>
      <c r="E112" t="s">
        <v>110</v>
      </c>
      <c r="F112">
        <v>4516</v>
      </c>
      <c r="G112">
        <v>2033</v>
      </c>
      <c r="H112">
        <v>1</v>
      </c>
      <c r="I112">
        <v>1</v>
      </c>
    </row>
    <row r="113" spans="1:9" x14ac:dyDescent="0.35">
      <c r="A113" t="str">
        <f t="shared" si="1"/>
        <v>DAhours_soldS1203311</v>
      </c>
      <c r="C113" t="s">
        <v>99</v>
      </c>
      <c r="D113" t="s">
        <v>114</v>
      </c>
      <c r="E113" t="s">
        <v>110</v>
      </c>
      <c r="F113">
        <v>71</v>
      </c>
      <c r="G113">
        <v>2033</v>
      </c>
      <c r="H113">
        <v>1</v>
      </c>
      <c r="I113">
        <v>1</v>
      </c>
    </row>
    <row r="114" spans="1:9" x14ac:dyDescent="0.35">
      <c r="A114" t="str">
        <f t="shared" si="1"/>
        <v>DAco2_emissionS1203311</v>
      </c>
      <c r="C114" t="s">
        <v>99</v>
      </c>
      <c r="D114" t="s">
        <v>204</v>
      </c>
      <c r="E114" t="s">
        <v>110</v>
      </c>
      <c r="F114">
        <v>1187.4030647132829</v>
      </c>
      <c r="G114">
        <v>2033</v>
      </c>
      <c r="H114">
        <v>1</v>
      </c>
      <c r="I114">
        <v>1</v>
      </c>
    </row>
    <row r="115" spans="1:9" x14ac:dyDescent="0.35">
      <c r="A115" t="str">
        <f t="shared" si="1"/>
        <v>fcrincomeS1203311</v>
      </c>
      <c r="C115" t="s">
        <v>102</v>
      </c>
      <c r="D115" t="s">
        <v>101</v>
      </c>
      <c r="E115" t="s">
        <v>110</v>
      </c>
      <c r="F115">
        <v>8.3641621433986103E-3</v>
      </c>
      <c r="G115">
        <v>2033</v>
      </c>
      <c r="H115">
        <v>1</v>
      </c>
      <c r="I115">
        <v>1</v>
      </c>
    </row>
    <row r="116" spans="1:9" x14ac:dyDescent="0.35">
      <c r="A116" t="str">
        <f t="shared" si="1"/>
        <v>fcractivation_hoursS1203311</v>
      </c>
      <c r="C116" t="s">
        <v>102</v>
      </c>
      <c r="D116" t="s">
        <v>115</v>
      </c>
      <c r="E116" t="s">
        <v>110</v>
      </c>
      <c r="F116">
        <v>8</v>
      </c>
      <c r="G116">
        <v>2033</v>
      </c>
      <c r="H116">
        <v>1</v>
      </c>
      <c r="I116">
        <v>1</v>
      </c>
    </row>
    <row r="117" spans="1:9" x14ac:dyDescent="0.35">
      <c r="A117" t="str">
        <f t="shared" si="1"/>
        <v>afrrincomeS1203311</v>
      </c>
      <c r="C117" t="s">
        <v>103</v>
      </c>
      <c r="D117" t="s">
        <v>101</v>
      </c>
      <c r="E117" t="s">
        <v>110</v>
      </c>
      <c r="F117">
        <v>23569.090521703361</v>
      </c>
      <c r="G117">
        <v>2033</v>
      </c>
      <c r="H117">
        <v>1</v>
      </c>
      <c r="I117">
        <v>1</v>
      </c>
    </row>
    <row r="118" spans="1:9" x14ac:dyDescent="0.35">
      <c r="A118" t="str">
        <f t="shared" si="1"/>
        <v>afrractivation_hoursS1203311</v>
      </c>
      <c r="C118" t="s">
        <v>103</v>
      </c>
      <c r="D118" t="s">
        <v>115</v>
      </c>
      <c r="E118" t="s">
        <v>110</v>
      </c>
      <c r="F118">
        <v>8648</v>
      </c>
      <c r="G118">
        <v>2033</v>
      </c>
      <c r="H118">
        <v>1</v>
      </c>
      <c r="I118">
        <v>1</v>
      </c>
    </row>
    <row r="119" spans="1:9" x14ac:dyDescent="0.35">
      <c r="A119" t="str">
        <f t="shared" si="1"/>
        <v>networkturpe_power_costS1203411</v>
      </c>
      <c r="C119" t="s">
        <v>96</v>
      </c>
      <c r="D119" t="s">
        <v>97</v>
      </c>
      <c r="E119" t="s">
        <v>110</v>
      </c>
      <c r="F119">
        <v>1066.9898364530641</v>
      </c>
      <c r="G119">
        <v>2034</v>
      </c>
      <c r="H119">
        <v>1</v>
      </c>
      <c r="I119">
        <v>1</v>
      </c>
    </row>
    <row r="120" spans="1:9" x14ac:dyDescent="0.35">
      <c r="A120" t="str">
        <f t="shared" si="1"/>
        <v>networkturpe_energy_costS1203411</v>
      </c>
      <c r="C120" t="s">
        <v>96</v>
      </c>
      <c r="D120" t="s">
        <v>98</v>
      </c>
      <c r="E120" t="s">
        <v>110</v>
      </c>
      <c r="F120">
        <v>236.27313785805751</v>
      </c>
      <c r="G120">
        <v>2034</v>
      </c>
      <c r="H120">
        <v>1</v>
      </c>
      <c r="I120">
        <v>1</v>
      </c>
    </row>
    <row r="121" spans="1:9" x14ac:dyDescent="0.35">
      <c r="A121" t="str">
        <f t="shared" si="1"/>
        <v>DAcostS1203411</v>
      </c>
      <c r="C121" t="s">
        <v>99</v>
      </c>
      <c r="D121" t="s">
        <v>100</v>
      </c>
      <c r="E121" t="s">
        <v>110</v>
      </c>
      <c r="F121">
        <v>762.93934265817893</v>
      </c>
      <c r="G121">
        <v>2034</v>
      </c>
      <c r="H121">
        <v>1</v>
      </c>
      <c r="I121">
        <v>1</v>
      </c>
    </row>
    <row r="122" spans="1:9" x14ac:dyDescent="0.35">
      <c r="A122" t="str">
        <f t="shared" si="1"/>
        <v>DAincomeS1203411</v>
      </c>
      <c r="B122" t="s">
        <v>95</v>
      </c>
      <c r="C122" t="s">
        <v>99</v>
      </c>
      <c r="D122" t="s">
        <v>101</v>
      </c>
      <c r="E122" t="s">
        <v>110</v>
      </c>
      <c r="F122">
        <v>1374.9578253893601</v>
      </c>
      <c r="G122">
        <v>2034</v>
      </c>
      <c r="H122">
        <v>1</v>
      </c>
      <c r="I122">
        <v>1</v>
      </c>
    </row>
    <row r="123" spans="1:9" x14ac:dyDescent="0.35">
      <c r="A123" t="str">
        <f t="shared" si="1"/>
        <v>DAenergy_boughtS1203411</v>
      </c>
      <c r="B123" t="s">
        <v>95</v>
      </c>
      <c r="C123" t="s">
        <v>99</v>
      </c>
      <c r="D123" t="s">
        <v>111</v>
      </c>
      <c r="E123" t="s">
        <v>110</v>
      </c>
      <c r="F123">
        <v>17.219324985390049</v>
      </c>
      <c r="G123">
        <v>2034</v>
      </c>
      <c r="H123">
        <v>1</v>
      </c>
      <c r="I123">
        <v>1</v>
      </c>
    </row>
    <row r="124" spans="1:9" x14ac:dyDescent="0.35">
      <c r="A124" t="str">
        <f t="shared" si="1"/>
        <v>DAenergy_soldS1203411</v>
      </c>
      <c r="C124" t="s">
        <v>99</v>
      </c>
      <c r="D124" t="s">
        <v>112</v>
      </c>
      <c r="E124" t="s">
        <v>110</v>
      </c>
      <c r="F124">
        <v>12.38670907031509</v>
      </c>
      <c r="G124">
        <v>2034</v>
      </c>
      <c r="H124">
        <v>1</v>
      </c>
      <c r="I124">
        <v>1</v>
      </c>
    </row>
    <row r="125" spans="1:9" x14ac:dyDescent="0.35">
      <c r="A125" t="str">
        <f t="shared" si="1"/>
        <v>DAhours_boughtS1203411</v>
      </c>
      <c r="C125" t="s">
        <v>99</v>
      </c>
      <c r="D125" t="s">
        <v>113</v>
      </c>
      <c r="E125" t="s">
        <v>110</v>
      </c>
      <c r="F125">
        <v>4575</v>
      </c>
      <c r="G125">
        <v>2034</v>
      </c>
      <c r="H125">
        <v>1</v>
      </c>
      <c r="I125">
        <v>1</v>
      </c>
    </row>
    <row r="126" spans="1:9" x14ac:dyDescent="0.35">
      <c r="A126" t="str">
        <f t="shared" si="1"/>
        <v>DAhours_soldS1203411</v>
      </c>
      <c r="C126" t="s">
        <v>99</v>
      </c>
      <c r="D126" t="s">
        <v>114</v>
      </c>
      <c r="E126" t="s">
        <v>110</v>
      </c>
      <c r="F126">
        <v>77</v>
      </c>
      <c r="G126">
        <v>2034</v>
      </c>
      <c r="H126">
        <v>1</v>
      </c>
      <c r="I126">
        <v>1</v>
      </c>
    </row>
    <row r="127" spans="1:9" x14ac:dyDescent="0.35">
      <c r="A127" t="str">
        <f t="shared" si="1"/>
        <v>DAco2_emissionS1203411</v>
      </c>
      <c r="C127" t="s">
        <v>99</v>
      </c>
      <c r="D127" t="s">
        <v>204</v>
      </c>
      <c r="E127" t="s">
        <v>110</v>
      </c>
      <c r="F127">
        <v>1205.352748977273</v>
      </c>
      <c r="G127">
        <v>2034</v>
      </c>
      <c r="H127">
        <v>1</v>
      </c>
      <c r="I127">
        <v>1</v>
      </c>
    </row>
    <row r="128" spans="1:9" x14ac:dyDescent="0.35">
      <c r="A128" t="str">
        <f t="shared" si="1"/>
        <v>fcrincomeS1203411</v>
      </c>
      <c r="C128" t="s">
        <v>102</v>
      </c>
      <c r="D128" t="s">
        <v>101</v>
      </c>
      <c r="E128" t="s">
        <v>110</v>
      </c>
      <c r="F128">
        <v>7.0249027934919713E-3</v>
      </c>
      <c r="G128">
        <v>2034</v>
      </c>
      <c r="H128">
        <v>1</v>
      </c>
      <c r="I128">
        <v>1</v>
      </c>
    </row>
    <row r="129" spans="1:9" x14ac:dyDescent="0.35">
      <c r="A129" t="str">
        <f t="shared" si="1"/>
        <v>fcractivation_hoursS1203411</v>
      </c>
      <c r="C129" t="s">
        <v>102</v>
      </c>
      <c r="D129" t="s">
        <v>115</v>
      </c>
      <c r="E129" t="s">
        <v>110</v>
      </c>
      <c r="F129">
        <v>4</v>
      </c>
      <c r="G129">
        <v>2034</v>
      </c>
      <c r="H129">
        <v>1</v>
      </c>
      <c r="I129">
        <v>1</v>
      </c>
    </row>
    <row r="130" spans="1:9" x14ac:dyDescent="0.35">
      <c r="A130" t="str">
        <f t="shared" si="1"/>
        <v>afrrincomeS1203411</v>
      </c>
      <c r="C130" t="s">
        <v>103</v>
      </c>
      <c r="D130" t="s">
        <v>101</v>
      </c>
      <c r="E130" t="s">
        <v>110</v>
      </c>
      <c r="F130">
        <v>24157.527954540641</v>
      </c>
      <c r="G130">
        <v>2034</v>
      </c>
      <c r="H130">
        <v>1</v>
      </c>
      <c r="I130">
        <v>1</v>
      </c>
    </row>
    <row r="131" spans="1:9" x14ac:dyDescent="0.35">
      <c r="A131" t="str">
        <f t="shared" ref="A131:A194" si="2">C131&amp;D131&amp;E131&amp;G131&amp;H131&amp;I131</f>
        <v>afrractivation_hoursS1203411</v>
      </c>
      <c r="C131" t="s">
        <v>103</v>
      </c>
      <c r="D131" t="s">
        <v>115</v>
      </c>
      <c r="E131" t="s">
        <v>110</v>
      </c>
      <c r="F131">
        <v>8659</v>
      </c>
      <c r="G131">
        <v>2034</v>
      </c>
      <c r="H131">
        <v>1</v>
      </c>
      <c r="I131">
        <v>1</v>
      </c>
    </row>
    <row r="132" spans="1:9" x14ac:dyDescent="0.35">
      <c r="A132" t="str">
        <f t="shared" si="2"/>
        <v>networkturpe_power_costS1203511</v>
      </c>
      <c r="C132" t="s">
        <v>96</v>
      </c>
      <c r="D132" t="s">
        <v>97</v>
      </c>
      <c r="E132" t="s">
        <v>110</v>
      </c>
      <c r="F132">
        <v>1040.2897720362</v>
      </c>
      <c r="G132">
        <v>2035</v>
      </c>
      <c r="H132">
        <v>1</v>
      </c>
      <c r="I132">
        <v>1</v>
      </c>
    </row>
    <row r="133" spans="1:9" x14ac:dyDescent="0.35">
      <c r="A133" t="str">
        <f t="shared" si="2"/>
        <v>networkturpe_energy_costS1203511</v>
      </c>
      <c r="C133" t="s">
        <v>96</v>
      </c>
      <c r="D133" t="s">
        <v>98</v>
      </c>
      <c r="E133" t="s">
        <v>110</v>
      </c>
      <c r="F133">
        <v>205.3678473945937</v>
      </c>
      <c r="G133">
        <v>2035</v>
      </c>
      <c r="H133">
        <v>1</v>
      </c>
      <c r="I133">
        <v>1</v>
      </c>
    </row>
    <row r="134" spans="1:9" x14ac:dyDescent="0.35">
      <c r="A134" t="str">
        <f t="shared" si="2"/>
        <v>DAcostS1203511</v>
      </c>
      <c r="B134" t="s">
        <v>95</v>
      </c>
      <c r="C134" t="s">
        <v>99</v>
      </c>
      <c r="D134" t="s">
        <v>100</v>
      </c>
      <c r="E134" t="s">
        <v>110</v>
      </c>
      <c r="F134">
        <v>617.99667446860599</v>
      </c>
      <c r="G134">
        <v>2035</v>
      </c>
      <c r="H134">
        <v>1</v>
      </c>
      <c r="I134">
        <v>1</v>
      </c>
    </row>
    <row r="135" spans="1:9" x14ac:dyDescent="0.35">
      <c r="A135" t="str">
        <f t="shared" si="2"/>
        <v>DAincomeS1203511</v>
      </c>
      <c r="B135" t="s">
        <v>95</v>
      </c>
      <c r="C135" t="s">
        <v>99</v>
      </c>
      <c r="D135" t="s">
        <v>101</v>
      </c>
      <c r="E135" t="s">
        <v>110</v>
      </c>
      <c r="F135">
        <v>1167.8740927013871</v>
      </c>
      <c r="G135">
        <v>2035</v>
      </c>
      <c r="H135">
        <v>1</v>
      </c>
      <c r="I135">
        <v>1</v>
      </c>
    </row>
    <row r="136" spans="1:9" x14ac:dyDescent="0.35">
      <c r="A136" t="str">
        <f t="shared" si="2"/>
        <v>DAenergy_boughtS1203511</v>
      </c>
      <c r="C136" t="s">
        <v>99</v>
      </c>
      <c r="D136" t="s">
        <v>111</v>
      </c>
      <c r="E136" t="s">
        <v>110</v>
      </c>
      <c r="F136">
        <v>14.73259246218859</v>
      </c>
      <c r="G136">
        <v>2035</v>
      </c>
      <c r="H136">
        <v>1</v>
      </c>
      <c r="I136">
        <v>1</v>
      </c>
    </row>
    <row r="137" spans="1:9" x14ac:dyDescent="0.35">
      <c r="A137" t="str">
        <f t="shared" si="2"/>
        <v>DAenergy_soldS1203511</v>
      </c>
      <c r="C137" t="s">
        <v>99</v>
      </c>
      <c r="D137" t="s">
        <v>112</v>
      </c>
      <c r="E137" t="s">
        <v>110</v>
      </c>
      <c r="F137">
        <v>10.408118834621749</v>
      </c>
      <c r="G137">
        <v>2035</v>
      </c>
      <c r="H137">
        <v>1</v>
      </c>
      <c r="I137">
        <v>1</v>
      </c>
    </row>
    <row r="138" spans="1:9" x14ac:dyDescent="0.35">
      <c r="A138" t="str">
        <f t="shared" si="2"/>
        <v>DAhours_boughtS1203511</v>
      </c>
      <c r="C138" t="s">
        <v>99</v>
      </c>
      <c r="D138" t="s">
        <v>113</v>
      </c>
      <c r="E138" t="s">
        <v>110</v>
      </c>
      <c r="F138">
        <v>4627</v>
      </c>
      <c r="G138">
        <v>2035</v>
      </c>
      <c r="H138">
        <v>1</v>
      </c>
      <c r="I138">
        <v>1</v>
      </c>
    </row>
    <row r="139" spans="1:9" x14ac:dyDescent="0.35">
      <c r="A139" t="str">
        <f t="shared" si="2"/>
        <v>DAhours_soldS1203511</v>
      </c>
      <c r="C139" t="s">
        <v>99</v>
      </c>
      <c r="D139" t="s">
        <v>114</v>
      </c>
      <c r="E139" t="s">
        <v>110</v>
      </c>
      <c r="F139">
        <v>73</v>
      </c>
      <c r="G139">
        <v>2035</v>
      </c>
      <c r="H139">
        <v>1</v>
      </c>
      <c r="I139">
        <v>1</v>
      </c>
    </row>
    <row r="140" spans="1:9" x14ac:dyDescent="0.35">
      <c r="A140" t="str">
        <f t="shared" si="2"/>
        <v>DAco2_emissionS1203511</v>
      </c>
      <c r="C140" t="s">
        <v>99</v>
      </c>
      <c r="D140" t="s">
        <v>204</v>
      </c>
      <c r="E140" t="s">
        <v>110</v>
      </c>
      <c r="F140">
        <v>1031.281472353151</v>
      </c>
      <c r="G140">
        <v>2035</v>
      </c>
      <c r="H140">
        <v>1</v>
      </c>
      <c r="I140">
        <v>1</v>
      </c>
    </row>
    <row r="141" spans="1:9" x14ac:dyDescent="0.35">
      <c r="A141" t="str">
        <f t="shared" si="2"/>
        <v>fcrincomeS1203511</v>
      </c>
      <c r="C141" t="s">
        <v>102</v>
      </c>
      <c r="D141" t="s">
        <v>101</v>
      </c>
      <c r="E141" t="s">
        <v>110</v>
      </c>
      <c r="F141">
        <v>0</v>
      </c>
      <c r="G141">
        <v>2035</v>
      </c>
      <c r="H141">
        <v>1</v>
      </c>
      <c r="I141">
        <v>1</v>
      </c>
    </row>
    <row r="142" spans="1:9" x14ac:dyDescent="0.35">
      <c r="A142" t="str">
        <f t="shared" si="2"/>
        <v>fcractivation_hoursS1203511</v>
      </c>
      <c r="C142" t="s">
        <v>102</v>
      </c>
      <c r="D142" t="s">
        <v>115</v>
      </c>
      <c r="E142" t="s">
        <v>110</v>
      </c>
      <c r="F142">
        <v>0</v>
      </c>
      <c r="G142">
        <v>2035</v>
      </c>
      <c r="H142">
        <v>1</v>
      </c>
      <c r="I142">
        <v>1</v>
      </c>
    </row>
    <row r="143" spans="1:9" x14ac:dyDescent="0.35">
      <c r="A143" t="str">
        <f t="shared" si="2"/>
        <v>afrrincomeS1203511</v>
      </c>
      <c r="C143" t="s">
        <v>103</v>
      </c>
      <c r="D143" t="s">
        <v>101</v>
      </c>
      <c r="E143" t="s">
        <v>110</v>
      </c>
      <c r="F143">
        <v>23390.818185540211</v>
      </c>
      <c r="G143">
        <v>2035</v>
      </c>
      <c r="H143">
        <v>1</v>
      </c>
      <c r="I143">
        <v>1</v>
      </c>
    </row>
    <row r="144" spans="1:9" x14ac:dyDescent="0.35">
      <c r="A144" t="str">
        <f t="shared" si="2"/>
        <v>afrractivation_hoursS1203511</v>
      </c>
      <c r="C144" t="s">
        <v>103</v>
      </c>
      <c r="D144" t="s">
        <v>115</v>
      </c>
      <c r="E144" t="s">
        <v>110</v>
      </c>
      <c r="F144">
        <v>8669</v>
      </c>
      <c r="G144">
        <v>2035</v>
      </c>
      <c r="H144">
        <v>1</v>
      </c>
      <c r="I144">
        <v>1</v>
      </c>
    </row>
    <row r="145" spans="1:9" x14ac:dyDescent="0.35">
      <c r="A145" t="str">
        <f t="shared" si="2"/>
        <v>networkturpe_power_costS1203611</v>
      </c>
      <c r="C145" t="s">
        <v>96</v>
      </c>
      <c r="D145" t="s">
        <v>97</v>
      </c>
      <c r="E145" t="s">
        <v>110</v>
      </c>
      <c r="F145">
        <v>1015.920671841727</v>
      </c>
      <c r="G145">
        <v>2036</v>
      </c>
      <c r="H145">
        <v>1</v>
      </c>
      <c r="I145">
        <v>1</v>
      </c>
    </row>
    <row r="146" spans="1:9" x14ac:dyDescent="0.35">
      <c r="A146" t="str">
        <f t="shared" si="2"/>
        <v>networkturpe_energy_costS1203611</v>
      </c>
      <c r="B146" t="s">
        <v>95</v>
      </c>
      <c r="C146" t="s">
        <v>96</v>
      </c>
      <c r="D146" t="s">
        <v>98</v>
      </c>
      <c r="E146" t="s">
        <v>110</v>
      </c>
      <c r="F146">
        <v>289.13147593021529</v>
      </c>
      <c r="G146">
        <v>2036</v>
      </c>
      <c r="H146">
        <v>1</v>
      </c>
      <c r="I146">
        <v>1</v>
      </c>
    </row>
    <row r="147" spans="1:9" x14ac:dyDescent="0.35">
      <c r="A147" t="str">
        <f t="shared" si="2"/>
        <v>DAcostS1203611</v>
      </c>
      <c r="B147" t="s">
        <v>95</v>
      </c>
      <c r="C147" t="s">
        <v>99</v>
      </c>
      <c r="D147" t="s">
        <v>100</v>
      </c>
      <c r="E147" t="s">
        <v>110</v>
      </c>
      <c r="F147">
        <v>830.40088933964569</v>
      </c>
      <c r="G147">
        <v>2036</v>
      </c>
      <c r="H147">
        <v>1</v>
      </c>
      <c r="I147">
        <v>1</v>
      </c>
    </row>
    <row r="148" spans="1:9" x14ac:dyDescent="0.35">
      <c r="A148" t="str">
        <f t="shared" si="2"/>
        <v>DAincomeS1203611</v>
      </c>
      <c r="C148" t="s">
        <v>99</v>
      </c>
      <c r="D148" t="s">
        <v>101</v>
      </c>
      <c r="E148" t="s">
        <v>110</v>
      </c>
      <c r="F148">
        <v>1590.673621177782</v>
      </c>
      <c r="G148">
        <v>2036</v>
      </c>
      <c r="H148">
        <v>1</v>
      </c>
      <c r="I148">
        <v>1</v>
      </c>
    </row>
    <row r="149" spans="1:9" x14ac:dyDescent="0.35">
      <c r="A149" t="str">
        <f t="shared" si="2"/>
        <v>DAenergy_boughtS1203611</v>
      </c>
      <c r="C149" t="s">
        <v>99</v>
      </c>
      <c r="D149" t="s">
        <v>111</v>
      </c>
      <c r="E149" t="s">
        <v>110</v>
      </c>
      <c r="F149">
        <v>19.440816626290029</v>
      </c>
      <c r="G149">
        <v>2036</v>
      </c>
      <c r="H149">
        <v>1</v>
      </c>
      <c r="I149">
        <v>1</v>
      </c>
    </row>
    <row r="150" spans="1:9" x14ac:dyDescent="0.35">
      <c r="A150" t="str">
        <f t="shared" si="2"/>
        <v>DAenergy_soldS1203611</v>
      </c>
      <c r="C150" t="s">
        <v>99</v>
      </c>
      <c r="D150" t="s">
        <v>112</v>
      </c>
      <c r="E150" t="s">
        <v>110</v>
      </c>
      <c r="F150">
        <v>14.254827792263979</v>
      </c>
      <c r="G150">
        <v>2036</v>
      </c>
      <c r="H150">
        <v>1</v>
      </c>
      <c r="I150">
        <v>1</v>
      </c>
    </row>
    <row r="151" spans="1:9" x14ac:dyDescent="0.35">
      <c r="A151" t="str">
        <f t="shared" si="2"/>
        <v>DAhours_boughtS1203611</v>
      </c>
      <c r="C151" t="s">
        <v>99</v>
      </c>
      <c r="D151" t="s">
        <v>113</v>
      </c>
      <c r="E151" t="s">
        <v>110</v>
      </c>
      <c r="F151">
        <v>4219</v>
      </c>
      <c r="G151">
        <v>2036</v>
      </c>
      <c r="H151">
        <v>1</v>
      </c>
      <c r="I151">
        <v>1</v>
      </c>
    </row>
    <row r="152" spans="1:9" x14ac:dyDescent="0.35">
      <c r="A152" t="str">
        <f t="shared" si="2"/>
        <v>DAhours_soldS1203611</v>
      </c>
      <c r="C152" t="s">
        <v>99</v>
      </c>
      <c r="D152" t="s">
        <v>114</v>
      </c>
      <c r="E152" t="s">
        <v>110</v>
      </c>
      <c r="F152">
        <v>111</v>
      </c>
      <c r="G152">
        <v>2036</v>
      </c>
      <c r="H152">
        <v>1</v>
      </c>
      <c r="I152">
        <v>1</v>
      </c>
    </row>
    <row r="153" spans="1:9" x14ac:dyDescent="0.35">
      <c r="A153" t="str">
        <f t="shared" si="2"/>
        <v>DAco2_emissionS1203611</v>
      </c>
      <c r="C153" t="s">
        <v>99</v>
      </c>
      <c r="D153" t="s">
        <v>204</v>
      </c>
      <c r="E153" t="s">
        <v>110</v>
      </c>
      <c r="F153">
        <v>1360.8571638403289</v>
      </c>
      <c r="G153">
        <v>2036</v>
      </c>
      <c r="H153">
        <v>1</v>
      </c>
      <c r="I153">
        <v>1</v>
      </c>
    </row>
    <row r="154" spans="1:9" x14ac:dyDescent="0.35">
      <c r="A154" t="str">
        <f t="shared" si="2"/>
        <v>fcrincomeS1203611</v>
      </c>
      <c r="C154" t="s">
        <v>102</v>
      </c>
      <c r="D154" t="s">
        <v>101</v>
      </c>
      <c r="E154" t="s">
        <v>110</v>
      </c>
      <c r="F154">
        <v>0</v>
      </c>
      <c r="G154">
        <v>2036</v>
      </c>
      <c r="H154">
        <v>1</v>
      </c>
      <c r="I154">
        <v>1</v>
      </c>
    </row>
    <row r="155" spans="1:9" x14ac:dyDescent="0.35">
      <c r="A155" t="str">
        <f t="shared" si="2"/>
        <v>fcractivation_hoursS1203611</v>
      </c>
      <c r="C155" t="s">
        <v>102</v>
      </c>
      <c r="D155" t="s">
        <v>115</v>
      </c>
      <c r="E155" t="s">
        <v>110</v>
      </c>
      <c r="F155">
        <v>0</v>
      </c>
      <c r="G155">
        <v>2036</v>
      </c>
      <c r="H155">
        <v>1</v>
      </c>
      <c r="I155">
        <v>1</v>
      </c>
    </row>
    <row r="156" spans="1:9" x14ac:dyDescent="0.35">
      <c r="A156" t="str">
        <f t="shared" si="2"/>
        <v>afrrincomeS1203611</v>
      </c>
      <c r="C156" t="s">
        <v>103</v>
      </c>
      <c r="D156" t="s">
        <v>101</v>
      </c>
      <c r="E156" t="s">
        <v>110</v>
      </c>
      <c r="F156">
        <v>21672.677633673189</v>
      </c>
      <c r="G156">
        <v>2036</v>
      </c>
      <c r="H156">
        <v>1</v>
      </c>
      <c r="I156">
        <v>1</v>
      </c>
    </row>
    <row r="157" spans="1:9" x14ac:dyDescent="0.35">
      <c r="A157" t="str">
        <f t="shared" si="2"/>
        <v>afrractivation_hoursS1203611</v>
      </c>
      <c r="C157" t="s">
        <v>103</v>
      </c>
      <c r="D157" t="s">
        <v>115</v>
      </c>
      <c r="E157" t="s">
        <v>110</v>
      </c>
      <c r="F157">
        <v>8638</v>
      </c>
      <c r="G157">
        <v>2036</v>
      </c>
      <c r="H157">
        <v>1</v>
      </c>
      <c r="I157">
        <v>1</v>
      </c>
    </row>
    <row r="158" spans="1:9" x14ac:dyDescent="0.35">
      <c r="A158" t="str">
        <f t="shared" si="2"/>
        <v>networkturpe_power_costS1203711</v>
      </c>
      <c r="B158" t="s">
        <v>95</v>
      </c>
      <c r="C158" t="s">
        <v>96</v>
      </c>
      <c r="D158" t="s">
        <v>97</v>
      </c>
      <c r="E158" t="s">
        <v>110</v>
      </c>
      <c r="F158">
        <v>988.83324794820726</v>
      </c>
      <c r="G158">
        <v>2037</v>
      </c>
      <c r="H158">
        <v>1</v>
      </c>
      <c r="I158">
        <v>1</v>
      </c>
    </row>
    <row r="159" spans="1:9" x14ac:dyDescent="0.35">
      <c r="A159" t="str">
        <f t="shared" si="2"/>
        <v>networkturpe_energy_costS1203711</v>
      </c>
      <c r="B159" t="s">
        <v>95</v>
      </c>
      <c r="C159" t="s">
        <v>96</v>
      </c>
      <c r="D159" t="s">
        <v>98</v>
      </c>
      <c r="E159" t="s">
        <v>110</v>
      </c>
      <c r="F159">
        <v>211.71102244799479</v>
      </c>
      <c r="G159">
        <v>2037</v>
      </c>
      <c r="H159">
        <v>1</v>
      </c>
      <c r="I159">
        <v>1</v>
      </c>
    </row>
    <row r="160" spans="1:9" x14ac:dyDescent="0.35">
      <c r="A160" t="str">
        <f t="shared" si="2"/>
        <v>DAcostS1203711</v>
      </c>
      <c r="C160" t="s">
        <v>99</v>
      </c>
      <c r="D160" t="s">
        <v>100</v>
      </c>
      <c r="E160" t="s">
        <v>110</v>
      </c>
      <c r="F160">
        <v>650.1783845700005</v>
      </c>
      <c r="G160">
        <v>2037</v>
      </c>
      <c r="H160">
        <v>1</v>
      </c>
      <c r="I160">
        <v>1</v>
      </c>
    </row>
    <row r="161" spans="1:9" x14ac:dyDescent="0.35">
      <c r="A161" t="str">
        <f t="shared" si="2"/>
        <v>DAincomeS1203711</v>
      </c>
      <c r="C161" t="s">
        <v>99</v>
      </c>
      <c r="D161" t="s">
        <v>101</v>
      </c>
      <c r="E161" t="s">
        <v>110</v>
      </c>
      <c r="F161">
        <v>1182.8348445590309</v>
      </c>
      <c r="G161">
        <v>2037</v>
      </c>
      <c r="H161">
        <v>1</v>
      </c>
      <c r="I161">
        <v>1</v>
      </c>
    </row>
    <row r="162" spans="1:9" x14ac:dyDescent="0.35">
      <c r="A162" t="str">
        <f t="shared" si="2"/>
        <v>DAenergy_boughtS1203711</v>
      </c>
      <c r="C162" t="s">
        <v>99</v>
      </c>
      <c r="D162" t="s">
        <v>111</v>
      </c>
      <c r="E162" t="s">
        <v>110</v>
      </c>
      <c r="F162">
        <v>15.076536525294721</v>
      </c>
      <c r="G162">
        <v>2037</v>
      </c>
      <c r="H162">
        <v>1</v>
      </c>
      <c r="I162">
        <v>1</v>
      </c>
    </row>
    <row r="163" spans="1:9" x14ac:dyDescent="0.35">
      <c r="A163" t="str">
        <f t="shared" si="2"/>
        <v>DAenergy_soldS1203711</v>
      </c>
      <c r="C163" t="s">
        <v>99</v>
      </c>
      <c r="D163" t="s">
        <v>112</v>
      </c>
      <c r="E163" t="s">
        <v>110</v>
      </c>
      <c r="F163">
        <v>10.75769494053521</v>
      </c>
      <c r="G163">
        <v>2037</v>
      </c>
      <c r="H163">
        <v>1</v>
      </c>
      <c r="I163">
        <v>1</v>
      </c>
    </row>
    <row r="164" spans="1:9" x14ac:dyDescent="0.35">
      <c r="A164" t="str">
        <f t="shared" si="2"/>
        <v>DAhours_boughtS1203711</v>
      </c>
      <c r="C164" t="s">
        <v>99</v>
      </c>
      <c r="D164" t="s">
        <v>113</v>
      </c>
      <c r="E164" t="s">
        <v>110</v>
      </c>
      <c r="F164">
        <v>4737</v>
      </c>
      <c r="G164">
        <v>2037</v>
      </c>
      <c r="H164">
        <v>1</v>
      </c>
      <c r="I164">
        <v>1</v>
      </c>
    </row>
    <row r="165" spans="1:9" x14ac:dyDescent="0.35">
      <c r="A165" t="str">
        <f t="shared" si="2"/>
        <v>DAhours_soldS1203711</v>
      </c>
      <c r="C165" t="s">
        <v>99</v>
      </c>
      <c r="D165" t="s">
        <v>114</v>
      </c>
      <c r="E165" t="s">
        <v>110</v>
      </c>
      <c r="F165">
        <v>89</v>
      </c>
      <c r="G165">
        <v>2037</v>
      </c>
      <c r="H165">
        <v>1</v>
      </c>
      <c r="I165">
        <v>1</v>
      </c>
    </row>
    <row r="166" spans="1:9" x14ac:dyDescent="0.35">
      <c r="A166" t="str">
        <f t="shared" si="2"/>
        <v>DAco2_emissionS1203711</v>
      </c>
      <c r="C166" t="s">
        <v>99</v>
      </c>
      <c r="D166" t="s">
        <v>204</v>
      </c>
      <c r="E166" t="s">
        <v>110</v>
      </c>
      <c r="F166">
        <v>1055.357556770645</v>
      </c>
      <c r="G166">
        <v>2037</v>
      </c>
      <c r="H166">
        <v>1</v>
      </c>
      <c r="I166">
        <v>1</v>
      </c>
    </row>
    <row r="167" spans="1:9" x14ac:dyDescent="0.35">
      <c r="A167" t="str">
        <f t="shared" si="2"/>
        <v>fcrincomeS1203711</v>
      </c>
      <c r="C167" t="s">
        <v>102</v>
      </c>
      <c r="D167" t="s">
        <v>101</v>
      </c>
      <c r="E167" t="s">
        <v>110</v>
      </c>
      <c r="F167">
        <v>8.1962788587237566E-3</v>
      </c>
      <c r="G167">
        <v>2037</v>
      </c>
      <c r="H167">
        <v>1</v>
      </c>
      <c r="I167">
        <v>1</v>
      </c>
    </row>
    <row r="168" spans="1:9" x14ac:dyDescent="0.35">
      <c r="A168" t="str">
        <f t="shared" si="2"/>
        <v>fcractivation_hoursS1203711</v>
      </c>
      <c r="C168" t="s">
        <v>102</v>
      </c>
      <c r="D168" t="s">
        <v>115</v>
      </c>
      <c r="E168" t="s">
        <v>110</v>
      </c>
      <c r="F168">
        <v>4</v>
      </c>
      <c r="G168">
        <v>2037</v>
      </c>
      <c r="H168">
        <v>1</v>
      </c>
      <c r="I168">
        <v>1</v>
      </c>
    </row>
    <row r="169" spans="1:9" x14ac:dyDescent="0.35">
      <c r="A169" t="str">
        <f t="shared" si="2"/>
        <v>afrrincomeS1203711</v>
      </c>
      <c r="C169" t="s">
        <v>103</v>
      </c>
      <c r="D169" t="s">
        <v>101</v>
      </c>
      <c r="E169" t="s">
        <v>110</v>
      </c>
      <c r="F169">
        <v>21814.528517920931</v>
      </c>
      <c r="G169">
        <v>2037</v>
      </c>
      <c r="H169">
        <v>1</v>
      </c>
      <c r="I169">
        <v>1</v>
      </c>
    </row>
    <row r="170" spans="1:9" x14ac:dyDescent="0.35">
      <c r="A170" t="str">
        <f t="shared" si="2"/>
        <v>afrractivation_hoursS1203711</v>
      </c>
      <c r="B170" t="s">
        <v>95</v>
      </c>
      <c r="C170" t="s">
        <v>103</v>
      </c>
      <c r="D170" t="s">
        <v>115</v>
      </c>
      <c r="E170" t="s">
        <v>110</v>
      </c>
      <c r="F170">
        <v>8668</v>
      </c>
      <c r="G170">
        <v>2037</v>
      </c>
      <c r="H170">
        <v>1</v>
      </c>
      <c r="I170">
        <v>1</v>
      </c>
    </row>
    <row r="171" spans="1:9" x14ac:dyDescent="0.35">
      <c r="A171" t="str">
        <f t="shared" si="2"/>
        <v>networkturpe_power_costS1203811</v>
      </c>
      <c r="B171" t="s">
        <v>95</v>
      </c>
      <c r="C171" t="s">
        <v>96</v>
      </c>
      <c r="D171" t="s">
        <v>97</v>
      </c>
      <c r="E171" t="s">
        <v>110</v>
      </c>
      <c r="F171">
        <v>966.51847697087749</v>
      </c>
      <c r="G171">
        <v>2038</v>
      </c>
      <c r="H171">
        <v>1</v>
      </c>
      <c r="I171">
        <v>1</v>
      </c>
    </row>
    <row r="172" spans="1:9" x14ac:dyDescent="0.35">
      <c r="A172" t="str">
        <f t="shared" si="2"/>
        <v>networkturpe_energy_costS1203811</v>
      </c>
      <c r="C172" t="s">
        <v>96</v>
      </c>
      <c r="D172" t="s">
        <v>98</v>
      </c>
      <c r="E172" t="s">
        <v>110</v>
      </c>
      <c r="F172">
        <v>365.02821095803472</v>
      </c>
      <c r="G172">
        <v>2038</v>
      </c>
      <c r="H172">
        <v>1</v>
      </c>
      <c r="I172">
        <v>1</v>
      </c>
    </row>
    <row r="173" spans="1:9" x14ac:dyDescent="0.35">
      <c r="A173" t="str">
        <f t="shared" si="2"/>
        <v>DAcostS1203811</v>
      </c>
      <c r="C173" t="s">
        <v>99</v>
      </c>
      <c r="D173" t="s">
        <v>100</v>
      </c>
      <c r="E173" t="s">
        <v>110</v>
      </c>
      <c r="F173">
        <v>943.42185537063062</v>
      </c>
      <c r="G173">
        <v>2038</v>
      </c>
      <c r="H173">
        <v>1</v>
      </c>
      <c r="I173">
        <v>1</v>
      </c>
    </row>
    <row r="174" spans="1:9" x14ac:dyDescent="0.35">
      <c r="A174" t="str">
        <f t="shared" si="2"/>
        <v>DAincomeS1203811</v>
      </c>
      <c r="C174" t="s">
        <v>99</v>
      </c>
      <c r="D174" t="s">
        <v>101</v>
      </c>
      <c r="E174" t="s">
        <v>110</v>
      </c>
      <c r="F174">
        <v>1971.2393811122761</v>
      </c>
      <c r="G174">
        <v>2038</v>
      </c>
      <c r="H174">
        <v>1</v>
      </c>
      <c r="I174">
        <v>1</v>
      </c>
    </row>
    <row r="175" spans="1:9" x14ac:dyDescent="0.35">
      <c r="A175" t="str">
        <f t="shared" si="2"/>
        <v>DAenergy_boughtS1203811</v>
      </c>
      <c r="C175" t="s">
        <v>99</v>
      </c>
      <c r="D175" t="s">
        <v>111</v>
      </c>
      <c r="E175" t="s">
        <v>110</v>
      </c>
      <c r="F175">
        <v>23.733656097253231</v>
      </c>
      <c r="G175">
        <v>2038</v>
      </c>
      <c r="H175">
        <v>1</v>
      </c>
      <c r="I175">
        <v>1</v>
      </c>
    </row>
    <row r="176" spans="1:9" x14ac:dyDescent="0.35">
      <c r="A176" t="str">
        <f t="shared" si="2"/>
        <v>DAenergy_soldS1203811</v>
      </c>
      <c r="C176" t="s">
        <v>99</v>
      </c>
      <c r="D176" t="s">
        <v>112</v>
      </c>
      <c r="E176" t="s">
        <v>110</v>
      </c>
      <c r="F176">
        <v>17.80103860552428</v>
      </c>
      <c r="G176">
        <v>2038</v>
      </c>
      <c r="H176">
        <v>1</v>
      </c>
      <c r="I176">
        <v>1</v>
      </c>
    </row>
    <row r="177" spans="1:9" x14ac:dyDescent="0.35">
      <c r="A177" t="str">
        <f t="shared" si="2"/>
        <v>DAhours_boughtS1203811</v>
      </c>
      <c r="C177" t="s">
        <v>99</v>
      </c>
      <c r="D177" t="s">
        <v>113</v>
      </c>
      <c r="E177" t="s">
        <v>110</v>
      </c>
      <c r="F177">
        <v>4504</v>
      </c>
      <c r="G177">
        <v>2038</v>
      </c>
      <c r="H177">
        <v>1</v>
      </c>
      <c r="I177">
        <v>1</v>
      </c>
    </row>
    <row r="178" spans="1:9" x14ac:dyDescent="0.35">
      <c r="A178" t="str">
        <f t="shared" si="2"/>
        <v>DAhours_soldS1203811</v>
      </c>
      <c r="C178" t="s">
        <v>99</v>
      </c>
      <c r="D178" t="s">
        <v>114</v>
      </c>
      <c r="E178" t="s">
        <v>110</v>
      </c>
      <c r="F178">
        <v>126</v>
      </c>
      <c r="G178">
        <v>2038</v>
      </c>
      <c r="H178">
        <v>1</v>
      </c>
      <c r="I178">
        <v>1</v>
      </c>
    </row>
    <row r="179" spans="1:9" x14ac:dyDescent="0.35">
      <c r="A179" t="str">
        <f t="shared" si="2"/>
        <v>DAco2_emissionS1203811</v>
      </c>
      <c r="C179" t="s">
        <v>99</v>
      </c>
      <c r="D179" t="s">
        <v>204</v>
      </c>
      <c r="E179" t="s">
        <v>110</v>
      </c>
      <c r="F179">
        <v>1661.355926807624</v>
      </c>
      <c r="G179">
        <v>2038</v>
      </c>
      <c r="H179">
        <v>1</v>
      </c>
      <c r="I179">
        <v>1</v>
      </c>
    </row>
    <row r="180" spans="1:9" x14ac:dyDescent="0.35">
      <c r="A180" t="str">
        <f t="shared" si="2"/>
        <v>fcrincomeS1203811</v>
      </c>
      <c r="C180" t="s">
        <v>102</v>
      </c>
      <c r="D180" t="s">
        <v>101</v>
      </c>
      <c r="E180" t="s">
        <v>110</v>
      </c>
      <c r="F180">
        <v>2.083419389958818E-7</v>
      </c>
      <c r="G180">
        <v>2038</v>
      </c>
      <c r="H180">
        <v>1</v>
      </c>
      <c r="I180">
        <v>1</v>
      </c>
    </row>
    <row r="181" spans="1:9" x14ac:dyDescent="0.35">
      <c r="A181" t="str">
        <f t="shared" si="2"/>
        <v>fcractivation_hoursS1203811</v>
      </c>
      <c r="C181" t="s">
        <v>102</v>
      </c>
      <c r="D181" t="s">
        <v>115</v>
      </c>
      <c r="E181" t="s">
        <v>110</v>
      </c>
      <c r="F181">
        <v>0</v>
      </c>
      <c r="G181">
        <v>2038</v>
      </c>
      <c r="H181">
        <v>1</v>
      </c>
      <c r="I181">
        <v>1</v>
      </c>
    </row>
    <row r="182" spans="1:9" x14ac:dyDescent="0.35">
      <c r="A182" t="str">
        <f t="shared" si="2"/>
        <v>afrrincomeS1203811</v>
      </c>
      <c r="B182" t="s">
        <v>95</v>
      </c>
      <c r="C182" t="s">
        <v>103</v>
      </c>
      <c r="D182" t="s">
        <v>101</v>
      </c>
      <c r="E182" t="s">
        <v>110</v>
      </c>
      <c r="F182">
        <v>21198.952263881351</v>
      </c>
      <c r="G182">
        <v>2038</v>
      </c>
      <c r="H182">
        <v>1</v>
      </c>
      <c r="I182">
        <v>1</v>
      </c>
    </row>
    <row r="183" spans="1:9" x14ac:dyDescent="0.35">
      <c r="A183" t="str">
        <f t="shared" si="2"/>
        <v>afrractivation_hoursS1203811</v>
      </c>
      <c r="B183" t="s">
        <v>95</v>
      </c>
      <c r="C183" t="s">
        <v>103</v>
      </c>
      <c r="D183" t="s">
        <v>115</v>
      </c>
      <c r="E183" t="s">
        <v>110</v>
      </c>
      <c r="F183">
        <v>8604</v>
      </c>
      <c r="G183">
        <v>2038</v>
      </c>
      <c r="H183">
        <v>1</v>
      </c>
      <c r="I183">
        <v>1</v>
      </c>
    </row>
    <row r="184" spans="1:9" x14ac:dyDescent="0.35">
      <c r="A184" t="str">
        <f t="shared" si="2"/>
        <v>networkturpe_power_costS1203911</v>
      </c>
      <c r="C184" t="s">
        <v>96</v>
      </c>
      <c r="D184" t="s">
        <v>97</v>
      </c>
      <c r="E184" t="s">
        <v>110</v>
      </c>
      <c r="F184">
        <v>940.9604247687821</v>
      </c>
      <c r="G184">
        <v>2039</v>
      </c>
      <c r="H184">
        <v>1</v>
      </c>
      <c r="I184">
        <v>1</v>
      </c>
    </row>
    <row r="185" spans="1:9" x14ac:dyDescent="0.35">
      <c r="A185" t="str">
        <f t="shared" si="2"/>
        <v>networkturpe_energy_costS1203911</v>
      </c>
      <c r="C185" t="s">
        <v>96</v>
      </c>
      <c r="D185" t="s">
        <v>98</v>
      </c>
      <c r="E185" t="s">
        <v>110</v>
      </c>
      <c r="F185">
        <v>292.74398259013628</v>
      </c>
      <c r="G185">
        <v>2039</v>
      </c>
      <c r="H185">
        <v>1</v>
      </c>
      <c r="I185">
        <v>1</v>
      </c>
    </row>
    <row r="186" spans="1:9" x14ac:dyDescent="0.35">
      <c r="A186" t="str">
        <f t="shared" si="2"/>
        <v>DAcostS1203911</v>
      </c>
      <c r="C186" t="s">
        <v>99</v>
      </c>
      <c r="D186" t="s">
        <v>100</v>
      </c>
      <c r="E186" t="s">
        <v>110</v>
      </c>
      <c r="F186">
        <v>807.26952880138742</v>
      </c>
      <c r="G186">
        <v>2039</v>
      </c>
      <c r="H186">
        <v>1</v>
      </c>
      <c r="I186">
        <v>1</v>
      </c>
    </row>
    <row r="187" spans="1:9" x14ac:dyDescent="0.35">
      <c r="A187" t="str">
        <f t="shared" si="2"/>
        <v>DAincomeS1203911</v>
      </c>
      <c r="C187" t="s">
        <v>99</v>
      </c>
      <c r="D187" t="s">
        <v>101</v>
      </c>
      <c r="E187" t="s">
        <v>110</v>
      </c>
      <c r="F187">
        <v>1629.085176850738</v>
      </c>
      <c r="G187">
        <v>2039</v>
      </c>
      <c r="H187">
        <v>1</v>
      </c>
      <c r="I187">
        <v>1</v>
      </c>
    </row>
    <row r="188" spans="1:9" x14ac:dyDescent="0.35">
      <c r="A188" t="str">
        <f t="shared" si="2"/>
        <v>DAenergy_boughtS1203911</v>
      </c>
      <c r="C188" t="s">
        <v>99</v>
      </c>
      <c r="D188" t="s">
        <v>111</v>
      </c>
      <c r="E188" t="s">
        <v>110</v>
      </c>
      <c r="F188">
        <v>19.66971244588802</v>
      </c>
      <c r="G188">
        <v>2039</v>
      </c>
      <c r="H188">
        <v>1</v>
      </c>
      <c r="I188">
        <v>1</v>
      </c>
    </row>
    <row r="189" spans="1:9" x14ac:dyDescent="0.35">
      <c r="A189" t="str">
        <f t="shared" si="2"/>
        <v>DAenergy_soldS1203911</v>
      </c>
      <c r="C189" t="s">
        <v>99</v>
      </c>
      <c r="D189" t="s">
        <v>112</v>
      </c>
      <c r="E189" t="s">
        <v>110</v>
      </c>
      <c r="F189">
        <v>14.54496358204379</v>
      </c>
      <c r="G189">
        <v>2039</v>
      </c>
      <c r="H189">
        <v>1</v>
      </c>
      <c r="I189">
        <v>1</v>
      </c>
    </row>
    <row r="190" spans="1:9" x14ac:dyDescent="0.35">
      <c r="A190" t="str">
        <f t="shared" si="2"/>
        <v>DAhours_boughtS1203911</v>
      </c>
      <c r="C190" t="s">
        <v>99</v>
      </c>
      <c r="D190" t="s">
        <v>113</v>
      </c>
      <c r="E190" t="s">
        <v>110</v>
      </c>
      <c r="F190">
        <v>4842</v>
      </c>
      <c r="G190">
        <v>2039</v>
      </c>
      <c r="H190">
        <v>1</v>
      </c>
      <c r="I190">
        <v>1</v>
      </c>
    </row>
    <row r="191" spans="1:9" x14ac:dyDescent="0.35">
      <c r="A191" t="str">
        <f t="shared" si="2"/>
        <v>DAhours_soldS1203911</v>
      </c>
      <c r="C191" t="s">
        <v>99</v>
      </c>
      <c r="D191" t="s">
        <v>114</v>
      </c>
      <c r="E191" t="s">
        <v>110</v>
      </c>
      <c r="F191">
        <v>103</v>
      </c>
      <c r="G191">
        <v>2039</v>
      </c>
      <c r="H191">
        <v>1</v>
      </c>
      <c r="I191">
        <v>1</v>
      </c>
    </row>
    <row r="192" spans="1:9" x14ac:dyDescent="0.35">
      <c r="A192" t="str">
        <f t="shared" si="2"/>
        <v>DAco2_emissionS1203911</v>
      </c>
      <c r="C192" t="s">
        <v>99</v>
      </c>
      <c r="D192" t="s">
        <v>204</v>
      </c>
      <c r="E192" t="s">
        <v>110</v>
      </c>
      <c r="F192">
        <v>1376.8798712121891</v>
      </c>
      <c r="G192">
        <v>2039</v>
      </c>
      <c r="H192">
        <v>1</v>
      </c>
      <c r="I192">
        <v>1</v>
      </c>
    </row>
    <row r="193" spans="1:9" x14ac:dyDescent="0.35">
      <c r="A193" t="str">
        <f t="shared" si="2"/>
        <v>fcrincomeS1203911</v>
      </c>
      <c r="C193" t="s">
        <v>102</v>
      </c>
      <c r="D193" t="s">
        <v>101</v>
      </c>
      <c r="E193" t="s">
        <v>110</v>
      </c>
      <c r="F193">
        <v>0</v>
      </c>
      <c r="G193">
        <v>2039</v>
      </c>
      <c r="H193">
        <v>1</v>
      </c>
      <c r="I193">
        <v>1</v>
      </c>
    </row>
    <row r="194" spans="1:9" x14ac:dyDescent="0.35">
      <c r="A194" t="str">
        <f t="shared" si="2"/>
        <v>fcractivation_hoursS1203911</v>
      </c>
      <c r="B194" t="s">
        <v>95</v>
      </c>
      <c r="C194" t="s">
        <v>102</v>
      </c>
      <c r="D194" t="s">
        <v>115</v>
      </c>
      <c r="E194" t="s">
        <v>110</v>
      </c>
      <c r="F194">
        <v>0</v>
      </c>
      <c r="G194">
        <v>2039</v>
      </c>
      <c r="H194">
        <v>1</v>
      </c>
      <c r="I194">
        <v>1</v>
      </c>
    </row>
    <row r="195" spans="1:9" x14ac:dyDescent="0.35">
      <c r="A195" t="str">
        <f t="shared" ref="A195:A258" si="3">C195&amp;D195&amp;E195&amp;G195&amp;H195&amp;I195</f>
        <v>afrrincomeS1203911</v>
      </c>
      <c r="B195" t="s">
        <v>95</v>
      </c>
      <c r="C195" t="s">
        <v>103</v>
      </c>
      <c r="D195" t="s">
        <v>101</v>
      </c>
      <c r="E195" t="s">
        <v>110</v>
      </c>
      <c r="F195">
        <v>21308.79420903348</v>
      </c>
      <c r="G195">
        <v>2039</v>
      </c>
      <c r="H195">
        <v>1</v>
      </c>
      <c r="I195">
        <v>1</v>
      </c>
    </row>
    <row r="196" spans="1:9" x14ac:dyDescent="0.35">
      <c r="A196" t="str">
        <f t="shared" si="3"/>
        <v>afrractivation_hoursS1203911</v>
      </c>
      <c r="C196" t="s">
        <v>103</v>
      </c>
      <c r="D196" t="s">
        <v>115</v>
      </c>
      <c r="E196" t="s">
        <v>110</v>
      </c>
      <c r="F196">
        <v>8620</v>
      </c>
      <c r="G196">
        <v>2039</v>
      </c>
      <c r="H196">
        <v>1</v>
      </c>
      <c r="I196">
        <v>1</v>
      </c>
    </row>
    <row r="197" spans="1:9" x14ac:dyDescent="0.35">
      <c r="A197" t="str">
        <f t="shared" si="3"/>
        <v>networkturpe_power_costS1204011</v>
      </c>
      <c r="C197" t="s">
        <v>96</v>
      </c>
      <c r="D197" t="s">
        <v>97</v>
      </c>
      <c r="E197" t="s">
        <v>110</v>
      </c>
      <c r="F197">
        <v>944.7263378832705</v>
      </c>
      <c r="G197">
        <v>2040</v>
      </c>
      <c r="H197">
        <v>1</v>
      </c>
      <c r="I197">
        <v>1</v>
      </c>
    </row>
    <row r="198" spans="1:9" x14ac:dyDescent="0.35">
      <c r="A198" t="str">
        <f t="shared" si="3"/>
        <v>networkturpe_energy_costS1204011</v>
      </c>
      <c r="C198" t="s">
        <v>96</v>
      </c>
      <c r="D198" t="s">
        <v>98</v>
      </c>
      <c r="E198" t="s">
        <v>110</v>
      </c>
      <c r="F198">
        <v>742.67532858605364</v>
      </c>
      <c r="G198">
        <v>2040</v>
      </c>
      <c r="H198">
        <v>1</v>
      </c>
      <c r="I198">
        <v>1</v>
      </c>
    </row>
    <row r="199" spans="1:9" x14ac:dyDescent="0.35">
      <c r="A199" t="str">
        <f t="shared" si="3"/>
        <v>DAcostS1204011</v>
      </c>
      <c r="C199" t="s">
        <v>99</v>
      </c>
      <c r="D199" t="s">
        <v>100</v>
      </c>
      <c r="E199" t="s">
        <v>110</v>
      </c>
      <c r="F199">
        <v>1846.7852368716769</v>
      </c>
      <c r="G199">
        <v>2040</v>
      </c>
      <c r="H199">
        <v>1</v>
      </c>
      <c r="I199">
        <v>1</v>
      </c>
    </row>
    <row r="200" spans="1:9" x14ac:dyDescent="0.35">
      <c r="A200" t="str">
        <f t="shared" si="3"/>
        <v>DAincomeS1204011</v>
      </c>
      <c r="C200" t="s">
        <v>99</v>
      </c>
      <c r="D200" t="s">
        <v>101</v>
      </c>
      <c r="E200" t="s">
        <v>110</v>
      </c>
      <c r="F200">
        <v>4095.290138397208</v>
      </c>
      <c r="G200">
        <v>2040</v>
      </c>
      <c r="H200">
        <v>1</v>
      </c>
      <c r="I200">
        <v>1</v>
      </c>
    </row>
    <row r="201" spans="1:9" x14ac:dyDescent="0.35">
      <c r="A201" t="str">
        <f t="shared" si="3"/>
        <v>DAenergy_boughtS1204011</v>
      </c>
      <c r="C201" t="s">
        <v>99</v>
      </c>
      <c r="D201" t="s">
        <v>111</v>
      </c>
      <c r="E201" t="s">
        <v>110</v>
      </c>
      <c r="F201">
        <v>47.664349844903441</v>
      </c>
      <c r="G201">
        <v>2040</v>
      </c>
      <c r="H201">
        <v>1</v>
      </c>
      <c r="I201">
        <v>1</v>
      </c>
    </row>
    <row r="202" spans="1:9" x14ac:dyDescent="0.35">
      <c r="A202" t="str">
        <f t="shared" si="3"/>
        <v>DAenergy_soldS1204011</v>
      </c>
      <c r="C202" t="s">
        <v>99</v>
      </c>
      <c r="D202" t="s">
        <v>112</v>
      </c>
      <c r="E202" t="s">
        <v>110</v>
      </c>
      <c r="F202">
        <v>37.22465654775926</v>
      </c>
      <c r="G202">
        <v>2040</v>
      </c>
      <c r="H202">
        <v>1</v>
      </c>
      <c r="I202">
        <v>1</v>
      </c>
    </row>
    <row r="203" spans="1:9" x14ac:dyDescent="0.35">
      <c r="A203" t="str">
        <f t="shared" si="3"/>
        <v>DAhours_boughtS1204011</v>
      </c>
      <c r="C203" t="s">
        <v>99</v>
      </c>
      <c r="D203" t="s">
        <v>113</v>
      </c>
      <c r="E203" t="s">
        <v>110</v>
      </c>
      <c r="F203">
        <v>3701</v>
      </c>
      <c r="G203">
        <v>2040</v>
      </c>
      <c r="H203">
        <v>1</v>
      </c>
      <c r="I203">
        <v>1</v>
      </c>
    </row>
    <row r="204" spans="1:9" x14ac:dyDescent="0.35">
      <c r="A204" t="str">
        <f t="shared" si="3"/>
        <v>DAhours_soldS1204011</v>
      </c>
      <c r="C204" t="s">
        <v>99</v>
      </c>
      <c r="D204" t="s">
        <v>114</v>
      </c>
      <c r="E204" t="s">
        <v>110</v>
      </c>
      <c r="F204">
        <v>223</v>
      </c>
      <c r="G204">
        <v>2040</v>
      </c>
      <c r="H204">
        <v>1</v>
      </c>
      <c r="I204">
        <v>1</v>
      </c>
    </row>
    <row r="205" spans="1:9" x14ac:dyDescent="0.35">
      <c r="A205" t="str">
        <f t="shared" si="3"/>
        <v>DAco2_emissionS1204011</v>
      </c>
      <c r="C205" t="s">
        <v>99</v>
      </c>
      <c r="D205" t="s">
        <v>204</v>
      </c>
      <c r="E205" t="s">
        <v>110</v>
      </c>
      <c r="F205">
        <v>3336.5044891431471</v>
      </c>
      <c r="G205">
        <v>2040</v>
      </c>
      <c r="H205">
        <v>1</v>
      </c>
      <c r="I205">
        <v>1</v>
      </c>
    </row>
    <row r="206" spans="1:9" x14ac:dyDescent="0.35">
      <c r="A206" t="str">
        <f t="shared" si="3"/>
        <v>fcrincomeS1204011</v>
      </c>
      <c r="B206" t="s">
        <v>95</v>
      </c>
      <c r="C206" t="s">
        <v>102</v>
      </c>
      <c r="D206" t="s">
        <v>101</v>
      </c>
      <c r="E206" t="s">
        <v>110</v>
      </c>
      <c r="F206">
        <v>0.1030622090961144</v>
      </c>
      <c r="G206">
        <v>2040</v>
      </c>
      <c r="H206">
        <v>1</v>
      </c>
      <c r="I206">
        <v>1</v>
      </c>
    </row>
    <row r="207" spans="1:9" x14ac:dyDescent="0.35">
      <c r="A207" t="str">
        <f t="shared" si="3"/>
        <v>fcractivation_hoursS1204011</v>
      </c>
      <c r="B207" t="s">
        <v>95</v>
      </c>
      <c r="C207" t="s">
        <v>102</v>
      </c>
      <c r="D207" t="s">
        <v>115</v>
      </c>
      <c r="E207" t="s">
        <v>110</v>
      </c>
      <c r="F207">
        <v>20</v>
      </c>
      <c r="G207">
        <v>2040</v>
      </c>
      <c r="H207">
        <v>1</v>
      </c>
      <c r="I207">
        <v>1</v>
      </c>
    </row>
    <row r="208" spans="1:9" x14ac:dyDescent="0.35">
      <c r="A208" t="str">
        <f t="shared" si="3"/>
        <v>afrrincomeS1204011</v>
      </c>
      <c r="C208" t="s">
        <v>103</v>
      </c>
      <c r="D208" t="s">
        <v>101</v>
      </c>
      <c r="E208" t="s">
        <v>110</v>
      </c>
      <c r="F208">
        <v>14857.008442699611</v>
      </c>
      <c r="G208">
        <v>2040</v>
      </c>
      <c r="H208">
        <v>1</v>
      </c>
      <c r="I208">
        <v>1</v>
      </c>
    </row>
    <row r="209" spans="1:9" x14ac:dyDescent="0.35">
      <c r="A209" t="str">
        <f t="shared" si="3"/>
        <v>afrractivation_hoursS1204011</v>
      </c>
      <c r="C209" t="s">
        <v>103</v>
      </c>
      <c r="D209" t="s">
        <v>115</v>
      </c>
      <c r="E209" t="s">
        <v>110</v>
      </c>
      <c r="F209">
        <v>8386</v>
      </c>
      <c r="G209">
        <v>2040</v>
      </c>
      <c r="H209">
        <v>1</v>
      </c>
      <c r="I209">
        <v>1</v>
      </c>
    </row>
    <row r="210" spans="1:9" x14ac:dyDescent="0.35">
      <c r="A210" t="str">
        <f t="shared" si="3"/>
        <v>networkturpe_power_costS1204111</v>
      </c>
      <c r="C210" t="s">
        <v>96</v>
      </c>
      <c r="D210" t="s">
        <v>97</v>
      </c>
      <c r="E210" t="s">
        <v>110</v>
      </c>
      <c r="F210">
        <v>971.79238149790172</v>
      </c>
      <c r="G210">
        <v>2041</v>
      </c>
      <c r="H210">
        <v>1</v>
      </c>
      <c r="I210">
        <v>1</v>
      </c>
    </row>
    <row r="211" spans="1:9" x14ac:dyDescent="0.35">
      <c r="A211" t="str">
        <f t="shared" si="3"/>
        <v>networkturpe_energy_costS1204111</v>
      </c>
      <c r="C211" t="s">
        <v>96</v>
      </c>
      <c r="D211" t="s">
        <v>98</v>
      </c>
      <c r="E211" t="s">
        <v>110</v>
      </c>
      <c r="F211">
        <v>1085.3635669339551</v>
      </c>
      <c r="G211">
        <v>2041</v>
      </c>
      <c r="H211">
        <v>1</v>
      </c>
      <c r="I211">
        <v>1</v>
      </c>
    </row>
    <row r="212" spans="1:9" x14ac:dyDescent="0.35">
      <c r="A212" t="str">
        <f t="shared" si="3"/>
        <v>DAcostS1204111</v>
      </c>
      <c r="C212" t="s">
        <v>99</v>
      </c>
      <c r="D212" t="s">
        <v>100</v>
      </c>
      <c r="E212" t="s">
        <v>110</v>
      </c>
      <c r="F212">
        <v>2714.7916911692778</v>
      </c>
      <c r="G212">
        <v>2041</v>
      </c>
      <c r="H212">
        <v>1</v>
      </c>
      <c r="I212">
        <v>1</v>
      </c>
    </row>
    <row r="213" spans="1:9" x14ac:dyDescent="0.35">
      <c r="A213" t="str">
        <f t="shared" si="3"/>
        <v>DAincomeS1204111</v>
      </c>
      <c r="C213" t="s">
        <v>99</v>
      </c>
      <c r="D213" t="s">
        <v>101</v>
      </c>
      <c r="E213" t="s">
        <v>110</v>
      </c>
      <c r="F213">
        <v>5955.945915577021</v>
      </c>
      <c r="G213">
        <v>2041</v>
      </c>
      <c r="H213">
        <v>1</v>
      </c>
      <c r="I213">
        <v>1</v>
      </c>
    </row>
    <row r="214" spans="1:9" x14ac:dyDescent="0.35">
      <c r="A214" t="str">
        <f t="shared" si="3"/>
        <v>DAenergy_boughtS1204111</v>
      </c>
      <c r="C214" t="s">
        <v>99</v>
      </c>
      <c r="D214" t="s">
        <v>111</v>
      </c>
      <c r="E214" t="s">
        <v>110</v>
      </c>
      <c r="F214">
        <v>69.201115057094825</v>
      </c>
      <c r="G214">
        <v>2041</v>
      </c>
      <c r="H214">
        <v>1</v>
      </c>
      <c r="I214">
        <v>1</v>
      </c>
    </row>
    <row r="215" spans="1:9" x14ac:dyDescent="0.35">
      <c r="A215" t="str">
        <f t="shared" si="3"/>
        <v>DAenergy_soldS1204111</v>
      </c>
      <c r="C215" t="s">
        <v>99</v>
      </c>
      <c r="D215" t="s">
        <v>112</v>
      </c>
      <c r="E215" t="s">
        <v>110</v>
      </c>
      <c r="F215">
        <v>54.726229524497583</v>
      </c>
      <c r="G215">
        <v>2041</v>
      </c>
      <c r="H215">
        <v>1</v>
      </c>
      <c r="I215">
        <v>1</v>
      </c>
    </row>
    <row r="216" spans="1:9" x14ac:dyDescent="0.35">
      <c r="A216" t="str">
        <f t="shared" si="3"/>
        <v>DAhours_boughtS1204111</v>
      </c>
      <c r="C216" t="s">
        <v>99</v>
      </c>
      <c r="D216" t="s">
        <v>113</v>
      </c>
      <c r="E216" t="s">
        <v>110</v>
      </c>
      <c r="F216">
        <v>3752</v>
      </c>
      <c r="G216">
        <v>2041</v>
      </c>
      <c r="H216">
        <v>1</v>
      </c>
      <c r="I216">
        <v>1</v>
      </c>
    </row>
    <row r="217" spans="1:9" x14ac:dyDescent="0.35">
      <c r="A217" t="str">
        <f t="shared" si="3"/>
        <v>DAhours_soldS1204111</v>
      </c>
      <c r="C217" t="s">
        <v>99</v>
      </c>
      <c r="D217" t="s">
        <v>114</v>
      </c>
      <c r="E217" t="s">
        <v>110</v>
      </c>
      <c r="F217">
        <v>254</v>
      </c>
      <c r="G217">
        <v>2041</v>
      </c>
      <c r="H217">
        <v>1</v>
      </c>
      <c r="I217">
        <v>1</v>
      </c>
    </row>
    <row r="218" spans="1:9" x14ac:dyDescent="0.35">
      <c r="A218" t="str">
        <f t="shared" si="3"/>
        <v>DAco2_emissionS1204111</v>
      </c>
      <c r="B218" t="s">
        <v>95</v>
      </c>
      <c r="C218" t="s">
        <v>99</v>
      </c>
      <c r="D218" t="s">
        <v>204</v>
      </c>
      <c r="E218" t="s">
        <v>110</v>
      </c>
      <c r="F218">
        <v>4844.0780539966927</v>
      </c>
      <c r="G218">
        <v>2041</v>
      </c>
      <c r="H218">
        <v>1</v>
      </c>
      <c r="I218">
        <v>1</v>
      </c>
    </row>
    <row r="219" spans="1:9" x14ac:dyDescent="0.35">
      <c r="A219" t="str">
        <f t="shared" si="3"/>
        <v>fcrincomeS1204111</v>
      </c>
      <c r="B219" t="s">
        <v>95</v>
      </c>
      <c r="C219" t="s">
        <v>102</v>
      </c>
      <c r="D219" t="s">
        <v>101</v>
      </c>
      <c r="E219" t="s">
        <v>110</v>
      </c>
      <c r="F219">
        <v>0.52871985593480297</v>
      </c>
      <c r="G219">
        <v>2041</v>
      </c>
      <c r="H219">
        <v>1</v>
      </c>
      <c r="I219">
        <v>1</v>
      </c>
    </row>
    <row r="220" spans="1:9" x14ac:dyDescent="0.35">
      <c r="A220" t="str">
        <f t="shared" si="3"/>
        <v>fcractivation_hoursS1204111</v>
      </c>
      <c r="C220" t="s">
        <v>102</v>
      </c>
      <c r="D220" t="s">
        <v>115</v>
      </c>
      <c r="E220" t="s">
        <v>110</v>
      </c>
      <c r="F220">
        <v>20</v>
      </c>
      <c r="G220">
        <v>2041</v>
      </c>
      <c r="H220">
        <v>1</v>
      </c>
      <c r="I220">
        <v>1</v>
      </c>
    </row>
    <row r="221" spans="1:9" x14ac:dyDescent="0.35">
      <c r="A221" t="str">
        <f t="shared" si="3"/>
        <v>afrrincomeS1204111</v>
      </c>
      <c r="C221" t="s">
        <v>103</v>
      </c>
      <c r="D221" t="s">
        <v>101</v>
      </c>
      <c r="E221" t="s">
        <v>110</v>
      </c>
      <c r="F221">
        <v>13291.92235101225</v>
      </c>
      <c r="G221">
        <v>2041</v>
      </c>
      <c r="H221">
        <v>1</v>
      </c>
      <c r="I221">
        <v>1</v>
      </c>
    </row>
    <row r="222" spans="1:9" x14ac:dyDescent="0.35">
      <c r="A222" t="str">
        <f t="shared" si="3"/>
        <v>afrractivation_hoursS1204111</v>
      </c>
      <c r="C222" t="s">
        <v>103</v>
      </c>
      <c r="D222" t="s">
        <v>115</v>
      </c>
      <c r="E222" t="s">
        <v>110</v>
      </c>
      <c r="F222">
        <v>8169</v>
      </c>
      <c r="G222">
        <v>2041</v>
      </c>
      <c r="H222">
        <v>1</v>
      </c>
      <c r="I222">
        <v>1</v>
      </c>
    </row>
    <row r="223" spans="1:9" x14ac:dyDescent="0.35">
      <c r="A223" t="str">
        <f t="shared" si="3"/>
        <v>networkturpe_power_costS1202512</v>
      </c>
      <c r="C223" t="s">
        <v>96</v>
      </c>
      <c r="D223" t="s">
        <v>97</v>
      </c>
      <c r="E223" t="s">
        <v>110</v>
      </c>
      <c r="F223">
        <v>2076.6720641401539</v>
      </c>
      <c r="G223">
        <v>2025</v>
      </c>
      <c r="H223">
        <v>1</v>
      </c>
      <c r="I223">
        <v>2</v>
      </c>
    </row>
    <row r="224" spans="1:9" x14ac:dyDescent="0.35">
      <c r="A224" t="str">
        <f t="shared" si="3"/>
        <v>networkturpe_energy_costS1202512</v>
      </c>
      <c r="C224" t="s">
        <v>96</v>
      </c>
      <c r="D224" t="s">
        <v>98</v>
      </c>
      <c r="E224" t="s">
        <v>110</v>
      </c>
      <c r="F224">
        <v>2125.8279455544862</v>
      </c>
      <c r="G224">
        <v>2025</v>
      </c>
      <c r="H224">
        <v>1</v>
      </c>
      <c r="I224">
        <v>2</v>
      </c>
    </row>
    <row r="225" spans="1:9" x14ac:dyDescent="0.35">
      <c r="A225" t="str">
        <f t="shared" si="3"/>
        <v>DAcostS1202512</v>
      </c>
      <c r="C225" t="s">
        <v>99</v>
      </c>
      <c r="D225" t="s">
        <v>100</v>
      </c>
      <c r="E225" t="s">
        <v>110</v>
      </c>
      <c r="F225">
        <v>19181.97676677916</v>
      </c>
      <c r="G225">
        <v>2025</v>
      </c>
      <c r="H225">
        <v>1</v>
      </c>
      <c r="I225">
        <v>2</v>
      </c>
    </row>
    <row r="226" spans="1:9" x14ac:dyDescent="0.35">
      <c r="A226" t="str">
        <f t="shared" si="3"/>
        <v>DAincomeS1202512</v>
      </c>
      <c r="C226" t="s">
        <v>99</v>
      </c>
      <c r="D226" t="s">
        <v>101</v>
      </c>
      <c r="E226" t="s">
        <v>110</v>
      </c>
      <c r="F226">
        <v>24228.330993370411</v>
      </c>
      <c r="G226">
        <v>2025</v>
      </c>
      <c r="H226">
        <v>1</v>
      </c>
      <c r="I226">
        <v>2</v>
      </c>
    </row>
    <row r="227" spans="1:9" x14ac:dyDescent="0.35">
      <c r="A227" t="str">
        <f t="shared" si="3"/>
        <v>DAenergy_boughtS1202512</v>
      </c>
      <c r="C227" t="s">
        <v>99</v>
      </c>
      <c r="D227" t="s">
        <v>111</v>
      </c>
      <c r="E227" t="s">
        <v>110</v>
      </c>
      <c r="F227">
        <v>136.44257700697071</v>
      </c>
      <c r="G227">
        <v>2025</v>
      </c>
      <c r="H227">
        <v>1</v>
      </c>
      <c r="I227">
        <v>2</v>
      </c>
    </row>
    <row r="228" spans="1:9" x14ac:dyDescent="0.35">
      <c r="A228" t="str">
        <f t="shared" si="3"/>
        <v>DAenergy_soldS1202512</v>
      </c>
      <c r="C228" t="s">
        <v>99</v>
      </c>
      <c r="D228" t="s">
        <v>112</v>
      </c>
      <c r="E228" t="s">
        <v>110</v>
      </c>
      <c r="F228">
        <v>107.0153177025017</v>
      </c>
      <c r="G228">
        <v>2025</v>
      </c>
      <c r="H228">
        <v>1</v>
      </c>
      <c r="I228">
        <v>2</v>
      </c>
    </row>
    <row r="229" spans="1:9" x14ac:dyDescent="0.35">
      <c r="A229" t="str">
        <f t="shared" si="3"/>
        <v>DAhours_boughtS1202512</v>
      </c>
      <c r="C229" t="s">
        <v>99</v>
      </c>
      <c r="D229" t="s">
        <v>113</v>
      </c>
      <c r="E229" t="s">
        <v>110</v>
      </c>
      <c r="F229">
        <v>937</v>
      </c>
      <c r="G229">
        <v>2025</v>
      </c>
      <c r="H229">
        <v>1</v>
      </c>
      <c r="I229">
        <v>2</v>
      </c>
    </row>
    <row r="230" spans="1:9" x14ac:dyDescent="0.35">
      <c r="A230" t="str">
        <f t="shared" si="3"/>
        <v>DAhours_soldS1202512</v>
      </c>
      <c r="B230" t="s">
        <v>95</v>
      </c>
      <c r="C230" t="s">
        <v>99</v>
      </c>
      <c r="D230" t="s">
        <v>114</v>
      </c>
      <c r="E230" t="s">
        <v>110</v>
      </c>
      <c r="F230">
        <v>185</v>
      </c>
      <c r="G230">
        <v>2025</v>
      </c>
      <c r="H230">
        <v>1</v>
      </c>
      <c r="I230">
        <v>2</v>
      </c>
    </row>
    <row r="231" spans="1:9" x14ac:dyDescent="0.35">
      <c r="A231" t="str">
        <f t="shared" si="3"/>
        <v>DAco2_emissionS1202512</v>
      </c>
      <c r="B231" t="s">
        <v>95</v>
      </c>
      <c r="C231" t="s">
        <v>99</v>
      </c>
      <c r="D231" t="s">
        <v>204</v>
      </c>
      <c r="E231" t="s">
        <v>110</v>
      </c>
      <c r="F231">
        <v>9550.980390487879</v>
      </c>
      <c r="G231">
        <v>2025</v>
      </c>
      <c r="H231">
        <v>1</v>
      </c>
      <c r="I231">
        <v>2</v>
      </c>
    </row>
    <row r="232" spans="1:9" x14ac:dyDescent="0.35">
      <c r="A232" t="str">
        <f t="shared" si="3"/>
        <v>fcrincomeS1202512</v>
      </c>
      <c r="C232" t="s">
        <v>102</v>
      </c>
      <c r="D232" t="s">
        <v>101</v>
      </c>
      <c r="E232" t="s">
        <v>110</v>
      </c>
      <c r="F232">
        <v>0</v>
      </c>
      <c r="G232">
        <v>2025</v>
      </c>
      <c r="H232">
        <v>1</v>
      </c>
      <c r="I232">
        <v>2</v>
      </c>
    </row>
    <row r="233" spans="1:9" x14ac:dyDescent="0.35">
      <c r="A233" t="str">
        <f t="shared" si="3"/>
        <v>fcractivation_hoursS1202512</v>
      </c>
      <c r="C233" t="s">
        <v>102</v>
      </c>
      <c r="D233" t="s">
        <v>115</v>
      </c>
      <c r="E233" t="s">
        <v>110</v>
      </c>
      <c r="F233">
        <v>0</v>
      </c>
      <c r="G233">
        <v>2025</v>
      </c>
      <c r="H233">
        <v>1</v>
      </c>
      <c r="I233">
        <v>2</v>
      </c>
    </row>
    <row r="234" spans="1:9" x14ac:dyDescent="0.35">
      <c r="A234" t="str">
        <f t="shared" si="3"/>
        <v>afrrincomeS1202512</v>
      </c>
      <c r="C234" t="s">
        <v>103</v>
      </c>
      <c r="D234" t="s">
        <v>101</v>
      </c>
      <c r="E234" t="s">
        <v>110</v>
      </c>
      <c r="F234">
        <v>50273.230114957318</v>
      </c>
      <c r="G234">
        <v>2025</v>
      </c>
      <c r="H234">
        <v>1</v>
      </c>
      <c r="I234">
        <v>2</v>
      </c>
    </row>
    <row r="235" spans="1:9" x14ac:dyDescent="0.35">
      <c r="A235" t="str">
        <f t="shared" si="3"/>
        <v>afrractivation_hoursS1202512</v>
      </c>
      <c r="C235" t="s">
        <v>103</v>
      </c>
      <c r="D235" t="s">
        <v>115</v>
      </c>
      <c r="E235" t="s">
        <v>110</v>
      </c>
      <c r="F235">
        <v>8736</v>
      </c>
      <c r="G235">
        <v>2025</v>
      </c>
      <c r="H235">
        <v>1</v>
      </c>
      <c r="I235">
        <v>2</v>
      </c>
    </row>
    <row r="236" spans="1:9" x14ac:dyDescent="0.35">
      <c r="A236" t="str">
        <f t="shared" si="3"/>
        <v>networkturpe_power_costS1202612</v>
      </c>
      <c r="C236" t="s">
        <v>96</v>
      </c>
      <c r="D236" t="s">
        <v>97</v>
      </c>
      <c r="E236" t="s">
        <v>110</v>
      </c>
      <c r="F236">
        <v>1779.185581294224</v>
      </c>
      <c r="G236">
        <v>2026</v>
      </c>
      <c r="H236">
        <v>1</v>
      </c>
      <c r="I236">
        <v>2</v>
      </c>
    </row>
    <row r="237" spans="1:9" x14ac:dyDescent="0.35">
      <c r="A237" t="str">
        <f t="shared" si="3"/>
        <v>networkturpe_energy_costS1202612</v>
      </c>
      <c r="C237" t="s">
        <v>96</v>
      </c>
      <c r="D237" t="s">
        <v>98</v>
      </c>
      <c r="E237" t="s">
        <v>110</v>
      </c>
      <c r="F237">
        <v>1179.8900719304629</v>
      </c>
      <c r="G237">
        <v>2026</v>
      </c>
      <c r="H237">
        <v>1</v>
      </c>
      <c r="I237">
        <v>2</v>
      </c>
    </row>
    <row r="238" spans="1:9" x14ac:dyDescent="0.35">
      <c r="A238" t="str">
        <f t="shared" si="3"/>
        <v>DAcostS1202612</v>
      </c>
      <c r="C238" t="s">
        <v>99</v>
      </c>
      <c r="D238" t="s">
        <v>100</v>
      </c>
      <c r="E238" t="s">
        <v>110</v>
      </c>
      <c r="F238">
        <v>9850.0208687624709</v>
      </c>
      <c r="G238">
        <v>2026</v>
      </c>
      <c r="H238">
        <v>1</v>
      </c>
      <c r="I238">
        <v>2</v>
      </c>
    </row>
    <row r="239" spans="1:9" x14ac:dyDescent="0.35">
      <c r="A239" t="str">
        <f t="shared" si="3"/>
        <v>DAincomeS1202612</v>
      </c>
      <c r="C239" t="s">
        <v>99</v>
      </c>
      <c r="D239" t="s">
        <v>101</v>
      </c>
      <c r="E239" t="s">
        <v>110</v>
      </c>
      <c r="F239">
        <v>12554.425925758151</v>
      </c>
      <c r="G239">
        <v>2026</v>
      </c>
      <c r="H239">
        <v>1</v>
      </c>
      <c r="I239">
        <v>2</v>
      </c>
    </row>
    <row r="240" spans="1:9" x14ac:dyDescent="0.35">
      <c r="A240" t="str">
        <f t="shared" si="3"/>
        <v>DAenergy_boughtS1202612</v>
      </c>
      <c r="C240" t="s">
        <v>99</v>
      </c>
      <c r="D240" t="s">
        <v>111</v>
      </c>
      <c r="E240" t="s">
        <v>110</v>
      </c>
      <c r="F240">
        <v>78.941636740216083</v>
      </c>
      <c r="G240">
        <v>2026</v>
      </c>
      <c r="H240">
        <v>1</v>
      </c>
      <c r="I240">
        <v>2</v>
      </c>
    </row>
    <row r="241" spans="1:9" x14ac:dyDescent="0.35">
      <c r="A241" t="str">
        <f t="shared" si="3"/>
        <v>DAenergy_soldS1202612</v>
      </c>
      <c r="C241" t="s">
        <v>99</v>
      </c>
      <c r="D241" t="s">
        <v>112</v>
      </c>
      <c r="E241" t="s">
        <v>110</v>
      </c>
      <c r="F241">
        <v>60.722621451114748</v>
      </c>
      <c r="G241">
        <v>2026</v>
      </c>
      <c r="H241">
        <v>1</v>
      </c>
      <c r="I241">
        <v>2</v>
      </c>
    </row>
    <row r="242" spans="1:9" x14ac:dyDescent="0.35">
      <c r="A242" t="str">
        <f t="shared" si="3"/>
        <v>DAhours_boughtS1202612</v>
      </c>
      <c r="B242" t="s">
        <v>95</v>
      </c>
      <c r="C242" t="s">
        <v>99</v>
      </c>
      <c r="D242" t="s">
        <v>113</v>
      </c>
      <c r="E242" t="s">
        <v>110</v>
      </c>
      <c r="F242">
        <v>821</v>
      </c>
      <c r="G242">
        <v>2026</v>
      </c>
      <c r="H242">
        <v>1</v>
      </c>
      <c r="I242">
        <v>2</v>
      </c>
    </row>
    <row r="243" spans="1:9" x14ac:dyDescent="0.35">
      <c r="A243" t="str">
        <f t="shared" si="3"/>
        <v>DAhours_soldS1202612</v>
      </c>
      <c r="B243" t="s">
        <v>95</v>
      </c>
      <c r="C243" t="s">
        <v>99</v>
      </c>
      <c r="D243" t="s">
        <v>114</v>
      </c>
      <c r="E243" t="s">
        <v>110</v>
      </c>
      <c r="F243">
        <v>125</v>
      </c>
      <c r="G243">
        <v>2026</v>
      </c>
      <c r="H243">
        <v>1</v>
      </c>
      <c r="I243">
        <v>2</v>
      </c>
    </row>
    <row r="244" spans="1:9" x14ac:dyDescent="0.35">
      <c r="A244" t="str">
        <f t="shared" si="3"/>
        <v>DAco2_emissionS1202612</v>
      </c>
      <c r="C244" t="s">
        <v>99</v>
      </c>
      <c r="D244" t="s">
        <v>204</v>
      </c>
      <c r="E244" t="s">
        <v>110</v>
      </c>
      <c r="F244">
        <v>5525.9145718150839</v>
      </c>
      <c r="G244">
        <v>2026</v>
      </c>
      <c r="H244">
        <v>1</v>
      </c>
      <c r="I244">
        <v>2</v>
      </c>
    </row>
    <row r="245" spans="1:9" x14ac:dyDescent="0.35">
      <c r="A245" t="str">
        <f t="shared" si="3"/>
        <v>fcrincomeS1202612</v>
      </c>
      <c r="C245" t="s">
        <v>102</v>
      </c>
      <c r="D245" t="s">
        <v>101</v>
      </c>
      <c r="E245" t="s">
        <v>110</v>
      </c>
      <c r="F245">
        <v>0</v>
      </c>
      <c r="G245">
        <v>2026</v>
      </c>
      <c r="H245">
        <v>1</v>
      </c>
      <c r="I245">
        <v>2</v>
      </c>
    </row>
    <row r="246" spans="1:9" x14ac:dyDescent="0.35">
      <c r="A246" t="str">
        <f t="shared" si="3"/>
        <v>fcractivation_hoursS1202612</v>
      </c>
      <c r="C246" t="s">
        <v>102</v>
      </c>
      <c r="D246" t="s">
        <v>115</v>
      </c>
      <c r="E246" t="s">
        <v>110</v>
      </c>
      <c r="F246">
        <v>0</v>
      </c>
      <c r="G246">
        <v>2026</v>
      </c>
      <c r="H246">
        <v>1</v>
      </c>
      <c r="I246">
        <v>2</v>
      </c>
    </row>
    <row r="247" spans="1:9" x14ac:dyDescent="0.35">
      <c r="A247" t="str">
        <f t="shared" si="3"/>
        <v>afrrincomeS1202612</v>
      </c>
      <c r="C247" t="s">
        <v>103</v>
      </c>
      <c r="D247" t="s">
        <v>101</v>
      </c>
      <c r="E247" t="s">
        <v>110</v>
      </c>
      <c r="F247">
        <v>49504.024023284779</v>
      </c>
      <c r="G247">
        <v>2026</v>
      </c>
      <c r="H247">
        <v>1</v>
      </c>
      <c r="I247">
        <v>2</v>
      </c>
    </row>
    <row r="248" spans="1:9" x14ac:dyDescent="0.35">
      <c r="A248" t="str">
        <f t="shared" si="3"/>
        <v>afrractivation_hoursS1202612</v>
      </c>
      <c r="C248" t="s">
        <v>103</v>
      </c>
      <c r="D248" t="s">
        <v>115</v>
      </c>
      <c r="E248" t="s">
        <v>110</v>
      </c>
      <c r="F248">
        <v>8748</v>
      </c>
      <c r="G248">
        <v>2026</v>
      </c>
      <c r="H248">
        <v>1</v>
      </c>
      <c r="I248">
        <v>2</v>
      </c>
    </row>
    <row r="249" spans="1:9" x14ac:dyDescent="0.35">
      <c r="A249" t="str">
        <f t="shared" si="3"/>
        <v>networkturpe_power_costS1202712</v>
      </c>
      <c r="C249" t="s">
        <v>96</v>
      </c>
      <c r="D249" t="s">
        <v>97</v>
      </c>
      <c r="E249" t="s">
        <v>110</v>
      </c>
      <c r="F249">
        <v>2162.9230986888651</v>
      </c>
      <c r="G249">
        <v>2027</v>
      </c>
      <c r="H249">
        <v>1</v>
      </c>
      <c r="I249">
        <v>2</v>
      </c>
    </row>
    <row r="250" spans="1:9" x14ac:dyDescent="0.35">
      <c r="A250" t="str">
        <f t="shared" si="3"/>
        <v>networkturpe_energy_costS1202712</v>
      </c>
      <c r="C250" t="s">
        <v>96</v>
      </c>
      <c r="D250" t="s">
        <v>98</v>
      </c>
      <c r="E250" t="s">
        <v>110</v>
      </c>
      <c r="F250">
        <v>2229.2482284151938</v>
      </c>
      <c r="G250">
        <v>2027</v>
      </c>
      <c r="H250">
        <v>1</v>
      </c>
      <c r="I250">
        <v>2</v>
      </c>
    </row>
    <row r="251" spans="1:9" x14ac:dyDescent="0.35">
      <c r="A251" t="str">
        <f t="shared" si="3"/>
        <v>DAcostS1202712</v>
      </c>
      <c r="C251" t="s">
        <v>99</v>
      </c>
      <c r="D251" t="s">
        <v>100</v>
      </c>
      <c r="E251" t="s">
        <v>110</v>
      </c>
      <c r="F251">
        <v>14677.6074242919</v>
      </c>
      <c r="G251">
        <v>2027</v>
      </c>
      <c r="H251">
        <v>1</v>
      </c>
      <c r="I251">
        <v>2</v>
      </c>
    </row>
    <row r="252" spans="1:9" x14ac:dyDescent="0.35">
      <c r="A252" t="str">
        <f t="shared" si="3"/>
        <v>DAincomeS1202712</v>
      </c>
      <c r="C252" t="s">
        <v>99</v>
      </c>
      <c r="D252" t="s">
        <v>101</v>
      </c>
      <c r="E252" t="s">
        <v>110</v>
      </c>
      <c r="F252">
        <v>19972.486614672202</v>
      </c>
      <c r="G252">
        <v>2027</v>
      </c>
      <c r="H252">
        <v>1</v>
      </c>
      <c r="I252">
        <v>2</v>
      </c>
    </row>
    <row r="253" spans="1:9" x14ac:dyDescent="0.35">
      <c r="A253" t="str">
        <f t="shared" si="3"/>
        <v>DAenergy_boughtS1202712</v>
      </c>
      <c r="C253" t="s">
        <v>99</v>
      </c>
      <c r="D253" t="s">
        <v>111</v>
      </c>
      <c r="E253" t="s">
        <v>110</v>
      </c>
      <c r="F253">
        <v>150.7165751576791</v>
      </c>
      <c r="G253">
        <v>2027</v>
      </c>
      <c r="H253">
        <v>1</v>
      </c>
      <c r="I253">
        <v>2</v>
      </c>
    </row>
    <row r="254" spans="1:9" x14ac:dyDescent="0.35">
      <c r="A254" t="str">
        <f t="shared" si="3"/>
        <v>DAenergy_soldS1202712</v>
      </c>
      <c r="B254" t="s">
        <v>95</v>
      </c>
      <c r="C254" t="s">
        <v>99</v>
      </c>
      <c r="D254" t="s">
        <v>112</v>
      </c>
      <c r="E254" t="s">
        <v>110</v>
      </c>
      <c r="F254">
        <v>118.6428662933333</v>
      </c>
      <c r="G254">
        <v>2027</v>
      </c>
      <c r="H254">
        <v>1</v>
      </c>
      <c r="I254">
        <v>2</v>
      </c>
    </row>
    <row r="255" spans="1:9" x14ac:dyDescent="0.35">
      <c r="A255" t="str">
        <f t="shared" si="3"/>
        <v>DAhours_boughtS1202712</v>
      </c>
      <c r="B255" t="s">
        <v>95</v>
      </c>
      <c r="C255" t="s">
        <v>99</v>
      </c>
      <c r="D255" t="s">
        <v>113</v>
      </c>
      <c r="E255" t="s">
        <v>110</v>
      </c>
      <c r="F255">
        <v>1046</v>
      </c>
      <c r="G255">
        <v>2027</v>
      </c>
      <c r="H255">
        <v>1</v>
      </c>
      <c r="I255">
        <v>2</v>
      </c>
    </row>
    <row r="256" spans="1:9" x14ac:dyDescent="0.35">
      <c r="A256" t="str">
        <f t="shared" si="3"/>
        <v>DAhours_soldS1202712</v>
      </c>
      <c r="C256" t="s">
        <v>99</v>
      </c>
      <c r="D256" t="s">
        <v>114</v>
      </c>
      <c r="E256" t="s">
        <v>110</v>
      </c>
      <c r="F256">
        <v>204</v>
      </c>
      <c r="G256">
        <v>2027</v>
      </c>
      <c r="H256">
        <v>1</v>
      </c>
      <c r="I256">
        <v>2</v>
      </c>
    </row>
    <row r="257" spans="1:9" x14ac:dyDescent="0.35">
      <c r="A257" t="str">
        <f t="shared" si="3"/>
        <v>DAco2_emissionS1202712</v>
      </c>
      <c r="C257" t="s">
        <v>99</v>
      </c>
      <c r="D257" t="s">
        <v>204</v>
      </c>
      <c r="E257" t="s">
        <v>110</v>
      </c>
      <c r="F257">
        <v>10550.16026103757</v>
      </c>
      <c r="G257">
        <v>2027</v>
      </c>
      <c r="H257">
        <v>1</v>
      </c>
      <c r="I257">
        <v>2</v>
      </c>
    </row>
    <row r="258" spans="1:9" x14ac:dyDescent="0.35">
      <c r="A258" t="str">
        <f t="shared" si="3"/>
        <v>fcrincomeS1202712</v>
      </c>
      <c r="C258" t="s">
        <v>102</v>
      </c>
      <c r="D258" t="s">
        <v>101</v>
      </c>
      <c r="E258" t="s">
        <v>110</v>
      </c>
      <c r="F258">
        <v>0</v>
      </c>
      <c r="G258">
        <v>2027</v>
      </c>
      <c r="H258">
        <v>1</v>
      </c>
      <c r="I258">
        <v>2</v>
      </c>
    </row>
    <row r="259" spans="1:9" x14ac:dyDescent="0.35">
      <c r="A259" t="str">
        <f t="shared" ref="A259:A322" si="4">C259&amp;D259&amp;E259&amp;G259&amp;H259&amp;I259</f>
        <v>fcractivation_hoursS1202712</v>
      </c>
      <c r="C259" t="s">
        <v>102</v>
      </c>
      <c r="D259" t="s">
        <v>115</v>
      </c>
      <c r="E259" t="s">
        <v>110</v>
      </c>
      <c r="F259">
        <v>0</v>
      </c>
      <c r="G259">
        <v>2027</v>
      </c>
      <c r="H259">
        <v>1</v>
      </c>
      <c r="I259">
        <v>2</v>
      </c>
    </row>
    <row r="260" spans="1:9" x14ac:dyDescent="0.35">
      <c r="A260" t="str">
        <f t="shared" si="4"/>
        <v>afrrincomeS1202712</v>
      </c>
      <c r="C260" t="s">
        <v>103</v>
      </c>
      <c r="D260" t="s">
        <v>101</v>
      </c>
      <c r="E260" t="s">
        <v>110</v>
      </c>
      <c r="F260">
        <v>42417.597261872972</v>
      </c>
      <c r="G260">
        <v>2027</v>
      </c>
      <c r="H260">
        <v>1</v>
      </c>
      <c r="I260">
        <v>2</v>
      </c>
    </row>
    <row r="261" spans="1:9" x14ac:dyDescent="0.35">
      <c r="A261" t="str">
        <f t="shared" si="4"/>
        <v>afrractivation_hoursS1202712</v>
      </c>
      <c r="C261" t="s">
        <v>103</v>
      </c>
      <c r="D261" t="s">
        <v>115</v>
      </c>
      <c r="E261" t="s">
        <v>110</v>
      </c>
      <c r="F261">
        <v>8725</v>
      </c>
      <c r="G261">
        <v>2027</v>
      </c>
      <c r="H261">
        <v>1</v>
      </c>
      <c r="I261">
        <v>2</v>
      </c>
    </row>
    <row r="262" spans="1:9" x14ac:dyDescent="0.35">
      <c r="A262" t="str">
        <f t="shared" si="4"/>
        <v>networkturpe_power_costS1202812</v>
      </c>
      <c r="C262" t="s">
        <v>96</v>
      </c>
      <c r="D262" t="s">
        <v>97</v>
      </c>
      <c r="E262" t="s">
        <v>110</v>
      </c>
      <c r="F262">
        <v>2380.2705508795179</v>
      </c>
      <c r="G262">
        <v>2028</v>
      </c>
      <c r="H262">
        <v>1</v>
      </c>
      <c r="I262">
        <v>2</v>
      </c>
    </row>
    <row r="263" spans="1:9" x14ac:dyDescent="0.35">
      <c r="A263" t="str">
        <f t="shared" si="4"/>
        <v>networkturpe_energy_costS1202812</v>
      </c>
      <c r="C263" t="s">
        <v>96</v>
      </c>
      <c r="D263" t="s">
        <v>98</v>
      </c>
      <c r="E263" t="s">
        <v>110</v>
      </c>
      <c r="F263">
        <v>2958.0408718549188</v>
      </c>
      <c r="G263">
        <v>2028</v>
      </c>
      <c r="H263">
        <v>1</v>
      </c>
      <c r="I263">
        <v>2</v>
      </c>
    </row>
    <row r="264" spans="1:9" x14ac:dyDescent="0.35">
      <c r="A264" t="str">
        <f t="shared" si="4"/>
        <v>DAcostS1202812</v>
      </c>
      <c r="C264" t="s">
        <v>99</v>
      </c>
      <c r="D264" t="s">
        <v>100</v>
      </c>
      <c r="E264" t="s">
        <v>110</v>
      </c>
      <c r="F264">
        <v>17705.353822864399</v>
      </c>
      <c r="G264">
        <v>2028</v>
      </c>
      <c r="H264">
        <v>1</v>
      </c>
      <c r="I264">
        <v>2</v>
      </c>
    </row>
    <row r="265" spans="1:9" x14ac:dyDescent="0.35">
      <c r="A265" t="str">
        <f t="shared" si="4"/>
        <v>DAincomeS1202812</v>
      </c>
      <c r="C265" t="s">
        <v>99</v>
      </c>
      <c r="D265" t="s">
        <v>101</v>
      </c>
      <c r="E265" t="s">
        <v>110</v>
      </c>
      <c r="F265">
        <v>24904.348155577791</v>
      </c>
      <c r="G265">
        <v>2028</v>
      </c>
      <c r="H265">
        <v>1</v>
      </c>
      <c r="I265">
        <v>2</v>
      </c>
    </row>
    <row r="266" spans="1:9" x14ac:dyDescent="0.35">
      <c r="A266" t="str">
        <f t="shared" si="4"/>
        <v>DAenergy_boughtS1202812</v>
      </c>
      <c r="B266" t="s">
        <v>95</v>
      </c>
      <c r="C266" t="s">
        <v>99</v>
      </c>
      <c r="D266" t="s">
        <v>111</v>
      </c>
      <c r="E266" t="s">
        <v>110</v>
      </c>
      <c r="F266">
        <v>198.8366098292463</v>
      </c>
      <c r="G266">
        <v>2028</v>
      </c>
      <c r="H266">
        <v>1</v>
      </c>
      <c r="I266">
        <v>2</v>
      </c>
    </row>
    <row r="267" spans="1:9" x14ac:dyDescent="0.35">
      <c r="A267" t="str">
        <f t="shared" si="4"/>
        <v>DAenergy_soldS1202812</v>
      </c>
      <c r="B267" t="s">
        <v>95</v>
      </c>
      <c r="C267" t="s">
        <v>99</v>
      </c>
      <c r="D267" t="s">
        <v>112</v>
      </c>
      <c r="E267" t="s">
        <v>110</v>
      </c>
      <c r="F267">
        <v>157.54834787923789</v>
      </c>
      <c r="G267">
        <v>2028</v>
      </c>
      <c r="H267">
        <v>1</v>
      </c>
      <c r="I267">
        <v>2</v>
      </c>
    </row>
    <row r="268" spans="1:9" x14ac:dyDescent="0.35">
      <c r="A268" t="str">
        <f t="shared" si="4"/>
        <v>DAhours_boughtS1202812</v>
      </c>
      <c r="C268" t="s">
        <v>99</v>
      </c>
      <c r="D268" t="s">
        <v>113</v>
      </c>
      <c r="E268" t="s">
        <v>110</v>
      </c>
      <c r="F268">
        <v>1261</v>
      </c>
      <c r="G268">
        <v>2028</v>
      </c>
      <c r="H268">
        <v>1</v>
      </c>
      <c r="I268">
        <v>2</v>
      </c>
    </row>
    <row r="269" spans="1:9" x14ac:dyDescent="0.35">
      <c r="A269" t="str">
        <f t="shared" si="4"/>
        <v>DAhours_soldS1202812</v>
      </c>
      <c r="C269" t="s">
        <v>99</v>
      </c>
      <c r="D269" t="s">
        <v>114</v>
      </c>
      <c r="E269" t="s">
        <v>110</v>
      </c>
      <c r="F269">
        <v>253</v>
      </c>
      <c r="G269">
        <v>2028</v>
      </c>
      <c r="H269">
        <v>1</v>
      </c>
      <c r="I269">
        <v>2</v>
      </c>
    </row>
    <row r="270" spans="1:9" x14ac:dyDescent="0.35">
      <c r="A270" t="str">
        <f t="shared" si="4"/>
        <v>DAco2_emissionS1202812</v>
      </c>
      <c r="C270" t="s">
        <v>99</v>
      </c>
      <c r="D270" t="s">
        <v>204</v>
      </c>
      <c r="E270" t="s">
        <v>110</v>
      </c>
      <c r="F270">
        <v>13918.562688047141</v>
      </c>
      <c r="G270">
        <v>2028</v>
      </c>
      <c r="H270">
        <v>1</v>
      </c>
      <c r="I270">
        <v>2</v>
      </c>
    </row>
    <row r="271" spans="1:9" x14ac:dyDescent="0.35">
      <c r="A271" t="str">
        <f t="shared" si="4"/>
        <v>fcrincomeS1202812</v>
      </c>
      <c r="C271" t="s">
        <v>102</v>
      </c>
      <c r="D271" t="s">
        <v>101</v>
      </c>
      <c r="E271" t="s">
        <v>110</v>
      </c>
      <c r="F271">
        <v>0</v>
      </c>
      <c r="G271">
        <v>2028</v>
      </c>
      <c r="H271">
        <v>1</v>
      </c>
      <c r="I271">
        <v>2</v>
      </c>
    </row>
    <row r="272" spans="1:9" x14ac:dyDescent="0.35">
      <c r="A272" t="str">
        <f t="shared" si="4"/>
        <v>fcractivation_hoursS1202812</v>
      </c>
      <c r="C272" t="s">
        <v>102</v>
      </c>
      <c r="D272" t="s">
        <v>115</v>
      </c>
      <c r="E272" t="s">
        <v>110</v>
      </c>
      <c r="F272">
        <v>0</v>
      </c>
      <c r="G272">
        <v>2028</v>
      </c>
      <c r="H272">
        <v>1</v>
      </c>
      <c r="I272">
        <v>2</v>
      </c>
    </row>
    <row r="273" spans="1:9" x14ac:dyDescent="0.35">
      <c r="A273" t="str">
        <f t="shared" si="4"/>
        <v>afrrincomeS1202812</v>
      </c>
      <c r="C273" t="s">
        <v>103</v>
      </c>
      <c r="D273" t="s">
        <v>101</v>
      </c>
      <c r="E273" t="s">
        <v>110</v>
      </c>
      <c r="F273">
        <v>42317.218107278954</v>
      </c>
      <c r="G273">
        <v>2028</v>
      </c>
      <c r="H273">
        <v>1</v>
      </c>
      <c r="I273">
        <v>2</v>
      </c>
    </row>
    <row r="274" spans="1:9" x14ac:dyDescent="0.35">
      <c r="A274" t="str">
        <f t="shared" si="4"/>
        <v>afrractivation_hoursS1202812</v>
      </c>
      <c r="C274" t="s">
        <v>103</v>
      </c>
      <c r="D274" t="s">
        <v>115</v>
      </c>
      <c r="E274" t="s">
        <v>110</v>
      </c>
      <c r="F274">
        <v>8727</v>
      </c>
      <c r="G274">
        <v>2028</v>
      </c>
      <c r="H274">
        <v>1</v>
      </c>
      <c r="I274">
        <v>2</v>
      </c>
    </row>
    <row r="275" spans="1:9" x14ac:dyDescent="0.35">
      <c r="A275" t="str">
        <f t="shared" si="4"/>
        <v>networkturpe_power_costS1202912</v>
      </c>
      <c r="C275" t="s">
        <v>96</v>
      </c>
      <c r="D275" t="s">
        <v>97</v>
      </c>
      <c r="E275" t="s">
        <v>110</v>
      </c>
      <c r="F275">
        <v>2325.2772056476019</v>
      </c>
      <c r="G275">
        <v>2029</v>
      </c>
      <c r="H275">
        <v>1</v>
      </c>
      <c r="I275">
        <v>2</v>
      </c>
    </row>
    <row r="276" spans="1:9" x14ac:dyDescent="0.35">
      <c r="A276" t="str">
        <f t="shared" si="4"/>
        <v>networkturpe_energy_costS1202912</v>
      </c>
      <c r="C276" t="s">
        <v>96</v>
      </c>
      <c r="D276" t="s">
        <v>98</v>
      </c>
      <c r="E276" t="s">
        <v>110</v>
      </c>
      <c r="F276">
        <v>2953.632747086438</v>
      </c>
      <c r="G276">
        <v>2029</v>
      </c>
      <c r="H276">
        <v>1</v>
      </c>
      <c r="I276">
        <v>2</v>
      </c>
    </row>
    <row r="277" spans="1:9" x14ac:dyDescent="0.35">
      <c r="A277" t="str">
        <f t="shared" si="4"/>
        <v>DAcostS1202912</v>
      </c>
      <c r="C277" t="s">
        <v>99</v>
      </c>
      <c r="D277" t="s">
        <v>100</v>
      </c>
      <c r="E277" t="s">
        <v>110</v>
      </c>
      <c r="F277">
        <v>13940.045006787201</v>
      </c>
      <c r="G277">
        <v>2029</v>
      </c>
      <c r="H277">
        <v>1</v>
      </c>
      <c r="I277">
        <v>2</v>
      </c>
    </row>
    <row r="278" spans="1:9" x14ac:dyDescent="0.35">
      <c r="A278" t="str">
        <f t="shared" si="4"/>
        <v>DAincomeS1202912</v>
      </c>
      <c r="B278" t="s">
        <v>95</v>
      </c>
      <c r="C278" t="s">
        <v>99</v>
      </c>
      <c r="D278" t="s">
        <v>101</v>
      </c>
      <c r="E278" t="s">
        <v>110</v>
      </c>
      <c r="F278">
        <v>21522.145001244349</v>
      </c>
      <c r="G278">
        <v>2029</v>
      </c>
      <c r="H278">
        <v>1</v>
      </c>
      <c r="I278">
        <v>2</v>
      </c>
    </row>
    <row r="279" spans="1:9" x14ac:dyDescent="0.35">
      <c r="A279" t="str">
        <f t="shared" si="4"/>
        <v>DAenergy_boughtS1202912</v>
      </c>
      <c r="B279" t="s">
        <v>95</v>
      </c>
      <c r="C279" t="s">
        <v>99</v>
      </c>
      <c r="D279" t="s">
        <v>111</v>
      </c>
      <c r="E279" t="s">
        <v>110</v>
      </c>
      <c r="F279">
        <v>196.22444642152041</v>
      </c>
      <c r="G279">
        <v>2029</v>
      </c>
      <c r="H279">
        <v>1</v>
      </c>
      <c r="I279">
        <v>2</v>
      </c>
    </row>
    <row r="280" spans="1:9" x14ac:dyDescent="0.35">
      <c r="A280" t="str">
        <f t="shared" si="4"/>
        <v>DAenergy_soldS1202912</v>
      </c>
      <c r="C280" t="s">
        <v>99</v>
      </c>
      <c r="D280" t="s">
        <v>112</v>
      </c>
      <c r="E280" t="s">
        <v>110</v>
      </c>
      <c r="F280">
        <v>155.47062400180579</v>
      </c>
      <c r="G280">
        <v>2029</v>
      </c>
      <c r="H280">
        <v>1</v>
      </c>
      <c r="I280">
        <v>2</v>
      </c>
    </row>
    <row r="281" spans="1:9" x14ac:dyDescent="0.35">
      <c r="A281" t="str">
        <f t="shared" si="4"/>
        <v>DAhours_boughtS1202912</v>
      </c>
      <c r="C281" t="s">
        <v>99</v>
      </c>
      <c r="D281" t="s">
        <v>113</v>
      </c>
      <c r="E281" t="s">
        <v>110</v>
      </c>
      <c r="F281">
        <v>1347</v>
      </c>
      <c r="G281">
        <v>2029</v>
      </c>
      <c r="H281">
        <v>1</v>
      </c>
      <c r="I281">
        <v>2</v>
      </c>
    </row>
    <row r="282" spans="1:9" x14ac:dyDescent="0.35">
      <c r="A282" t="str">
        <f t="shared" si="4"/>
        <v>DAhours_soldS1202912</v>
      </c>
      <c r="C282" t="s">
        <v>99</v>
      </c>
      <c r="D282" t="s">
        <v>114</v>
      </c>
      <c r="E282" t="s">
        <v>110</v>
      </c>
      <c r="F282">
        <v>264</v>
      </c>
      <c r="G282">
        <v>2029</v>
      </c>
      <c r="H282">
        <v>1</v>
      </c>
      <c r="I282">
        <v>2</v>
      </c>
    </row>
    <row r="283" spans="1:9" x14ac:dyDescent="0.35">
      <c r="A283" t="str">
        <f t="shared" si="4"/>
        <v>DAco2_emissionS1202912</v>
      </c>
      <c r="C283" t="s">
        <v>99</v>
      </c>
      <c r="D283" t="s">
        <v>204</v>
      </c>
      <c r="E283" t="s">
        <v>110</v>
      </c>
      <c r="F283">
        <v>13735.711249506459</v>
      </c>
      <c r="G283">
        <v>2029</v>
      </c>
      <c r="H283">
        <v>1</v>
      </c>
      <c r="I283">
        <v>2</v>
      </c>
    </row>
    <row r="284" spans="1:9" x14ac:dyDescent="0.35">
      <c r="A284" t="str">
        <f t="shared" si="4"/>
        <v>fcrincomeS1202912</v>
      </c>
      <c r="C284" t="s">
        <v>102</v>
      </c>
      <c r="D284" t="s">
        <v>101</v>
      </c>
      <c r="E284" t="s">
        <v>110</v>
      </c>
      <c r="F284">
        <v>0</v>
      </c>
      <c r="G284">
        <v>2029</v>
      </c>
      <c r="H284">
        <v>1</v>
      </c>
      <c r="I284">
        <v>2</v>
      </c>
    </row>
    <row r="285" spans="1:9" x14ac:dyDescent="0.35">
      <c r="A285" t="str">
        <f t="shared" si="4"/>
        <v>fcractivation_hoursS1202912</v>
      </c>
      <c r="C285" t="s">
        <v>102</v>
      </c>
      <c r="D285" t="s">
        <v>115</v>
      </c>
      <c r="E285" t="s">
        <v>110</v>
      </c>
      <c r="F285">
        <v>0</v>
      </c>
      <c r="G285">
        <v>2029</v>
      </c>
      <c r="H285">
        <v>1</v>
      </c>
      <c r="I285">
        <v>2</v>
      </c>
    </row>
    <row r="286" spans="1:9" x14ac:dyDescent="0.35">
      <c r="A286" t="str">
        <f t="shared" si="4"/>
        <v>afrrincomeS1202912</v>
      </c>
      <c r="C286" t="s">
        <v>103</v>
      </c>
      <c r="D286" t="s">
        <v>101</v>
      </c>
      <c r="E286" t="s">
        <v>110</v>
      </c>
      <c r="F286">
        <v>44821.047610139758</v>
      </c>
      <c r="G286">
        <v>2029</v>
      </c>
      <c r="H286">
        <v>1</v>
      </c>
      <c r="I286">
        <v>2</v>
      </c>
    </row>
    <row r="287" spans="1:9" x14ac:dyDescent="0.35">
      <c r="A287" t="str">
        <f t="shared" si="4"/>
        <v>afrractivation_hoursS1202912</v>
      </c>
      <c r="C287" t="s">
        <v>103</v>
      </c>
      <c r="D287" t="s">
        <v>115</v>
      </c>
      <c r="E287" t="s">
        <v>110</v>
      </c>
      <c r="F287">
        <v>8733</v>
      </c>
      <c r="G287">
        <v>2029</v>
      </c>
      <c r="H287">
        <v>1</v>
      </c>
      <c r="I287">
        <v>2</v>
      </c>
    </row>
    <row r="288" spans="1:9" x14ac:dyDescent="0.35">
      <c r="A288" t="str">
        <f t="shared" si="4"/>
        <v>networkturpe_power_costS1203012</v>
      </c>
      <c r="C288" t="s">
        <v>96</v>
      </c>
      <c r="D288" t="s">
        <v>97</v>
      </c>
      <c r="E288" t="s">
        <v>110</v>
      </c>
      <c r="F288">
        <v>2734.9308065609121</v>
      </c>
      <c r="G288">
        <v>2030</v>
      </c>
      <c r="H288">
        <v>1</v>
      </c>
      <c r="I288">
        <v>2</v>
      </c>
    </row>
    <row r="289" spans="1:9" x14ac:dyDescent="0.35">
      <c r="A289" t="str">
        <f t="shared" si="4"/>
        <v>networkturpe_energy_costS1203012</v>
      </c>
      <c r="C289" t="s">
        <v>96</v>
      </c>
      <c r="D289" t="s">
        <v>98</v>
      </c>
      <c r="E289" t="s">
        <v>110</v>
      </c>
      <c r="F289">
        <v>4632.6632418254676</v>
      </c>
      <c r="G289">
        <v>2030</v>
      </c>
      <c r="H289">
        <v>1</v>
      </c>
      <c r="I289">
        <v>2</v>
      </c>
    </row>
    <row r="290" spans="1:9" x14ac:dyDescent="0.35">
      <c r="A290" t="str">
        <f t="shared" si="4"/>
        <v>DAcostS1203012</v>
      </c>
      <c r="B290" t="s">
        <v>95</v>
      </c>
      <c r="C290" t="s">
        <v>99</v>
      </c>
      <c r="D290" t="s">
        <v>100</v>
      </c>
      <c r="E290" t="s">
        <v>110</v>
      </c>
      <c r="F290">
        <v>16588.71026943059</v>
      </c>
      <c r="G290">
        <v>2030</v>
      </c>
      <c r="H290">
        <v>1</v>
      </c>
      <c r="I290">
        <v>2</v>
      </c>
    </row>
    <row r="291" spans="1:9" x14ac:dyDescent="0.35">
      <c r="A291" t="str">
        <f t="shared" si="4"/>
        <v>DAincomeS1203012</v>
      </c>
      <c r="B291" t="s">
        <v>95</v>
      </c>
      <c r="C291" t="s">
        <v>99</v>
      </c>
      <c r="D291" t="s">
        <v>101</v>
      </c>
      <c r="E291" t="s">
        <v>110</v>
      </c>
      <c r="F291">
        <v>28525.051426473179</v>
      </c>
      <c r="G291">
        <v>2030</v>
      </c>
      <c r="H291">
        <v>1</v>
      </c>
      <c r="I291">
        <v>2</v>
      </c>
    </row>
    <row r="292" spans="1:9" x14ac:dyDescent="0.35">
      <c r="A292" t="str">
        <f t="shared" si="4"/>
        <v>DAenergy_boughtS1203012</v>
      </c>
      <c r="C292" t="s">
        <v>99</v>
      </c>
      <c r="D292" t="s">
        <v>111</v>
      </c>
      <c r="E292" t="s">
        <v>110</v>
      </c>
      <c r="F292">
        <v>301.16718206326499</v>
      </c>
      <c r="G292">
        <v>2030</v>
      </c>
      <c r="H292">
        <v>1</v>
      </c>
      <c r="I292">
        <v>2</v>
      </c>
    </row>
    <row r="293" spans="1:9" x14ac:dyDescent="0.35">
      <c r="A293" t="str">
        <f t="shared" si="4"/>
        <v>DAenergy_soldS1203012</v>
      </c>
      <c r="C293" t="s">
        <v>99</v>
      </c>
      <c r="D293" t="s">
        <v>112</v>
      </c>
      <c r="E293" t="s">
        <v>110</v>
      </c>
      <c r="F293">
        <v>240.4619298029701</v>
      </c>
      <c r="G293">
        <v>2030</v>
      </c>
      <c r="H293">
        <v>1</v>
      </c>
      <c r="I293">
        <v>2</v>
      </c>
    </row>
    <row r="294" spans="1:9" x14ac:dyDescent="0.35">
      <c r="A294" t="str">
        <f t="shared" si="4"/>
        <v>DAhours_boughtS1203012</v>
      </c>
      <c r="C294" t="s">
        <v>99</v>
      </c>
      <c r="D294" t="s">
        <v>113</v>
      </c>
      <c r="E294" t="s">
        <v>110</v>
      </c>
      <c r="F294">
        <v>1776</v>
      </c>
      <c r="G294">
        <v>2030</v>
      </c>
      <c r="H294">
        <v>1</v>
      </c>
      <c r="I294">
        <v>2</v>
      </c>
    </row>
    <row r="295" spans="1:9" x14ac:dyDescent="0.35">
      <c r="A295" t="str">
        <f t="shared" si="4"/>
        <v>DAhours_soldS1203012</v>
      </c>
      <c r="C295" t="s">
        <v>99</v>
      </c>
      <c r="D295" t="s">
        <v>114</v>
      </c>
      <c r="E295" t="s">
        <v>110</v>
      </c>
      <c r="F295">
        <v>395</v>
      </c>
      <c r="G295">
        <v>2030</v>
      </c>
      <c r="H295">
        <v>1</v>
      </c>
      <c r="I295">
        <v>2</v>
      </c>
    </row>
    <row r="296" spans="1:9" x14ac:dyDescent="0.35">
      <c r="A296" t="str">
        <f t="shared" si="4"/>
        <v>DAco2_emissionS1203012</v>
      </c>
      <c r="C296" t="s">
        <v>99</v>
      </c>
      <c r="D296" t="s">
        <v>204</v>
      </c>
      <c r="E296" t="s">
        <v>110</v>
      </c>
      <c r="F296">
        <v>21081.70274442852</v>
      </c>
      <c r="G296">
        <v>2030</v>
      </c>
      <c r="H296">
        <v>1</v>
      </c>
      <c r="I296">
        <v>2</v>
      </c>
    </row>
    <row r="297" spans="1:9" x14ac:dyDescent="0.35">
      <c r="A297" t="str">
        <f t="shared" si="4"/>
        <v>fcrincomeS1203012</v>
      </c>
      <c r="C297" t="s">
        <v>102</v>
      </c>
      <c r="D297" t="s">
        <v>101</v>
      </c>
      <c r="E297" t="s">
        <v>110</v>
      </c>
      <c r="F297">
        <v>0.47284857165653588</v>
      </c>
      <c r="G297">
        <v>2030</v>
      </c>
      <c r="H297">
        <v>1</v>
      </c>
      <c r="I297">
        <v>2</v>
      </c>
    </row>
    <row r="298" spans="1:9" x14ac:dyDescent="0.35">
      <c r="A298" t="str">
        <f t="shared" si="4"/>
        <v>fcractivation_hoursS1203012</v>
      </c>
      <c r="C298" t="s">
        <v>102</v>
      </c>
      <c r="D298" t="s">
        <v>115</v>
      </c>
      <c r="E298" t="s">
        <v>110</v>
      </c>
      <c r="F298">
        <v>12</v>
      </c>
      <c r="G298">
        <v>2030</v>
      </c>
      <c r="H298">
        <v>1</v>
      </c>
      <c r="I298">
        <v>2</v>
      </c>
    </row>
    <row r="299" spans="1:9" x14ac:dyDescent="0.35">
      <c r="A299" t="str">
        <f t="shared" si="4"/>
        <v>afrrincomeS1203012</v>
      </c>
      <c r="C299" t="s">
        <v>103</v>
      </c>
      <c r="D299" t="s">
        <v>101</v>
      </c>
      <c r="E299" t="s">
        <v>110</v>
      </c>
      <c r="F299">
        <v>26349.307351258842</v>
      </c>
      <c r="G299">
        <v>2030</v>
      </c>
      <c r="H299">
        <v>1</v>
      </c>
      <c r="I299">
        <v>2</v>
      </c>
    </row>
    <row r="300" spans="1:9" x14ac:dyDescent="0.35">
      <c r="A300" t="str">
        <f t="shared" si="4"/>
        <v>afrractivation_hoursS1203012</v>
      </c>
      <c r="C300" t="s">
        <v>103</v>
      </c>
      <c r="D300" t="s">
        <v>115</v>
      </c>
      <c r="E300" t="s">
        <v>110</v>
      </c>
      <c r="F300">
        <v>8584</v>
      </c>
      <c r="G300">
        <v>2030</v>
      </c>
      <c r="H300">
        <v>1</v>
      </c>
      <c r="I300">
        <v>2</v>
      </c>
    </row>
    <row r="301" spans="1:9" x14ac:dyDescent="0.35">
      <c r="A301" t="str">
        <f t="shared" si="4"/>
        <v>networkturpe_power_costS1203112</v>
      </c>
      <c r="C301" t="s">
        <v>96</v>
      </c>
      <c r="D301" t="s">
        <v>97</v>
      </c>
      <c r="E301" t="s">
        <v>110</v>
      </c>
      <c r="F301">
        <v>2660.2399849814142</v>
      </c>
      <c r="G301">
        <v>2031</v>
      </c>
      <c r="H301">
        <v>1</v>
      </c>
      <c r="I301">
        <v>2</v>
      </c>
    </row>
    <row r="302" spans="1:9" x14ac:dyDescent="0.35">
      <c r="A302" t="str">
        <f t="shared" si="4"/>
        <v>networkturpe_energy_costS1203112</v>
      </c>
      <c r="B302" t="s">
        <v>95</v>
      </c>
      <c r="C302" t="s">
        <v>96</v>
      </c>
      <c r="D302" t="s">
        <v>98</v>
      </c>
      <c r="E302" t="s">
        <v>110</v>
      </c>
      <c r="F302">
        <v>4510.0874838476393</v>
      </c>
      <c r="G302">
        <v>2031</v>
      </c>
      <c r="H302">
        <v>1</v>
      </c>
      <c r="I302">
        <v>2</v>
      </c>
    </row>
    <row r="303" spans="1:9" x14ac:dyDescent="0.35">
      <c r="A303" t="str">
        <f t="shared" si="4"/>
        <v>DAcostS1203112</v>
      </c>
      <c r="B303" t="s">
        <v>95</v>
      </c>
      <c r="C303" t="s">
        <v>99</v>
      </c>
      <c r="D303" t="s">
        <v>100</v>
      </c>
      <c r="E303" t="s">
        <v>110</v>
      </c>
      <c r="F303">
        <v>13617.15762234292</v>
      </c>
      <c r="G303">
        <v>2031</v>
      </c>
      <c r="H303">
        <v>1</v>
      </c>
      <c r="I303">
        <v>2</v>
      </c>
    </row>
    <row r="304" spans="1:9" x14ac:dyDescent="0.35">
      <c r="A304" t="str">
        <f t="shared" si="4"/>
        <v>DAincomeS1203112</v>
      </c>
      <c r="C304" t="s">
        <v>99</v>
      </c>
      <c r="D304" t="s">
        <v>101</v>
      </c>
      <c r="E304" t="s">
        <v>110</v>
      </c>
      <c r="F304">
        <v>25191.211612250161</v>
      </c>
      <c r="G304">
        <v>2031</v>
      </c>
      <c r="H304">
        <v>1</v>
      </c>
      <c r="I304">
        <v>2</v>
      </c>
    </row>
    <row r="305" spans="1:9" x14ac:dyDescent="0.35">
      <c r="A305" t="str">
        <f t="shared" si="4"/>
        <v>DAenergy_boughtS1203112</v>
      </c>
      <c r="C305" t="s">
        <v>99</v>
      </c>
      <c r="D305" t="s">
        <v>111</v>
      </c>
      <c r="E305" t="s">
        <v>110</v>
      </c>
      <c r="F305">
        <v>291.08927781298871</v>
      </c>
      <c r="G305">
        <v>2031</v>
      </c>
      <c r="H305">
        <v>1</v>
      </c>
      <c r="I305">
        <v>2</v>
      </c>
    </row>
    <row r="306" spans="1:9" x14ac:dyDescent="0.35">
      <c r="A306" t="str">
        <f t="shared" si="4"/>
        <v>DAenergy_soldS1203112</v>
      </c>
      <c r="C306" t="s">
        <v>99</v>
      </c>
      <c r="D306" t="s">
        <v>112</v>
      </c>
      <c r="E306" t="s">
        <v>110</v>
      </c>
      <c r="F306">
        <v>232.40233456200721</v>
      </c>
      <c r="G306">
        <v>2031</v>
      </c>
      <c r="H306">
        <v>1</v>
      </c>
      <c r="I306">
        <v>2</v>
      </c>
    </row>
    <row r="307" spans="1:9" x14ac:dyDescent="0.35">
      <c r="A307" t="str">
        <f t="shared" si="4"/>
        <v>DAhours_boughtS1203112</v>
      </c>
      <c r="C307" t="s">
        <v>99</v>
      </c>
      <c r="D307" t="s">
        <v>113</v>
      </c>
      <c r="E307" t="s">
        <v>110</v>
      </c>
      <c r="F307">
        <v>1714</v>
      </c>
      <c r="G307">
        <v>2031</v>
      </c>
      <c r="H307">
        <v>1</v>
      </c>
      <c r="I307">
        <v>2</v>
      </c>
    </row>
    <row r="308" spans="1:9" x14ac:dyDescent="0.35">
      <c r="A308" t="str">
        <f t="shared" si="4"/>
        <v>DAhours_soldS1203112</v>
      </c>
      <c r="C308" t="s">
        <v>99</v>
      </c>
      <c r="D308" t="s">
        <v>114</v>
      </c>
      <c r="E308" t="s">
        <v>110</v>
      </c>
      <c r="F308">
        <v>418</v>
      </c>
      <c r="G308">
        <v>2031</v>
      </c>
      <c r="H308">
        <v>1</v>
      </c>
      <c r="I308">
        <v>2</v>
      </c>
    </row>
    <row r="309" spans="1:9" x14ac:dyDescent="0.35">
      <c r="A309" t="str">
        <f t="shared" si="4"/>
        <v>DAco2_emissionS1203112</v>
      </c>
      <c r="C309" t="s">
        <v>99</v>
      </c>
      <c r="D309" t="s">
        <v>204</v>
      </c>
      <c r="E309" t="s">
        <v>110</v>
      </c>
      <c r="F309">
        <v>20376.249446909471</v>
      </c>
      <c r="G309">
        <v>2031</v>
      </c>
      <c r="H309">
        <v>1</v>
      </c>
      <c r="I309">
        <v>2</v>
      </c>
    </row>
    <row r="310" spans="1:9" x14ac:dyDescent="0.35">
      <c r="A310" t="str">
        <f t="shared" si="4"/>
        <v>fcrincomeS1203112</v>
      </c>
      <c r="C310" t="s">
        <v>102</v>
      </c>
      <c r="D310" t="s">
        <v>101</v>
      </c>
      <c r="E310" t="s">
        <v>110</v>
      </c>
      <c r="F310">
        <v>0.1987144417920578</v>
      </c>
      <c r="G310">
        <v>2031</v>
      </c>
      <c r="H310">
        <v>1</v>
      </c>
      <c r="I310">
        <v>2</v>
      </c>
    </row>
    <row r="311" spans="1:9" x14ac:dyDescent="0.35">
      <c r="A311" t="str">
        <f t="shared" si="4"/>
        <v>fcractivation_hoursS1203112</v>
      </c>
      <c r="C311" t="s">
        <v>102</v>
      </c>
      <c r="D311" t="s">
        <v>115</v>
      </c>
      <c r="E311" t="s">
        <v>110</v>
      </c>
      <c r="F311">
        <v>4</v>
      </c>
      <c r="G311">
        <v>2031</v>
      </c>
      <c r="H311">
        <v>1</v>
      </c>
      <c r="I311">
        <v>2</v>
      </c>
    </row>
    <row r="312" spans="1:9" x14ac:dyDescent="0.35">
      <c r="A312" t="str">
        <f t="shared" si="4"/>
        <v>afrrincomeS1203112</v>
      </c>
      <c r="C312" t="s">
        <v>103</v>
      </c>
      <c r="D312" t="s">
        <v>101</v>
      </c>
      <c r="E312" t="s">
        <v>110</v>
      </c>
      <c r="F312">
        <v>26511.853464399301</v>
      </c>
      <c r="G312">
        <v>2031</v>
      </c>
      <c r="H312">
        <v>1</v>
      </c>
      <c r="I312">
        <v>2</v>
      </c>
    </row>
    <row r="313" spans="1:9" x14ac:dyDescent="0.35">
      <c r="A313" t="str">
        <f t="shared" si="4"/>
        <v>afrractivation_hoursS1203112</v>
      </c>
      <c r="C313" t="s">
        <v>103</v>
      </c>
      <c r="D313" t="s">
        <v>115</v>
      </c>
      <c r="E313" t="s">
        <v>110</v>
      </c>
      <c r="F313">
        <v>8555</v>
      </c>
      <c r="G313">
        <v>2031</v>
      </c>
      <c r="H313">
        <v>1</v>
      </c>
      <c r="I313">
        <v>2</v>
      </c>
    </row>
    <row r="314" spans="1:9" x14ac:dyDescent="0.35">
      <c r="A314" t="str">
        <f t="shared" si="4"/>
        <v>networkturpe_power_costS1203212</v>
      </c>
      <c r="B314" t="s">
        <v>95</v>
      </c>
      <c r="C314" t="s">
        <v>96</v>
      </c>
      <c r="D314" t="s">
        <v>97</v>
      </c>
      <c r="E314" t="s">
        <v>110</v>
      </c>
      <c r="F314">
        <v>2584.9630550898269</v>
      </c>
      <c r="G314">
        <v>2032</v>
      </c>
      <c r="H314">
        <v>1</v>
      </c>
      <c r="I314">
        <v>2</v>
      </c>
    </row>
    <row r="315" spans="1:9" x14ac:dyDescent="0.35">
      <c r="A315" t="str">
        <f t="shared" si="4"/>
        <v>networkturpe_energy_costS1203212</v>
      </c>
      <c r="B315" t="s">
        <v>95</v>
      </c>
      <c r="C315" t="s">
        <v>96</v>
      </c>
      <c r="D315" t="s">
        <v>98</v>
      </c>
      <c r="E315" t="s">
        <v>110</v>
      </c>
      <c r="F315">
        <v>4162.0989933466244</v>
      </c>
      <c r="G315">
        <v>2032</v>
      </c>
      <c r="H315">
        <v>1</v>
      </c>
      <c r="I315">
        <v>2</v>
      </c>
    </row>
    <row r="316" spans="1:9" x14ac:dyDescent="0.35">
      <c r="A316" t="str">
        <f t="shared" si="4"/>
        <v>DAcostS1203212</v>
      </c>
      <c r="C316" t="s">
        <v>99</v>
      </c>
      <c r="D316" t="s">
        <v>100</v>
      </c>
      <c r="E316" t="s">
        <v>110</v>
      </c>
      <c r="F316">
        <v>12981.502217429799</v>
      </c>
      <c r="G316">
        <v>2032</v>
      </c>
      <c r="H316">
        <v>1</v>
      </c>
      <c r="I316">
        <v>2</v>
      </c>
    </row>
    <row r="317" spans="1:9" x14ac:dyDescent="0.35">
      <c r="A317" t="str">
        <f t="shared" si="4"/>
        <v>DAincomeS1203212</v>
      </c>
      <c r="C317" t="s">
        <v>99</v>
      </c>
      <c r="D317" t="s">
        <v>101</v>
      </c>
      <c r="E317" t="s">
        <v>110</v>
      </c>
      <c r="F317">
        <v>24549.927030782921</v>
      </c>
      <c r="G317">
        <v>2032</v>
      </c>
      <c r="H317">
        <v>1</v>
      </c>
      <c r="I317">
        <v>2</v>
      </c>
    </row>
    <row r="318" spans="1:9" x14ac:dyDescent="0.35">
      <c r="A318" t="str">
        <f t="shared" si="4"/>
        <v>DAenergy_boughtS1203212</v>
      </c>
      <c r="C318" t="s">
        <v>99</v>
      </c>
      <c r="D318" t="s">
        <v>111</v>
      </c>
      <c r="E318" t="s">
        <v>110</v>
      </c>
      <c r="F318">
        <v>280.21345269295722</v>
      </c>
      <c r="G318">
        <v>2032</v>
      </c>
      <c r="H318">
        <v>1</v>
      </c>
      <c r="I318">
        <v>2</v>
      </c>
    </row>
    <row r="319" spans="1:9" x14ac:dyDescent="0.35">
      <c r="A319" t="str">
        <f t="shared" si="4"/>
        <v>DAenergy_soldS1203212</v>
      </c>
      <c r="C319" t="s">
        <v>99</v>
      </c>
      <c r="D319" t="s">
        <v>112</v>
      </c>
      <c r="E319" t="s">
        <v>110</v>
      </c>
      <c r="F319">
        <v>223.74173699822649</v>
      </c>
      <c r="G319">
        <v>2032</v>
      </c>
      <c r="H319">
        <v>1</v>
      </c>
      <c r="I319">
        <v>2</v>
      </c>
    </row>
    <row r="320" spans="1:9" x14ac:dyDescent="0.35">
      <c r="A320" t="str">
        <f t="shared" si="4"/>
        <v>DAhours_boughtS1203212</v>
      </c>
      <c r="C320" t="s">
        <v>99</v>
      </c>
      <c r="D320" t="s">
        <v>113</v>
      </c>
      <c r="E320" t="s">
        <v>110</v>
      </c>
      <c r="F320">
        <v>1797</v>
      </c>
      <c r="G320">
        <v>2032</v>
      </c>
      <c r="H320">
        <v>1</v>
      </c>
      <c r="I320">
        <v>2</v>
      </c>
    </row>
    <row r="321" spans="1:9" x14ac:dyDescent="0.35">
      <c r="A321" t="str">
        <f t="shared" si="4"/>
        <v>DAhours_soldS1203212</v>
      </c>
      <c r="C321" t="s">
        <v>99</v>
      </c>
      <c r="D321" t="s">
        <v>114</v>
      </c>
      <c r="E321" t="s">
        <v>110</v>
      </c>
      <c r="F321">
        <v>420</v>
      </c>
      <c r="G321">
        <v>2032</v>
      </c>
      <c r="H321">
        <v>1</v>
      </c>
      <c r="I321">
        <v>2</v>
      </c>
    </row>
    <row r="322" spans="1:9" x14ac:dyDescent="0.35">
      <c r="A322" t="str">
        <f t="shared" si="4"/>
        <v>DAco2_emissionS1203212</v>
      </c>
      <c r="C322" t="s">
        <v>99</v>
      </c>
      <c r="D322" t="s">
        <v>204</v>
      </c>
      <c r="E322" t="s">
        <v>110</v>
      </c>
      <c r="F322">
        <v>19614.94168850717</v>
      </c>
      <c r="G322">
        <v>2032</v>
      </c>
      <c r="H322">
        <v>1</v>
      </c>
      <c r="I322">
        <v>2</v>
      </c>
    </row>
    <row r="323" spans="1:9" x14ac:dyDescent="0.35">
      <c r="A323" t="str">
        <f t="shared" ref="A323:A386" si="5">C323&amp;D323&amp;E323&amp;G323&amp;H323&amp;I323</f>
        <v>fcrincomeS1203212</v>
      </c>
      <c r="C323" t="s">
        <v>102</v>
      </c>
      <c r="D323" t="s">
        <v>101</v>
      </c>
      <c r="E323" t="s">
        <v>110</v>
      </c>
      <c r="F323">
        <v>5.545038069514904</v>
      </c>
      <c r="G323">
        <v>2032</v>
      </c>
      <c r="H323">
        <v>1</v>
      </c>
      <c r="I323">
        <v>2</v>
      </c>
    </row>
    <row r="324" spans="1:9" x14ac:dyDescent="0.35">
      <c r="A324" t="str">
        <f t="shared" si="5"/>
        <v>fcractivation_hoursS1203212</v>
      </c>
      <c r="C324" t="s">
        <v>102</v>
      </c>
      <c r="D324" t="s">
        <v>115</v>
      </c>
      <c r="E324" t="s">
        <v>110</v>
      </c>
      <c r="F324">
        <v>16</v>
      </c>
      <c r="G324">
        <v>2032</v>
      </c>
      <c r="H324">
        <v>1</v>
      </c>
      <c r="I324">
        <v>2</v>
      </c>
    </row>
    <row r="325" spans="1:9" x14ac:dyDescent="0.35">
      <c r="A325" t="str">
        <f t="shared" si="5"/>
        <v>afrrincomeS1203212</v>
      </c>
      <c r="C325" t="s">
        <v>103</v>
      </c>
      <c r="D325" t="s">
        <v>101</v>
      </c>
      <c r="E325" t="s">
        <v>110</v>
      </c>
      <c r="F325">
        <v>26278.708898463541</v>
      </c>
      <c r="G325">
        <v>2032</v>
      </c>
      <c r="H325">
        <v>1</v>
      </c>
      <c r="I325">
        <v>2</v>
      </c>
    </row>
    <row r="326" spans="1:9" x14ac:dyDescent="0.35">
      <c r="A326" t="str">
        <f t="shared" si="5"/>
        <v>afrractivation_hoursS1203212</v>
      </c>
      <c r="B326" t="s">
        <v>95</v>
      </c>
      <c r="C326" t="s">
        <v>103</v>
      </c>
      <c r="D326" t="s">
        <v>115</v>
      </c>
      <c r="E326" t="s">
        <v>110</v>
      </c>
      <c r="F326">
        <v>8488</v>
      </c>
      <c r="G326">
        <v>2032</v>
      </c>
      <c r="H326">
        <v>1</v>
      </c>
      <c r="I326">
        <v>2</v>
      </c>
    </row>
    <row r="327" spans="1:9" x14ac:dyDescent="0.35">
      <c r="A327" t="str">
        <f t="shared" si="5"/>
        <v>networkturpe_power_costS1203312</v>
      </c>
      <c r="B327" t="s">
        <v>95</v>
      </c>
      <c r="C327" t="s">
        <v>96</v>
      </c>
      <c r="D327" t="s">
        <v>97</v>
      </c>
      <c r="E327" t="s">
        <v>110</v>
      </c>
      <c r="F327">
        <v>2498.363922662857</v>
      </c>
      <c r="G327">
        <v>2033</v>
      </c>
      <c r="H327">
        <v>1</v>
      </c>
      <c r="I327">
        <v>2</v>
      </c>
    </row>
    <row r="328" spans="1:9" x14ac:dyDescent="0.35">
      <c r="A328" t="str">
        <f t="shared" si="5"/>
        <v>networkturpe_energy_costS1203312</v>
      </c>
      <c r="C328" t="s">
        <v>96</v>
      </c>
      <c r="D328" t="s">
        <v>98</v>
      </c>
      <c r="E328" t="s">
        <v>110</v>
      </c>
      <c r="F328">
        <v>3962.1444262836922</v>
      </c>
      <c r="G328">
        <v>2033</v>
      </c>
      <c r="H328">
        <v>1</v>
      </c>
      <c r="I328">
        <v>2</v>
      </c>
    </row>
    <row r="329" spans="1:9" x14ac:dyDescent="0.35">
      <c r="A329" t="str">
        <f t="shared" si="5"/>
        <v>DAcostS1203312</v>
      </c>
      <c r="C329" t="s">
        <v>99</v>
      </c>
      <c r="D329" t="s">
        <v>100</v>
      </c>
      <c r="E329" t="s">
        <v>110</v>
      </c>
      <c r="F329">
        <v>12068.08716404822</v>
      </c>
      <c r="G329">
        <v>2033</v>
      </c>
      <c r="H329">
        <v>1</v>
      </c>
      <c r="I329">
        <v>2</v>
      </c>
    </row>
    <row r="330" spans="1:9" x14ac:dyDescent="0.35">
      <c r="A330" t="str">
        <f t="shared" si="5"/>
        <v>DAincomeS1203312</v>
      </c>
      <c r="C330" t="s">
        <v>99</v>
      </c>
      <c r="D330" t="s">
        <v>101</v>
      </c>
      <c r="E330" t="s">
        <v>110</v>
      </c>
      <c r="F330">
        <v>22887.706776740361</v>
      </c>
      <c r="G330">
        <v>2033</v>
      </c>
      <c r="H330">
        <v>1</v>
      </c>
      <c r="I330">
        <v>2</v>
      </c>
    </row>
    <row r="331" spans="1:9" x14ac:dyDescent="0.35">
      <c r="A331" t="str">
        <f t="shared" si="5"/>
        <v>DAenergy_boughtS1203312</v>
      </c>
      <c r="C331" t="s">
        <v>99</v>
      </c>
      <c r="D331" t="s">
        <v>111</v>
      </c>
      <c r="E331" t="s">
        <v>110</v>
      </c>
      <c r="F331">
        <v>265.20166498027669</v>
      </c>
      <c r="G331">
        <v>2033</v>
      </c>
      <c r="H331">
        <v>1</v>
      </c>
      <c r="I331">
        <v>2</v>
      </c>
    </row>
    <row r="332" spans="1:9" x14ac:dyDescent="0.35">
      <c r="A332" t="str">
        <f t="shared" si="5"/>
        <v>DAenergy_soldS1203312</v>
      </c>
      <c r="C332" t="s">
        <v>99</v>
      </c>
      <c r="D332" t="s">
        <v>112</v>
      </c>
      <c r="E332" t="s">
        <v>110</v>
      </c>
      <c r="F332">
        <v>211.6478655301332</v>
      </c>
      <c r="G332">
        <v>2033</v>
      </c>
      <c r="H332">
        <v>1</v>
      </c>
      <c r="I332">
        <v>2</v>
      </c>
    </row>
    <row r="333" spans="1:9" x14ac:dyDescent="0.35">
      <c r="A333" t="str">
        <f t="shared" si="5"/>
        <v>DAhours_boughtS1203312</v>
      </c>
      <c r="C333" t="s">
        <v>99</v>
      </c>
      <c r="D333" t="s">
        <v>113</v>
      </c>
      <c r="E333" t="s">
        <v>110</v>
      </c>
      <c r="F333">
        <v>1801</v>
      </c>
      <c r="G333">
        <v>2033</v>
      </c>
      <c r="H333">
        <v>1</v>
      </c>
      <c r="I333">
        <v>2</v>
      </c>
    </row>
    <row r="334" spans="1:9" x14ac:dyDescent="0.35">
      <c r="A334" t="str">
        <f t="shared" si="5"/>
        <v>DAhours_soldS1203312</v>
      </c>
      <c r="C334" t="s">
        <v>99</v>
      </c>
      <c r="D334" t="s">
        <v>114</v>
      </c>
      <c r="E334" t="s">
        <v>110</v>
      </c>
      <c r="F334">
        <v>413</v>
      </c>
      <c r="G334">
        <v>2033</v>
      </c>
      <c r="H334">
        <v>1</v>
      </c>
      <c r="I334">
        <v>2</v>
      </c>
    </row>
    <row r="335" spans="1:9" x14ac:dyDescent="0.35">
      <c r="A335" t="str">
        <f t="shared" si="5"/>
        <v>DAco2_emissionS1203312</v>
      </c>
      <c r="C335" t="s">
        <v>99</v>
      </c>
      <c r="D335" t="s">
        <v>204</v>
      </c>
      <c r="E335" t="s">
        <v>110</v>
      </c>
      <c r="F335">
        <v>18564.11654861928</v>
      </c>
      <c r="G335">
        <v>2033</v>
      </c>
      <c r="H335">
        <v>1</v>
      </c>
      <c r="I335">
        <v>2</v>
      </c>
    </row>
    <row r="336" spans="1:9" x14ac:dyDescent="0.35">
      <c r="A336" t="str">
        <f t="shared" si="5"/>
        <v>fcrincomeS1203312</v>
      </c>
      <c r="C336" t="s">
        <v>102</v>
      </c>
      <c r="D336" t="s">
        <v>101</v>
      </c>
      <c r="E336" t="s">
        <v>110</v>
      </c>
      <c r="F336">
        <v>2.5035573847140169</v>
      </c>
      <c r="G336">
        <v>2033</v>
      </c>
      <c r="H336">
        <v>1</v>
      </c>
      <c r="I336">
        <v>2</v>
      </c>
    </row>
    <row r="337" spans="1:9" x14ac:dyDescent="0.35">
      <c r="A337" t="str">
        <f t="shared" si="5"/>
        <v>fcractivation_hoursS1203312</v>
      </c>
      <c r="C337" t="s">
        <v>102</v>
      </c>
      <c r="D337" t="s">
        <v>115</v>
      </c>
      <c r="E337" t="s">
        <v>110</v>
      </c>
      <c r="F337">
        <v>12</v>
      </c>
      <c r="G337">
        <v>2033</v>
      </c>
      <c r="H337">
        <v>1</v>
      </c>
      <c r="I337">
        <v>2</v>
      </c>
    </row>
    <row r="338" spans="1:9" x14ac:dyDescent="0.35">
      <c r="A338" t="str">
        <f t="shared" si="5"/>
        <v>afrrincomeS1203312</v>
      </c>
      <c r="B338" t="s">
        <v>95</v>
      </c>
      <c r="C338" t="s">
        <v>103</v>
      </c>
      <c r="D338" t="s">
        <v>101</v>
      </c>
      <c r="E338" t="s">
        <v>110</v>
      </c>
      <c r="F338">
        <v>27043.76877956415</v>
      </c>
      <c r="G338">
        <v>2033</v>
      </c>
      <c r="H338">
        <v>1</v>
      </c>
      <c r="I338">
        <v>2</v>
      </c>
    </row>
    <row r="339" spans="1:9" x14ac:dyDescent="0.35">
      <c r="A339" t="str">
        <f t="shared" si="5"/>
        <v>afrractivation_hoursS1203312</v>
      </c>
      <c r="B339" t="s">
        <v>95</v>
      </c>
      <c r="C339" t="s">
        <v>103</v>
      </c>
      <c r="D339" t="s">
        <v>115</v>
      </c>
      <c r="E339" t="s">
        <v>110</v>
      </c>
      <c r="F339">
        <v>8528</v>
      </c>
      <c r="G339">
        <v>2033</v>
      </c>
      <c r="H339">
        <v>1</v>
      </c>
      <c r="I339">
        <v>2</v>
      </c>
    </row>
    <row r="340" spans="1:9" x14ac:dyDescent="0.35">
      <c r="A340" t="str">
        <f t="shared" si="5"/>
        <v>networkturpe_power_costS1203412</v>
      </c>
      <c r="C340" t="s">
        <v>96</v>
      </c>
      <c r="D340" t="s">
        <v>97</v>
      </c>
      <c r="E340" t="s">
        <v>110</v>
      </c>
      <c r="F340">
        <v>2432.6053856598628</v>
      </c>
      <c r="G340">
        <v>2034</v>
      </c>
      <c r="H340">
        <v>1</v>
      </c>
      <c r="I340">
        <v>2</v>
      </c>
    </row>
    <row r="341" spans="1:9" x14ac:dyDescent="0.35">
      <c r="A341" t="str">
        <f t="shared" si="5"/>
        <v>networkturpe_energy_costS1203412</v>
      </c>
      <c r="C341" t="s">
        <v>96</v>
      </c>
      <c r="D341" t="s">
        <v>98</v>
      </c>
      <c r="E341" t="s">
        <v>110</v>
      </c>
      <c r="F341">
        <v>4152.651509473284</v>
      </c>
      <c r="G341">
        <v>2034</v>
      </c>
      <c r="H341">
        <v>1</v>
      </c>
      <c r="I341">
        <v>2</v>
      </c>
    </row>
    <row r="342" spans="1:9" x14ac:dyDescent="0.35">
      <c r="A342" t="str">
        <f t="shared" si="5"/>
        <v>DAcostS1203412</v>
      </c>
      <c r="C342" t="s">
        <v>99</v>
      </c>
      <c r="D342" t="s">
        <v>100</v>
      </c>
      <c r="E342" t="s">
        <v>110</v>
      </c>
      <c r="F342">
        <v>12312.57432719118</v>
      </c>
      <c r="G342">
        <v>2034</v>
      </c>
      <c r="H342">
        <v>1</v>
      </c>
      <c r="I342">
        <v>2</v>
      </c>
    </row>
    <row r="343" spans="1:9" x14ac:dyDescent="0.35">
      <c r="A343" t="str">
        <f t="shared" si="5"/>
        <v>DAincomeS1203412</v>
      </c>
      <c r="C343" t="s">
        <v>99</v>
      </c>
      <c r="D343" t="s">
        <v>101</v>
      </c>
      <c r="E343" t="s">
        <v>110</v>
      </c>
      <c r="F343">
        <v>23399.69384573288</v>
      </c>
      <c r="G343">
        <v>2034</v>
      </c>
      <c r="H343">
        <v>1</v>
      </c>
      <c r="I343">
        <v>2</v>
      </c>
    </row>
    <row r="344" spans="1:9" x14ac:dyDescent="0.35">
      <c r="A344" t="str">
        <f t="shared" si="5"/>
        <v>DAenergy_boughtS1203412</v>
      </c>
      <c r="C344" t="s">
        <v>99</v>
      </c>
      <c r="D344" t="s">
        <v>111</v>
      </c>
      <c r="E344" t="s">
        <v>110</v>
      </c>
      <c r="F344">
        <v>266.29054473494949</v>
      </c>
      <c r="G344">
        <v>2034</v>
      </c>
      <c r="H344">
        <v>1</v>
      </c>
      <c r="I344">
        <v>2</v>
      </c>
    </row>
    <row r="345" spans="1:9" x14ac:dyDescent="0.35">
      <c r="A345" t="str">
        <f t="shared" si="5"/>
        <v>DAenergy_soldS1203412</v>
      </c>
      <c r="C345" t="s">
        <v>99</v>
      </c>
      <c r="D345" t="s">
        <v>112</v>
      </c>
      <c r="E345" t="s">
        <v>110</v>
      </c>
      <c r="F345">
        <v>212.62629950536959</v>
      </c>
      <c r="G345">
        <v>2034</v>
      </c>
      <c r="H345">
        <v>1</v>
      </c>
      <c r="I345">
        <v>2</v>
      </c>
    </row>
    <row r="346" spans="1:9" x14ac:dyDescent="0.35">
      <c r="A346" t="str">
        <f t="shared" si="5"/>
        <v>DAhours_boughtS1203412</v>
      </c>
      <c r="C346" t="s">
        <v>99</v>
      </c>
      <c r="D346" t="s">
        <v>113</v>
      </c>
      <c r="E346" t="s">
        <v>110</v>
      </c>
      <c r="F346">
        <v>1905</v>
      </c>
      <c r="G346">
        <v>2034</v>
      </c>
      <c r="H346">
        <v>1</v>
      </c>
      <c r="I346">
        <v>2</v>
      </c>
    </row>
    <row r="347" spans="1:9" x14ac:dyDescent="0.35">
      <c r="A347" t="str">
        <f t="shared" si="5"/>
        <v>DAhours_soldS1203412</v>
      </c>
      <c r="C347" t="s">
        <v>99</v>
      </c>
      <c r="D347" t="s">
        <v>114</v>
      </c>
      <c r="E347" t="s">
        <v>110</v>
      </c>
      <c r="F347">
        <v>402</v>
      </c>
      <c r="G347">
        <v>2034</v>
      </c>
      <c r="H347">
        <v>1</v>
      </c>
      <c r="I347">
        <v>2</v>
      </c>
    </row>
    <row r="348" spans="1:9" x14ac:dyDescent="0.35">
      <c r="A348" t="str">
        <f t="shared" si="5"/>
        <v>DAco2_emissionS1203412</v>
      </c>
      <c r="C348" t="s">
        <v>99</v>
      </c>
      <c r="D348" t="s">
        <v>204</v>
      </c>
      <c r="E348" t="s">
        <v>110</v>
      </c>
      <c r="F348">
        <v>18640.33813144685</v>
      </c>
      <c r="G348">
        <v>2034</v>
      </c>
      <c r="H348">
        <v>1</v>
      </c>
      <c r="I348">
        <v>2</v>
      </c>
    </row>
    <row r="349" spans="1:9" x14ac:dyDescent="0.35">
      <c r="A349" t="str">
        <f t="shared" si="5"/>
        <v>fcrincomeS1203412</v>
      </c>
      <c r="C349" t="s">
        <v>102</v>
      </c>
      <c r="D349" t="s">
        <v>101</v>
      </c>
      <c r="E349" t="s">
        <v>110</v>
      </c>
      <c r="F349">
        <v>0.35331432661410511</v>
      </c>
      <c r="G349">
        <v>2034</v>
      </c>
      <c r="H349">
        <v>1</v>
      </c>
      <c r="I349">
        <v>2</v>
      </c>
    </row>
    <row r="350" spans="1:9" x14ac:dyDescent="0.35">
      <c r="A350" t="str">
        <f t="shared" si="5"/>
        <v>fcractivation_hoursS1203412</v>
      </c>
      <c r="B350" t="s">
        <v>95</v>
      </c>
      <c r="C350" t="s">
        <v>102</v>
      </c>
      <c r="D350" t="s">
        <v>115</v>
      </c>
      <c r="E350" t="s">
        <v>110</v>
      </c>
      <c r="F350">
        <v>4</v>
      </c>
      <c r="G350">
        <v>2034</v>
      </c>
      <c r="H350">
        <v>1</v>
      </c>
      <c r="I350">
        <v>2</v>
      </c>
    </row>
    <row r="351" spans="1:9" x14ac:dyDescent="0.35">
      <c r="A351" t="str">
        <f t="shared" si="5"/>
        <v>afrrincomeS1203412</v>
      </c>
      <c r="B351" t="s">
        <v>95</v>
      </c>
      <c r="C351" t="s">
        <v>103</v>
      </c>
      <c r="D351" t="s">
        <v>101</v>
      </c>
      <c r="E351" t="s">
        <v>110</v>
      </c>
      <c r="F351">
        <v>28478.31058909135</v>
      </c>
      <c r="G351">
        <v>2034</v>
      </c>
      <c r="H351">
        <v>1</v>
      </c>
      <c r="I351">
        <v>2</v>
      </c>
    </row>
    <row r="352" spans="1:9" x14ac:dyDescent="0.35">
      <c r="A352" t="str">
        <f t="shared" si="5"/>
        <v>afrractivation_hoursS1203412</v>
      </c>
      <c r="C352" t="s">
        <v>103</v>
      </c>
      <c r="D352" t="s">
        <v>115</v>
      </c>
      <c r="E352" t="s">
        <v>110</v>
      </c>
      <c r="F352">
        <v>8571</v>
      </c>
      <c r="G352">
        <v>2034</v>
      </c>
      <c r="H352">
        <v>1</v>
      </c>
      <c r="I352">
        <v>2</v>
      </c>
    </row>
    <row r="353" spans="1:9" x14ac:dyDescent="0.35">
      <c r="A353" t="str">
        <f t="shared" si="5"/>
        <v>networkturpe_power_costS1203512</v>
      </c>
      <c r="C353" t="s">
        <v>96</v>
      </c>
      <c r="D353" t="s">
        <v>97</v>
      </c>
      <c r="E353" t="s">
        <v>110</v>
      </c>
      <c r="F353">
        <v>2366.2765488599221</v>
      </c>
      <c r="G353">
        <v>2035</v>
      </c>
      <c r="H353">
        <v>1</v>
      </c>
      <c r="I353">
        <v>2</v>
      </c>
    </row>
    <row r="354" spans="1:9" x14ac:dyDescent="0.35">
      <c r="A354" t="str">
        <f t="shared" si="5"/>
        <v>networkturpe_energy_costS1203512</v>
      </c>
      <c r="C354" t="s">
        <v>96</v>
      </c>
      <c r="D354" t="s">
        <v>98</v>
      </c>
      <c r="E354" t="s">
        <v>110</v>
      </c>
      <c r="F354">
        <v>3996.253280138757</v>
      </c>
      <c r="G354">
        <v>2035</v>
      </c>
      <c r="H354">
        <v>1</v>
      </c>
      <c r="I354">
        <v>2</v>
      </c>
    </row>
    <row r="355" spans="1:9" x14ac:dyDescent="0.35">
      <c r="A355" t="str">
        <f t="shared" si="5"/>
        <v>DAcostS1203512</v>
      </c>
      <c r="C355" t="s">
        <v>99</v>
      </c>
      <c r="D355" t="s">
        <v>100</v>
      </c>
      <c r="E355" t="s">
        <v>110</v>
      </c>
      <c r="F355">
        <v>11183.256716751799</v>
      </c>
      <c r="G355">
        <v>2035</v>
      </c>
      <c r="H355">
        <v>1</v>
      </c>
      <c r="I355">
        <v>2</v>
      </c>
    </row>
    <row r="356" spans="1:9" x14ac:dyDescent="0.35">
      <c r="A356" t="str">
        <f t="shared" si="5"/>
        <v>DAincomeS1203512</v>
      </c>
      <c r="C356" t="s">
        <v>99</v>
      </c>
      <c r="D356" t="s">
        <v>101</v>
      </c>
      <c r="E356" t="s">
        <v>110</v>
      </c>
      <c r="F356">
        <v>21752.97534804235</v>
      </c>
      <c r="G356">
        <v>2035</v>
      </c>
      <c r="H356">
        <v>1</v>
      </c>
      <c r="I356">
        <v>2</v>
      </c>
    </row>
    <row r="357" spans="1:9" x14ac:dyDescent="0.35">
      <c r="A357" t="str">
        <f t="shared" si="5"/>
        <v>DAenergy_boughtS1203512</v>
      </c>
      <c r="C357" t="s">
        <v>99</v>
      </c>
      <c r="D357" t="s">
        <v>111</v>
      </c>
      <c r="E357" t="s">
        <v>110</v>
      </c>
      <c r="F357">
        <v>255.16148904013329</v>
      </c>
      <c r="G357">
        <v>2035</v>
      </c>
      <c r="H357">
        <v>1</v>
      </c>
      <c r="I357">
        <v>2</v>
      </c>
    </row>
    <row r="358" spans="1:9" x14ac:dyDescent="0.35">
      <c r="A358" t="str">
        <f t="shared" si="5"/>
        <v>DAenergy_soldS1203512</v>
      </c>
      <c r="C358" t="s">
        <v>99</v>
      </c>
      <c r="D358" t="s">
        <v>112</v>
      </c>
      <c r="E358" t="s">
        <v>110</v>
      </c>
      <c r="F358">
        <v>203.6902302474</v>
      </c>
      <c r="G358">
        <v>2035</v>
      </c>
      <c r="H358">
        <v>1</v>
      </c>
      <c r="I358">
        <v>2</v>
      </c>
    </row>
    <row r="359" spans="1:9" x14ac:dyDescent="0.35">
      <c r="A359" t="str">
        <f t="shared" si="5"/>
        <v>DAhours_boughtS1203512</v>
      </c>
      <c r="C359" t="s">
        <v>99</v>
      </c>
      <c r="D359" t="s">
        <v>113</v>
      </c>
      <c r="E359" t="s">
        <v>110</v>
      </c>
      <c r="F359">
        <v>1910</v>
      </c>
      <c r="G359">
        <v>2035</v>
      </c>
      <c r="H359">
        <v>1</v>
      </c>
      <c r="I359">
        <v>2</v>
      </c>
    </row>
    <row r="360" spans="1:9" x14ac:dyDescent="0.35">
      <c r="A360" t="str">
        <f t="shared" si="5"/>
        <v>DAhours_soldS1203512</v>
      </c>
      <c r="C360" t="s">
        <v>99</v>
      </c>
      <c r="D360" t="s">
        <v>114</v>
      </c>
      <c r="E360" t="s">
        <v>110</v>
      </c>
      <c r="F360">
        <v>403</v>
      </c>
      <c r="G360">
        <v>2035</v>
      </c>
      <c r="H360">
        <v>1</v>
      </c>
      <c r="I360">
        <v>2</v>
      </c>
    </row>
    <row r="361" spans="1:9" x14ac:dyDescent="0.35">
      <c r="A361" t="str">
        <f t="shared" si="5"/>
        <v>DAco2_emissionS1203512</v>
      </c>
      <c r="C361" t="s">
        <v>99</v>
      </c>
      <c r="D361" t="s">
        <v>204</v>
      </c>
      <c r="E361" t="s">
        <v>110</v>
      </c>
      <c r="F361">
        <v>17861.304232809689</v>
      </c>
      <c r="G361">
        <v>2035</v>
      </c>
      <c r="H361">
        <v>1</v>
      </c>
      <c r="I361">
        <v>2</v>
      </c>
    </row>
    <row r="362" spans="1:9" x14ac:dyDescent="0.35">
      <c r="A362" t="str">
        <f t="shared" si="5"/>
        <v>fcrincomeS1203512</v>
      </c>
      <c r="B362" t="s">
        <v>95</v>
      </c>
      <c r="C362" t="s">
        <v>102</v>
      </c>
      <c r="D362" t="s">
        <v>101</v>
      </c>
      <c r="E362" t="s">
        <v>110</v>
      </c>
      <c r="F362">
        <v>0</v>
      </c>
      <c r="G362">
        <v>2035</v>
      </c>
      <c r="H362">
        <v>1</v>
      </c>
      <c r="I362">
        <v>2</v>
      </c>
    </row>
    <row r="363" spans="1:9" x14ac:dyDescent="0.35">
      <c r="A363" t="str">
        <f t="shared" si="5"/>
        <v>fcractivation_hoursS1203512</v>
      </c>
      <c r="B363" t="s">
        <v>95</v>
      </c>
      <c r="C363" t="s">
        <v>102</v>
      </c>
      <c r="D363" t="s">
        <v>115</v>
      </c>
      <c r="E363" t="s">
        <v>110</v>
      </c>
      <c r="F363">
        <v>0</v>
      </c>
      <c r="G363">
        <v>2035</v>
      </c>
      <c r="H363">
        <v>1</v>
      </c>
      <c r="I363">
        <v>2</v>
      </c>
    </row>
    <row r="364" spans="1:9" x14ac:dyDescent="0.35">
      <c r="A364" t="str">
        <f t="shared" si="5"/>
        <v>afrrincomeS1203512</v>
      </c>
      <c r="C364" t="s">
        <v>103</v>
      </c>
      <c r="D364" t="s">
        <v>101</v>
      </c>
      <c r="E364" t="s">
        <v>110</v>
      </c>
      <c r="F364">
        <v>28284.64173850523</v>
      </c>
      <c r="G364">
        <v>2035</v>
      </c>
      <c r="H364">
        <v>1</v>
      </c>
      <c r="I364">
        <v>2</v>
      </c>
    </row>
    <row r="365" spans="1:9" x14ac:dyDescent="0.35">
      <c r="A365" t="str">
        <f t="shared" si="5"/>
        <v>afrractivation_hoursS1203512</v>
      </c>
      <c r="C365" t="s">
        <v>103</v>
      </c>
      <c r="D365" t="s">
        <v>115</v>
      </c>
      <c r="E365" t="s">
        <v>110</v>
      </c>
      <c r="F365">
        <v>8560</v>
      </c>
      <c r="G365">
        <v>2035</v>
      </c>
      <c r="H365">
        <v>1</v>
      </c>
      <c r="I365">
        <v>2</v>
      </c>
    </row>
    <row r="366" spans="1:9" x14ac:dyDescent="0.35">
      <c r="A366" t="str">
        <f t="shared" si="5"/>
        <v>networkturpe_power_costS1203612</v>
      </c>
      <c r="C366" t="s">
        <v>96</v>
      </c>
      <c r="D366" t="s">
        <v>97</v>
      </c>
      <c r="E366" t="s">
        <v>110</v>
      </c>
      <c r="F366">
        <v>2294.5708640066969</v>
      </c>
      <c r="G366">
        <v>2036</v>
      </c>
      <c r="H366">
        <v>1</v>
      </c>
      <c r="I366">
        <v>2</v>
      </c>
    </row>
    <row r="367" spans="1:9" x14ac:dyDescent="0.35">
      <c r="A367" t="str">
        <f t="shared" si="5"/>
        <v>networkturpe_energy_costS1203612</v>
      </c>
      <c r="C367" t="s">
        <v>96</v>
      </c>
      <c r="D367" t="s">
        <v>98</v>
      </c>
      <c r="E367" t="s">
        <v>110</v>
      </c>
      <c r="F367">
        <v>3867.514149280159</v>
      </c>
      <c r="G367">
        <v>2036</v>
      </c>
      <c r="H367">
        <v>1</v>
      </c>
      <c r="I367">
        <v>2</v>
      </c>
    </row>
    <row r="368" spans="1:9" x14ac:dyDescent="0.35">
      <c r="A368" t="str">
        <f t="shared" si="5"/>
        <v>DAcostS1203612</v>
      </c>
      <c r="C368" t="s">
        <v>99</v>
      </c>
      <c r="D368" t="s">
        <v>100</v>
      </c>
      <c r="E368" t="s">
        <v>110</v>
      </c>
      <c r="F368">
        <v>11041.094985745871</v>
      </c>
      <c r="G368">
        <v>2036</v>
      </c>
      <c r="H368">
        <v>1</v>
      </c>
      <c r="I368">
        <v>2</v>
      </c>
    </row>
    <row r="369" spans="1:9" x14ac:dyDescent="0.35">
      <c r="A369" t="str">
        <f t="shared" si="5"/>
        <v>DAincomeS1203612</v>
      </c>
      <c r="C369" t="s">
        <v>99</v>
      </c>
      <c r="D369" t="s">
        <v>101</v>
      </c>
      <c r="E369" t="s">
        <v>110</v>
      </c>
      <c r="F369">
        <v>21571.745499774261</v>
      </c>
      <c r="G369">
        <v>2036</v>
      </c>
      <c r="H369">
        <v>1</v>
      </c>
      <c r="I369">
        <v>2</v>
      </c>
    </row>
    <row r="370" spans="1:9" x14ac:dyDescent="0.35">
      <c r="A370" t="str">
        <f t="shared" si="5"/>
        <v>DAenergy_boughtS1203612</v>
      </c>
      <c r="C370" t="s">
        <v>99</v>
      </c>
      <c r="D370" t="s">
        <v>111</v>
      </c>
      <c r="E370" t="s">
        <v>110</v>
      </c>
      <c r="F370">
        <v>246.57018051896941</v>
      </c>
      <c r="G370">
        <v>2036</v>
      </c>
      <c r="H370">
        <v>1</v>
      </c>
      <c r="I370">
        <v>2</v>
      </c>
    </row>
    <row r="371" spans="1:9" x14ac:dyDescent="0.35">
      <c r="A371" t="str">
        <f t="shared" si="5"/>
        <v>DAenergy_soldS1203612</v>
      </c>
      <c r="C371" t="s">
        <v>99</v>
      </c>
      <c r="D371" t="s">
        <v>112</v>
      </c>
      <c r="E371" t="s">
        <v>110</v>
      </c>
      <c r="F371">
        <v>196.83303864207349</v>
      </c>
      <c r="G371">
        <v>2036</v>
      </c>
      <c r="H371">
        <v>1</v>
      </c>
      <c r="I371">
        <v>2</v>
      </c>
    </row>
    <row r="372" spans="1:9" x14ac:dyDescent="0.35">
      <c r="A372" t="str">
        <f t="shared" si="5"/>
        <v>DAhours_boughtS1203612</v>
      </c>
      <c r="C372" t="s">
        <v>99</v>
      </c>
      <c r="D372" t="s">
        <v>113</v>
      </c>
      <c r="E372" t="s">
        <v>110</v>
      </c>
      <c r="F372">
        <v>1865</v>
      </c>
      <c r="G372">
        <v>2036</v>
      </c>
      <c r="H372">
        <v>1</v>
      </c>
      <c r="I372">
        <v>2</v>
      </c>
    </row>
    <row r="373" spans="1:9" x14ac:dyDescent="0.35">
      <c r="A373" t="str">
        <f t="shared" si="5"/>
        <v>DAhours_soldS1203612</v>
      </c>
      <c r="C373" t="s">
        <v>99</v>
      </c>
      <c r="D373" t="s">
        <v>114</v>
      </c>
      <c r="E373" t="s">
        <v>110</v>
      </c>
      <c r="F373">
        <v>415</v>
      </c>
      <c r="G373">
        <v>2036</v>
      </c>
      <c r="H373">
        <v>1</v>
      </c>
      <c r="I373">
        <v>2</v>
      </c>
    </row>
    <row r="374" spans="1:9" x14ac:dyDescent="0.35">
      <c r="A374" t="str">
        <f t="shared" si="5"/>
        <v>DAco2_emissionS1203612</v>
      </c>
      <c r="B374" t="s">
        <v>95</v>
      </c>
      <c r="C374" t="s">
        <v>99</v>
      </c>
      <c r="D374" t="s">
        <v>204</v>
      </c>
      <c r="E374" t="s">
        <v>110</v>
      </c>
      <c r="F374">
        <v>17259.912636328041</v>
      </c>
      <c r="G374">
        <v>2036</v>
      </c>
      <c r="H374">
        <v>1</v>
      </c>
      <c r="I374">
        <v>2</v>
      </c>
    </row>
    <row r="375" spans="1:9" x14ac:dyDescent="0.35">
      <c r="A375" t="str">
        <f t="shared" si="5"/>
        <v>fcrincomeS1203612</v>
      </c>
      <c r="B375" t="s">
        <v>95</v>
      </c>
      <c r="C375" t="s">
        <v>102</v>
      </c>
      <c r="D375" t="s">
        <v>101</v>
      </c>
      <c r="E375" t="s">
        <v>110</v>
      </c>
      <c r="F375">
        <v>0.68518074364145409</v>
      </c>
      <c r="G375">
        <v>2036</v>
      </c>
      <c r="H375">
        <v>1</v>
      </c>
      <c r="I375">
        <v>2</v>
      </c>
    </row>
    <row r="376" spans="1:9" x14ac:dyDescent="0.35">
      <c r="A376" t="str">
        <f t="shared" si="5"/>
        <v>fcractivation_hoursS1203612</v>
      </c>
      <c r="C376" t="s">
        <v>102</v>
      </c>
      <c r="D376" t="s">
        <v>115</v>
      </c>
      <c r="E376" t="s">
        <v>110</v>
      </c>
      <c r="F376">
        <v>4</v>
      </c>
      <c r="G376">
        <v>2036</v>
      </c>
      <c r="H376">
        <v>1</v>
      </c>
      <c r="I376">
        <v>2</v>
      </c>
    </row>
    <row r="377" spans="1:9" x14ac:dyDescent="0.35">
      <c r="A377" t="str">
        <f t="shared" si="5"/>
        <v>afrrincomeS1203612</v>
      </c>
      <c r="C377" t="s">
        <v>103</v>
      </c>
      <c r="D377" t="s">
        <v>101</v>
      </c>
      <c r="E377" t="s">
        <v>110</v>
      </c>
      <c r="F377">
        <v>26802.38752203968</v>
      </c>
      <c r="G377">
        <v>2036</v>
      </c>
      <c r="H377">
        <v>1</v>
      </c>
      <c r="I377">
        <v>2</v>
      </c>
    </row>
    <row r="378" spans="1:9" x14ac:dyDescent="0.35">
      <c r="A378" t="str">
        <f t="shared" si="5"/>
        <v>afrractivation_hoursS1203612</v>
      </c>
      <c r="C378" t="s">
        <v>103</v>
      </c>
      <c r="D378" t="s">
        <v>115</v>
      </c>
      <c r="E378" t="s">
        <v>110</v>
      </c>
      <c r="F378">
        <v>8500</v>
      </c>
      <c r="G378">
        <v>2036</v>
      </c>
      <c r="H378">
        <v>1</v>
      </c>
      <c r="I378">
        <v>2</v>
      </c>
    </row>
    <row r="379" spans="1:9" x14ac:dyDescent="0.35">
      <c r="A379" t="str">
        <f t="shared" si="5"/>
        <v>networkturpe_power_costS1203712</v>
      </c>
      <c r="C379" t="s">
        <v>96</v>
      </c>
      <c r="D379" t="s">
        <v>97</v>
      </c>
      <c r="E379" t="s">
        <v>110</v>
      </c>
      <c r="F379">
        <v>2223.003809008118</v>
      </c>
      <c r="G379">
        <v>2037</v>
      </c>
      <c r="H379">
        <v>1</v>
      </c>
      <c r="I379">
        <v>2</v>
      </c>
    </row>
    <row r="380" spans="1:9" x14ac:dyDescent="0.35">
      <c r="A380" t="str">
        <f t="shared" si="5"/>
        <v>networkturpe_energy_costS1203712</v>
      </c>
      <c r="C380" t="s">
        <v>96</v>
      </c>
      <c r="D380" t="s">
        <v>98</v>
      </c>
      <c r="E380" t="s">
        <v>110</v>
      </c>
      <c r="F380">
        <v>3448.2732673051391</v>
      </c>
      <c r="G380">
        <v>2037</v>
      </c>
      <c r="H380">
        <v>1</v>
      </c>
      <c r="I380">
        <v>2</v>
      </c>
    </row>
    <row r="381" spans="1:9" x14ac:dyDescent="0.35">
      <c r="A381" t="str">
        <f t="shared" si="5"/>
        <v>DAcostS1203712</v>
      </c>
      <c r="C381" t="s">
        <v>99</v>
      </c>
      <c r="D381" t="s">
        <v>100</v>
      </c>
      <c r="E381" t="s">
        <v>110</v>
      </c>
      <c r="F381">
        <v>9434.8508333436585</v>
      </c>
      <c r="G381">
        <v>2037</v>
      </c>
      <c r="H381">
        <v>1</v>
      </c>
      <c r="I381">
        <v>2</v>
      </c>
    </row>
    <row r="382" spans="1:9" x14ac:dyDescent="0.35">
      <c r="A382" t="str">
        <f t="shared" si="5"/>
        <v>DAincomeS1203712</v>
      </c>
      <c r="C382" t="s">
        <v>99</v>
      </c>
      <c r="D382" t="s">
        <v>101</v>
      </c>
      <c r="E382" t="s">
        <v>110</v>
      </c>
      <c r="F382">
        <v>18773.068503151109</v>
      </c>
      <c r="G382">
        <v>2037</v>
      </c>
      <c r="H382">
        <v>1</v>
      </c>
      <c r="I382">
        <v>2</v>
      </c>
    </row>
    <row r="383" spans="1:9" x14ac:dyDescent="0.35">
      <c r="A383" t="str">
        <f t="shared" si="5"/>
        <v>DAenergy_boughtS1203712</v>
      </c>
      <c r="C383" t="s">
        <v>99</v>
      </c>
      <c r="D383" t="s">
        <v>111</v>
      </c>
      <c r="E383" t="s">
        <v>110</v>
      </c>
      <c r="F383">
        <v>219.76491882931401</v>
      </c>
      <c r="G383">
        <v>2037</v>
      </c>
      <c r="H383">
        <v>1</v>
      </c>
      <c r="I383">
        <v>2</v>
      </c>
    </row>
    <row r="384" spans="1:9" x14ac:dyDescent="0.35">
      <c r="A384" t="str">
        <f t="shared" si="5"/>
        <v>DAenergy_soldS1203712</v>
      </c>
      <c r="C384" t="s">
        <v>99</v>
      </c>
      <c r="D384" t="s">
        <v>112</v>
      </c>
      <c r="E384" t="s">
        <v>110</v>
      </c>
      <c r="F384">
        <v>175.13209606966291</v>
      </c>
      <c r="G384">
        <v>2037</v>
      </c>
      <c r="H384">
        <v>1</v>
      </c>
      <c r="I384">
        <v>2</v>
      </c>
    </row>
    <row r="385" spans="1:9" x14ac:dyDescent="0.35">
      <c r="A385" t="str">
        <f t="shared" si="5"/>
        <v>DAhours_boughtS1203712</v>
      </c>
      <c r="C385" t="s">
        <v>99</v>
      </c>
      <c r="D385" t="s">
        <v>113</v>
      </c>
      <c r="E385" t="s">
        <v>110</v>
      </c>
      <c r="F385">
        <v>1894</v>
      </c>
      <c r="G385">
        <v>2037</v>
      </c>
      <c r="H385">
        <v>1</v>
      </c>
      <c r="I385">
        <v>2</v>
      </c>
    </row>
    <row r="386" spans="1:9" x14ac:dyDescent="0.35">
      <c r="A386" t="str">
        <f t="shared" si="5"/>
        <v>DAhours_soldS1203712</v>
      </c>
      <c r="B386" t="s">
        <v>95</v>
      </c>
      <c r="C386" t="s">
        <v>99</v>
      </c>
      <c r="D386" t="s">
        <v>114</v>
      </c>
      <c r="E386" t="s">
        <v>110</v>
      </c>
      <c r="F386">
        <v>388</v>
      </c>
      <c r="G386">
        <v>2037</v>
      </c>
      <c r="H386">
        <v>1</v>
      </c>
      <c r="I386">
        <v>2</v>
      </c>
    </row>
    <row r="387" spans="1:9" x14ac:dyDescent="0.35">
      <c r="A387" t="str">
        <f t="shared" ref="A387:A450" si="6">C387&amp;D387&amp;E387&amp;G387&amp;H387&amp;I387</f>
        <v>DAco2_emissionS1203712</v>
      </c>
      <c r="B387" t="s">
        <v>95</v>
      </c>
      <c r="C387" t="s">
        <v>99</v>
      </c>
      <c r="D387" t="s">
        <v>204</v>
      </c>
      <c r="E387" t="s">
        <v>110</v>
      </c>
      <c r="F387">
        <v>15383.54431805179</v>
      </c>
      <c r="G387">
        <v>2037</v>
      </c>
      <c r="H387">
        <v>1</v>
      </c>
      <c r="I387">
        <v>2</v>
      </c>
    </row>
    <row r="388" spans="1:9" x14ac:dyDescent="0.35">
      <c r="A388" t="str">
        <f t="shared" si="6"/>
        <v>fcrincomeS1203712</v>
      </c>
      <c r="C388" t="s">
        <v>102</v>
      </c>
      <c r="D388" t="s">
        <v>101</v>
      </c>
      <c r="E388" t="s">
        <v>110</v>
      </c>
      <c r="F388">
        <v>0.66157113295511205</v>
      </c>
      <c r="G388">
        <v>2037</v>
      </c>
      <c r="H388">
        <v>1</v>
      </c>
      <c r="I388">
        <v>2</v>
      </c>
    </row>
    <row r="389" spans="1:9" x14ac:dyDescent="0.35">
      <c r="A389" t="str">
        <f t="shared" si="6"/>
        <v>fcractivation_hoursS1203712</v>
      </c>
      <c r="C389" t="s">
        <v>102</v>
      </c>
      <c r="D389" t="s">
        <v>115</v>
      </c>
      <c r="E389" t="s">
        <v>110</v>
      </c>
      <c r="F389">
        <v>8</v>
      </c>
      <c r="G389">
        <v>2037</v>
      </c>
      <c r="H389">
        <v>1</v>
      </c>
      <c r="I389">
        <v>2</v>
      </c>
    </row>
    <row r="390" spans="1:9" x14ac:dyDescent="0.35">
      <c r="A390" t="str">
        <f t="shared" si="6"/>
        <v>afrrincomeS1203712</v>
      </c>
      <c r="C390" t="s">
        <v>103</v>
      </c>
      <c r="D390" t="s">
        <v>101</v>
      </c>
      <c r="E390" t="s">
        <v>110</v>
      </c>
      <c r="F390">
        <v>27860.27981063164</v>
      </c>
      <c r="G390">
        <v>2037</v>
      </c>
      <c r="H390">
        <v>1</v>
      </c>
      <c r="I390">
        <v>2</v>
      </c>
    </row>
    <row r="391" spans="1:9" x14ac:dyDescent="0.35">
      <c r="A391" t="str">
        <f t="shared" si="6"/>
        <v>afrractivation_hoursS1203712</v>
      </c>
      <c r="C391" t="s">
        <v>103</v>
      </c>
      <c r="D391" t="s">
        <v>115</v>
      </c>
      <c r="E391" t="s">
        <v>110</v>
      </c>
      <c r="F391">
        <v>8555</v>
      </c>
      <c r="G391">
        <v>2037</v>
      </c>
      <c r="H391">
        <v>1</v>
      </c>
      <c r="I391">
        <v>2</v>
      </c>
    </row>
    <row r="392" spans="1:9" x14ac:dyDescent="0.35">
      <c r="A392" t="str">
        <f t="shared" si="6"/>
        <v>networkturpe_power_costS1203812</v>
      </c>
      <c r="C392" t="s">
        <v>96</v>
      </c>
      <c r="D392" t="s">
        <v>97</v>
      </c>
      <c r="E392" t="s">
        <v>110</v>
      </c>
      <c r="F392">
        <v>2160.8540575896682</v>
      </c>
      <c r="G392">
        <v>2038</v>
      </c>
      <c r="H392">
        <v>1</v>
      </c>
      <c r="I392">
        <v>2</v>
      </c>
    </row>
    <row r="393" spans="1:9" x14ac:dyDescent="0.35">
      <c r="A393" t="str">
        <f t="shared" si="6"/>
        <v>networkturpe_energy_costS1203812</v>
      </c>
      <c r="C393" t="s">
        <v>96</v>
      </c>
      <c r="D393" t="s">
        <v>98</v>
      </c>
      <c r="E393" t="s">
        <v>110</v>
      </c>
      <c r="F393">
        <v>3546.3363537776481</v>
      </c>
      <c r="G393">
        <v>2038</v>
      </c>
      <c r="H393">
        <v>1</v>
      </c>
      <c r="I393">
        <v>2</v>
      </c>
    </row>
    <row r="394" spans="1:9" x14ac:dyDescent="0.35">
      <c r="A394" t="str">
        <f t="shared" si="6"/>
        <v>DAcostS1203812</v>
      </c>
      <c r="C394" t="s">
        <v>99</v>
      </c>
      <c r="D394" t="s">
        <v>100</v>
      </c>
      <c r="E394" t="s">
        <v>110</v>
      </c>
      <c r="F394">
        <v>9113.2863265800297</v>
      </c>
      <c r="G394">
        <v>2038</v>
      </c>
      <c r="H394">
        <v>1</v>
      </c>
      <c r="I394">
        <v>2</v>
      </c>
    </row>
    <row r="395" spans="1:9" x14ac:dyDescent="0.35">
      <c r="A395" t="str">
        <f t="shared" si="6"/>
        <v>DAincomeS1203812</v>
      </c>
      <c r="C395" t="s">
        <v>99</v>
      </c>
      <c r="D395" t="s">
        <v>101</v>
      </c>
      <c r="E395" t="s">
        <v>110</v>
      </c>
      <c r="F395">
        <v>19028.49460114069</v>
      </c>
      <c r="G395">
        <v>2038</v>
      </c>
      <c r="H395">
        <v>1</v>
      </c>
      <c r="I395">
        <v>2</v>
      </c>
    </row>
    <row r="396" spans="1:9" x14ac:dyDescent="0.35">
      <c r="A396" t="str">
        <f t="shared" si="6"/>
        <v>DAenergy_boughtS1203812</v>
      </c>
      <c r="C396" t="s">
        <v>99</v>
      </c>
      <c r="D396" t="s">
        <v>111</v>
      </c>
      <c r="E396" t="s">
        <v>110</v>
      </c>
      <c r="F396">
        <v>221.8295572897066</v>
      </c>
      <c r="G396">
        <v>2038</v>
      </c>
      <c r="H396">
        <v>1</v>
      </c>
      <c r="I396">
        <v>2</v>
      </c>
    </row>
    <row r="397" spans="1:9" x14ac:dyDescent="0.35">
      <c r="A397" t="str">
        <f t="shared" si="6"/>
        <v>DAenergy_soldS1203812</v>
      </c>
      <c r="C397" t="s">
        <v>99</v>
      </c>
      <c r="D397" t="s">
        <v>112</v>
      </c>
      <c r="E397" t="s">
        <v>110</v>
      </c>
      <c r="F397">
        <v>176.88566253472681</v>
      </c>
      <c r="G397">
        <v>2038</v>
      </c>
      <c r="H397">
        <v>1</v>
      </c>
      <c r="I397">
        <v>2</v>
      </c>
    </row>
    <row r="398" spans="1:9" x14ac:dyDescent="0.35">
      <c r="A398" t="str">
        <f t="shared" si="6"/>
        <v>DAhours_boughtS1203812</v>
      </c>
      <c r="B398" t="s">
        <v>95</v>
      </c>
      <c r="C398" t="s">
        <v>99</v>
      </c>
      <c r="D398" t="s">
        <v>113</v>
      </c>
      <c r="E398" t="s">
        <v>110</v>
      </c>
      <c r="F398">
        <v>2003</v>
      </c>
      <c r="G398">
        <v>2038</v>
      </c>
      <c r="H398">
        <v>1</v>
      </c>
      <c r="I398">
        <v>2</v>
      </c>
    </row>
    <row r="399" spans="1:9" x14ac:dyDescent="0.35">
      <c r="A399" t="str">
        <f t="shared" si="6"/>
        <v>DAhours_soldS1203812</v>
      </c>
      <c r="B399" t="s">
        <v>95</v>
      </c>
      <c r="C399" t="s">
        <v>99</v>
      </c>
      <c r="D399" t="s">
        <v>114</v>
      </c>
      <c r="E399" t="s">
        <v>110</v>
      </c>
      <c r="F399">
        <v>391</v>
      </c>
      <c r="G399">
        <v>2038</v>
      </c>
      <c r="H399">
        <v>1</v>
      </c>
      <c r="I399">
        <v>2</v>
      </c>
    </row>
    <row r="400" spans="1:9" x14ac:dyDescent="0.35">
      <c r="A400" t="str">
        <f t="shared" si="6"/>
        <v>DAco2_emissionS1203812</v>
      </c>
      <c r="C400" t="s">
        <v>99</v>
      </c>
      <c r="D400" t="s">
        <v>204</v>
      </c>
      <c r="E400" t="s">
        <v>110</v>
      </c>
      <c r="F400">
        <v>15528.06901027952</v>
      </c>
      <c r="G400">
        <v>2038</v>
      </c>
      <c r="H400">
        <v>1</v>
      </c>
      <c r="I400">
        <v>2</v>
      </c>
    </row>
    <row r="401" spans="1:9" x14ac:dyDescent="0.35">
      <c r="A401" t="str">
        <f t="shared" si="6"/>
        <v>fcrincomeS1203812</v>
      </c>
      <c r="C401" t="s">
        <v>102</v>
      </c>
      <c r="D401" t="s">
        <v>101</v>
      </c>
      <c r="E401" t="s">
        <v>110</v>
      </c>
      <c r="F401">
        <v>0</v>
      </c>
      <c r="G401">
        <v>2038</v>
      </c>
      <c r="H401">
        <v>1</v>
      </c>
      <c r="I401">
        <v>2</v>
      </c>
    </row>
    <row r="402" spans="1:9" x14ac:dyDescent="0.35">
      <c r="A402" t="str">
        <f t="shared" si="6"/>
        <v>fcractivation_hoursS1203812</v>
      </c>
      <c r="C402" t="s">
        <v>102</v>
      </c>
      <c r="D402" t="s">
        <v>115</v>
      </c>
      <c r="E402" t="s">
        <v>110</v>
      </c>
      <c r="F402">
        <v>0</v>
      </c>
      <c r="G402">
        <v>2038</v>
      </c>
      <c r="H402">
        <v>1</v>
      </c>
      <c r="I402">
        <v>2</v>
      </c>
    </row>
    <row r="403" spans="1:9" x14ac:dyDescent="0.35">
      <c r="A403" t="str">
        <f t="shared" si="6"/>
        <v>afrrincomeS1203812</v>
      </c>
      <c r="C403" t="s">
        <v>103</v>
      </c>
      <c r="D403" t="s">
        <v>101</v>
      </c>
      <c r="E403" t="s">
        <v>110</v>
      </c>
      <c r="F403">
        <v>27915.294060360138</v>
      </c>
      <c r="G403">
        <v>2038</v>
      </c>
      <c r="H403">
        <v>1</v>
      </c>
      <c r="I403">
        <v>2</v>
      </c>
    </row>
    <row r="404" spans="1:9" x14ac:dyDescent="0.35">
      <c r="A404" t="str">
        <f t="shared" si="6"/>
        <v>afrractivation_hoursS1203812</v>
      </c>
      <c r="C404" t="s">
        <v>103</v>
      </c>
      <c r="D404" t="s">
        <v>115</v>
      </c>
      <c r="E404" t="s">
        <v>110</v>
      </c>
      <c r="F404">
        <v>8506</v>
      </c>
      <c r="G404">
        <v>2038</v>
      </c>
      <c r="H404">
        <v>1</v>
      </c>
      <c r="I404">
        <v>2</v>
      </c>
    </row>
    <row r="405" spans="1:9" x14ac:dyDescent="0.35">
      <c r="A405" t="str">
        <f t="shared" si="6"/>
        <v>networkturpe_power_costS1203912</v>
      </c>
      <c r="C405" t="s">
        <v>96</v>
      </c>
      <c r="D405" t="s">
        <v>97</v>
      </c>
      <c r="E405" t="s">
        <v>110</v>
      </c>
      <c r="F405">
        <v>2017.534707077486</v>
      </c>
      <c r="G405">
        <v>2039</v>
      </c>
      <c r="H405">
        <v>1</v>
      </c>
      <c r="I405">
        <v>2</v>
      </c>
    </row>
    <row r="406" spans="1:9" x14ac:dyDescent="0.35">
      <c r="A406" t="str">
        <f t="shared" si="6"/>
        <v>networkturpe_energy_costS1203912</v>
      </c>
      <c r="C406" t="s">
        <v>96</v>
      </c>
      <c r="D406" t="s">
        <v>98</v>
      </c>
      <c r="E406" t="s">
        <v>110</v>
      </c>
      <c r="F406">
        <v>2918.668621573117</v>
      </c>
      <c r="G406">
        <v>2039</v>
      </c>
      <c r="H406">
        <v>1</v>
      </c>
      <c r="I406">
        <v>2</v>
      </c>
    </row>
    <row r="407" spans="1:9" x14ac:dyDescent="0.35">
      <c r="A407" t="str">
        <f t="shared" si="6"/>
        <v>DAcostS1203912</v>
      </c>
      <c r="C407" t="s">
        <v>99</v>
      </c>
      <c r="D407" t="s">
        <v>100</v>
      </c>
      <c r="E407" t="s">
        <v>110</v>
      </c>
      <c r="F407">
        <v>7514.63261806643</v>
      </c>
      <c r="G407">
        <v>2039</v>
      </c>
      <c r="H407">
        <v>1</v>
      </c>
      <c r="I407">
        <v>2</v>
      </c>
    </row>
    <row r="408" spans="1:9" x14ac:dyDescent="0.35">
      <c r="A408" t="str">
        <f t="shared" si="6"/>
        <v>DAincomeS1203912</v>
      </c>
      <c r="C408" t="s">
        <v>99</v>
      </c>
      <c r="D408" t="s">
        <v>101</v>
      </c>
      <c r="E408" t="s">
        <v>110</v>
      </c>
      <c r="F408">
        <v>15844.211263594991</v>
      </c>
      <c r="G408">
        <v>2039</v>
      </c>
      <c r="H408">
        <v>1</v>
      </c>
      <c r="I408">
        <v>2</v>
      </c>
    </row>
    <row r="409" spans="1:9" x14ac:dyDescent="0.35">
      <c r="A409" t="str">
        <f t="shared" si="6"/>
        <v>DAenergy_boughtS1203912</v>
      </c>
      <c r="C409" t="s">
        <v>99</v>
      </c>
      <c r="D409" t="s">
        <v>111</v>
      </c>
      <c r="E409" t="s">
        <v>110</v>
      </c>
      <c r="F409">
        <v>186.7158754069666</v>
      </c>
      <c r="G409">
        <v>2039</v>
      </c>
      <c r="H409">
        <v>1</v>
      </c>
      <c r="I409">
        <v>2</v>
      </c>
    </row>
    <row r="410" spans="1:9" x14ac:dyDescent="0.35">
      <c r="A410" t="str">
        <f t="shared" si="6"/>
        <v>DAenergy_soldS1203912</v>
      </c>
      <c r="B410" t="s">
        <v>95</v>
      </c>
      <c r="C410" t="s">
        <v>99</v>
      </c>
      <c r="D410" t="s">
        <v>112</v>
      </c>
      <c r="E410" t="s">
        <v>110</v>
      </c>
      <c r="F410">
        <v>148.51680562431559</v>
      </c>
      <c r="G410">
        <v>2039</v>
      </c>
      <c r="H410">
        <v>1</v>
      </c>
      <c r="I410">
        <v>2</v>
      </c>
    </row>
    <row r="411" spans="1:9" x14ac:dyDescent="0.35">
      <c r="A411" t="str">
        <f t="shared" si="6"/>
        <v>DAhours_boughtS1203912</v>
      </c>
      <c r="B411" t="s">
        <v>95</v>
      </c>
      <c r="C411" t="s">
        <v>99</v>
      </c>
      <c r="D411" t="s">
        <v>113</v>
      </c>
      <c r="E411" t="s">
        <v>110</v>
      </c>
      <c r="F411">
        <v>1862</v>
      </c>
      <c r="G411">
        <v>2039</v>
      </c>
      <c r="H411">
        <v>1</v>
      </c>
      <c r="I411">
        <v>2</v>
      </c>
    </row>
    <row r="412" spans="1:9" x14ac:dyDescent="0.35">
      <c r="A412" t="str">
        <f t="shared" si="6"/>
        <v>DAhours_soldS1203912</v>
      </c>
      <c r="C412" t="s">
        <v>99</v>
      </c>
      <c r="D412" t="s">
        <v>114</v>
      </c>
      <c r="E412" t="s">
        <v>110</v>
      </c>
      <c r="F412">
        <v>383</v>
      </c>
      <c r="G412">
        <v>2039</v>
      </c>
      <c r="H412">
        <v>1</v>
      </c>
      <c r="I412">
        <v>2</v>
      </c>
    </row>
    <row r="413" spans="1:9" x14ac:dyDescent="0.35">
      <c r="A413" t="str">
        <f t="shared" si="6"/>
        <v>DAco2_emissionS1203912</v>
      </c>
      <c r="C413" t="s">
        <v>99</v>
      </c>
      <c r="D413" t="s">
        <v>204</v>
      </c>
      <c r="E413" t="s">
        <v>110</v>
      </c>
      <c r="F413">
        <v>13070.11127848774</v>
      </c>
      <c r="G413">
        <v>2039</v>
      </c>
      <c r="H413">
        <v>1</v>
      </c>
      <c r="I413">
        <v>2</v>
      </c>
    </row>
    <row r="414" spans="1:9" x14ac:dyDescent="0.35">
      <c r="A414" t="str">
        <f t="shared" si="6"/>
        <v>fcrincomeS1203912</v>
      </c>
      <c r="C414" t="s">
        <v>102</v>
      </c>
      <c r="D414" t="s">
        <v>101</v>
      </c>
      <c r="E414" t="s">
        <v>110</v>
      </c>
      <c r="F414">
        <v>0.65063893385547689</v>
      </c>
      <c r="G414">
        <v>2039</v>
      </c>
      <c r="H414">
        <v>1</v>
      </c>
      <c r="I414">
        <v>2</v>
      </c>
    </row>
    <row r="415" spans="1:9" x14ac:dyDescent="0.35">
      <c r="A415" t="str">
        <f t="shared" si="6"/>
        <v>fcractivation_hoursS1203912</v>
      </c>
      <c r="C415" t="s">
        <v>102</v>
      </c>
      <c r="D415" t="s">
        <v>115</v>
      </c>
      <c r="E415" t="s">
        <v>110</v>
      </c>
      <c r="F415">
        <v>4</v>
      </c>
      <c r="G415">
        <v>2039</v>
      </c>
      <c r="H415">
        <v>1</v>
      </c>
      <c r="I415">
        <v>2</v>
      </c>
    </row>
    <row r="416" spans="1:9" x14ac:dyDescent="0.35">
      <c r="A416" t="str">
        <f t="shared" si="6"/>
        <v>afrrincomeS1203912</v>
      </c>
      <c r="C416" t="s">
        <v>103</v>
      </c>
      <c r="D416" t="s">
        <v>101</v>
      </c>
      <c r="E416" t="s">
        <v>110</v>
      </c>
      <c r="F416">
        <v>28974.185911666009</v>
      </c>
      <c r="G416">
        <v>2039</v>
      </c>
      <c r="H416">
        <v>1</v>
      </c>
      <c r="I416">
        <v>2</v>
      </c>
    </row>
    <row r="417" spans="1:9" x14ac:dyDescent="0.35">
      <c r="A417" t="str">
        <f t="shared" si="6"/>
        <v>afrractivation_hoursS1203912</v>
      </c>
      <c r="C417" t="s">
        <v>103</v>
      </c>
      <c r="D417" t="s">
        <v>115</v>
      </c>
      <c r="E417" t="s">
        <v>110</v>
      </c>
      <c r="F417">
        <v>8542</v>
      </c>
      <c r="G417">
        <v>2039</v>
      </c>
      <c r="H417">
        <v>1</v>
      </c>
      <c r="I417">
        <v>2</v>
      </c>
    </row>
    <row r="418" spans="1:9" x14ac:dyDescent="0.35">
      <c r="A418" t="str">
        <f t="shared" si="6"/>
        <v>networkturpe_power_costS1204012</v>
      </c>
      <c r="C418" t="s">
        <v>96</v>
      </c>
      <c r="D418" t="s">
        <v>97</v>
      </c>
      <c r="E418" t="s">
        <v>110</v>
      </c>
      <c r="F418">
        <v>2032.8276231694949</v>
      </c>
      <c r="G418">
        <v>2040</v>
      </c>
      <c r="H418">
        <v>1</v>
      </c>
      <c r="I418">
        <v>2</v>
      </c>
    </row>
    <row r="419" spans="1:9" x14ac:dyDescent="0.35">
      <c r="A419" t="str">
        <f t="shared" si="6"/>
        <v>networkturpe_energy_costS1204012</v>
      </c>
      <c r="C419" t="s">
        <v>96</v>
      </c>
      <c r="D419" t="s">
        <v>98</v>
      </c>
      <c r="E419" t="s">
        <v>110</v>
      </c>
      <c r="F419">
        <v>3695.4203268945071</v>
      </c>
      <c r="G419">
        <v>2040</v>
      </c>
      <c r="H419">
        <v>1</v>
      </c>
      <c r="I419">
        <v>2</v>
      </c>
    </row>
    <row r="420" spans="1:9" x14ac:dyDescent="0.35">
      <c r="A420" t="str">
        <f t="shared" si="6"/>
        <v>DAcostS1204012</v>
      </c>
      <c r="C420" t="s">
        <v>99</v>
      </c>
      <c r="D420" t="s">
        <v>100</v>
      </c>
      <c r="E420" t="s">
        <v>110</v>
      </c>
      <c r="F420">
        <v>8687.1710770149093</v>
      </c>
      <c r="G420">
        <v>2040</v>
      </c>
      <c r="H420">
        <v>1</v>
      </c>
      <c r="I420">
        <v>2</v>
      </c>
    </row>
    <row r="421" spans="1:9" x14ac:dyDescent="0.35">
      <c r="A421" t="str">
        <f t="shared" si="6"/>
        <v>DAincomeS1204012</v>
      </c>
      <c r="C421" t="s">
        <v>99</v>
      </c>
      <c r="D421" t="s">
        <v>101</v>
      </c>
      <c r="E421" t="s">
        <v>110</v>
      </c>
      <c r="F421">
        <v>19249.110810594771</v>
      </c>
      <c r="G421">
        <v>2040</v>
      </c>
      <c r="H421">
        <v>1</v>
      </c>
      <c r="I421">
        <v>2</v>
      </c>
    </row>
    <row r="422" spans="1:9" x14ac:dyDescent="0.35">
      <c r="A422" t="str">
        <f t="shared" si="6"/>
        <v>DAenergy_boughtS1204012</v>
      </c>
      <c r="B422" t="s">
        <v>95</v>
      </c>
      <c r="C422" t="s">
        <v>99</v>
      </c>
      <c r="D422" t="s">
        <v>111</v>
      </c>
      <c r="E422" t="s">
        <v>110</v>
      </c>
      <c r="F422">
        <v>225.61987004101141</v>
      </c>
      <c r="G422">
        <v>2040</v>
      </c>
      <c r="H422">
        <v>1</v>
      </c>
      <c r="I422">
        <v>2</v>
      </c>
    </row>
    <row r="423" spans="1:9" x14ac:dyDescent="0.35">
      <c r="A423" t="str">
        <f t="shared" si="6"/>
        <v>DAenergy_soldS1204012</v>
      </c>
      <c r="B423" t="s">
        <v>95</v>
      </c>
      <c r="C423" t="s">
        <v>99</v>
      </c>
      <c r="D423" t="s">
        <v>112</v>
      </c>
      <c r="E423" t="s">
        <v>110</v>
      </c>
      <c r="F423">
        <v>180.07233080124431</v>
      </c>
      <c r="G423">
        <v>2040</v>
      </c>
      <c r="H423">
        <v>1</v>
      </c>
      <c r="I423">
        <v>2</v>
      </c>
    </row>
    <row r="424" spans="1:9" x14ac:dyDescent="0.35">
      <c r="A424" t="str">
        <f t="shared" si="6"/>
        <v>DAhours_boughtS1204012</v>
      </c>
      <c r="C424" t="s">
        <v>99</v>
      </c>
      <c r="D424" t="s">
        <v>113</v>
      </c>
      <c r="E424" t="s">
        <v>110</v>
      </c>
      <c r="F424">
        <v>1980</v>
      </c>
      <c r="G424">
        <v>2040</v>
      </c>
      <c r="H424">
        <v>1</v>
      </c>
      <c r="I424">
        <v>2</v>
      </c>
    </row>
    <row r="425" spans="1:9" x14ac:dyDescent="0.35">
      <c r="A425" t="str">
        <f t="shared" si="6"/>
        <v>DAhours_soldS1204012</v>
      </c>
      <c r="C425" t="s">
        <v>99</v>
      </c>
      <c r="D425" t="s">
        <v>114</v>
      </c>
      <c r="E425" t="s">
        <v>110</v>
      </c>
      <c r="F425">
        <v>411</v>
      </c>
      <c r="G425">
        <v>2040</v>
      </c>
      <c r="H425">
        <v>1</v>
      </c>
      <c r="I425">
        <v>2</v>
      </c>
    </row>
    <row r="426" spans="1:9" x14ac:dyDescent="0.35">
      <c r="A426" t="str">
        <f t="shared" si="6"/>
        <v>DAco2_emissionS1204012</v>
      </c>
      <c r="C426" t="s">
        <v>99</v>
      </c>
      <c r="D426" t="s">
        <v>204</v>
      </c>
      <c r="E426" t="s">
        <v>110</v>
      </c>
      <c r="F426">
        <v>15793.390902870609</v>
      </c>
      <c r="G426">
        <v>2040</v>
      </c>
      <c r="H426">
        <v>1</v>
      </c>
      <c r="I426">
        <v>2</v>
      </c>
    </row>
    <row r="427" spans="1:9" x14ac:dyDescent="0.35">
      <c r="A427" t="str">
        <f t="shared" si="6"/>
        <v>fcrincomeS1204012</v>
      </c>
      <c r="C427" t="s">
        <v>102</v>
      </c>
      <c r="D427" t="s">
        <v>101</v>
      </c>
      <c r="E427" t="s">
        <v>110</v>
      </c>
      <c r="F427">
        <v>4.8918169098412463</v>
      </c>
      <c r="G427">
        <v>2040</v>
      </c>
      <c r="H427">
        <v>1</v>
      </c>
      <c r="I427">
        <v>2</v>
      </c>
    </row>
    <row r="428" spans="1:9" x14ac:dyDescent="0.35">
      <c r="A428" t="str">
        <f t="shared" si="6"/>
        <v>fcractivation_hoursS1204012</v>
      </c>
      <c r="C428" t="s">
        <v>102</v>
      </c>
      <c r="D428" t="s">
        <v>115</v>
      </c>
      <c r="E428" t="s">
        <v>110</v>
      </c>
      <c r="F428">
        <v>20</v>
      </c>
      <c r="G428">
        <v>2040</v>
      </c>
      <c r="H428">
        <v>1</v>
      </c>
      <c r="I428">
        <v>2</v>
      </c>
    </row>
    <row r="429" spans="1:9" x14ac:dyDescent="0.35">
      <c r="A429" t="str">
        <f t="shared" si="6"/>
        <v>afrrincomeS1204012</v>
      </c>
      <c r="C429" t="s">
        <v>103</v>
      </c>
      <c r="D429" t="s">
        <v>101</v>
      </c>
      <c r="E429" t="s">
        <v>110</v>
      </c>
      <c r="F429">
        <v>20726.7478475346</v>
      </c>
      <c r="G429">
        <v>2040</v>
      </c>
      <c r="H429">
        <v>1</v>
      </c>
      <c r="I429">
        <v>2</v>
      </c>
    </row>
    <row r="430" spans="1:9" x14ac:dyDescent="0.35">
      <c r="A430" t="str">
        <f t="shared" si="6"/>
        <v>afrractivation_hoursS1204012</v>
      </c>
      <c r="C430" t="s">
        <v>103</v>
      </c>
      <c r="D430" t="s">
        <v>115</v>
      </c>
      <c r="E430" t="s">
        <v>110</v>
      </c>
      <c r="F430">
        <v>8309</v>
      </c>
      <c r="G430">
        <v>2040</v>
      </c>
      <c r="H430">
        <v>1</v>
      </c>
      <c r="I430">
        <v>2</v>
      </c>
    </row>
    <row r="431" spans="1:9" x14ac:dyDescent="0.35">
      <c r="A431" t="str">
        <f t="shared" si="6"/>
        <v>networkturpe_power_costS1204112</v>
      </c>
      <c r="C431" t="s">
        <v>96</v>
      </c>
      <c r="D431" t="s">
        <v>97</v>
      </c>
      <c r="E431" t="s">
        <v>110</v>
      </c>
      <c r="F431">
        <v>1978.240608978243</v>
      </c>
      <c r="G431">
        <v>2041</v>
      </c>
      <c r="H431">
        <v>1</v>
      </c>
      <c r="I431">
        <v>2</v>
      </c>
    </row>
    <row r="432" spans="1:9" x14ac:dyDescent="0.35">
      <c r="A432" t="str">
        <f t="shared" si="6"/>
        <v>networkturpe_energy_costS1204112</v>
      </c>
      <c r="C432" t="s">
        <v>96</v>
      </c>
      <c r="D432" t="s">
        <v>98</v>
      </c>
      <c r="E432" t="s">
        <v>110</v>
      </c>
      <c r="F432">
        <v>3951.3235386850452</v>
      </c>
      <c r="G432">
        <v>2041</v>
      </c>
      <c r="H432">
        <v>1</v>
      </c>
      <c r="I432">
        <v>2</v>
      </c>
    </row>
    <row r="433" spans="1:9" x14ac:dyDescent="0.35">
      <c r="A433" t="str">
        <f t="shared" si="6"/>
        <v>DAcostS1204112</v>
      </c>
      <c r="C433" t="s">
        <v>99</v>
      </c>
      <c r="D433" t="s">
        <v>100</v>
      </c>
      <c r="E433" t="s">
        <v>110</v>
      </c>
      <c r="F433">
        <v>9244.0221478893782</v>
      </c>
      <c r="G433">
        <v>2041</v>
      </c>
      <c r="H433">
        <v>1</v>
      </c>
      <c r="I433">
        <v>2</v>
      </c>
    </row>
    <row r="434" spans="1:9" x14ac:dyDescent="0.35">
      <c r="A434" t="str">
        <f t="shared" si="6"/>
        <v>DAincomeS1204112</v>
      </c>
      <c r="B434" t="s">
        <v>95</v>
      </c>
      <c r="C434" t="s">
        <v>99</v>
      </c>
      <c r="D434" t="s">
        <v>101</v>
      </c>
      <c r="E434" t="s">
        <v>110</v>
      </c>
      <c r="F434">
        <v>20221.921174506639</v>
      </c>
      <c r="G434">
        <v>2041</v>
      </c>
      <c r="H434">
        <v>1</v>
      </c>
      <c r="I434">
        <v>2</v>
      </c>
    </row>
    <row r="435" spans="1:9" x14ac:dyDescent="0.35">
      <c r="A435" t="str">
        <f t="shared" si="6"/>
        <v>DAenergy_boughtS1204112</v>
      </c>
      <c r="B435" t="s">
        <v>95</v>
      </c>
      <c r="C435" t="s">
        <v>99</v>
      </c>
      <c r="D435" t="s">
        <v>111</v>
      </c>
      <c r="E435" t="s">
        <v>110</v>
      </c>
      <c r="F435">
        <v>237.6609453328004</v>
      </c>
      <c r="G435">
        <v>2041</v>
      </c>
      <c r="H435">
        <v>1</v>
      </c>
      <c r="I435">
        <v>2</v>
      </c>
    </row>
    <row r="436" spans="1:9" x14ac:dyDescent="0.35">
      <c r="A436" t="str">
        <f t="shared" si="6"/>
        <v>DAenergy_soldS1204112</v>
      </c>
      <c r="C436" t="s">
        <v>99</v>
      </c>
      <c r="D436" t="s">
        <v>112</v>
      </c>
      <c r="E436" t="s">
        <v>110</v>
      </c>
      <c r="F436">
        <v>189.88658202948869</v>
      </c>
      <c r="G436">
        <v>2041</v>
      </c>
      <c r="H436">
        <v>1</v>
      </c>
      <c r="I436">
        <v>2</v>
      </c>
    </row>
    <row r="437" spans="1:9" x14ac:dyDescent="0.35">
      <c r="A437" t="str">
        <f t="shared" si="6"/>
        <v>DAhours_boughtS1204112</v>
      </c>
      <c r="C437" t="s">
        <v>99</v>
      </c>
      <c r="D437" t="s">
        <v>113</v>
      </c>
      <c r="E437" t="s">
        <v>110</v>
      </c>
      <c r="F437">
        <v>1838</v>
      </c>
      <c r="G437">
        <v>2041</v>
      </c>
      <c r="H437">
        <v>1</v>
      </c>
      <c r="I437">
        <v>2</v>
      </c>
    </row>
    <row r="438" spans="1:9" x14ac:dyDescent="0.35">
      <c r="A438" t="str">
        <f t="shared" si="6"/>
        <v>DAhours_soldS1204112</v>
      </c>
      <c r="C438" t="s">
        <v>99</v>
      </c>
      <c r="D438" t="s">
        <v>114</v>
      </c>
      <c r="E438" t="s">
        <v>110</v>
      </c>
      <c r="F438">
        <v>452</v>
      </c>
      <c r="G438">
        <v>2041</v>
      </c>
      <c r="H438">
        <v>1</v>
      </c>
      <c r="I438">
        <v>2</v>
      </c>
    </row>
    <row r="439" spans="1:9" x14ac:dyDescent="0.35">
      <c r="A439" t="str">
        <f t="shared" si="6"/>
        <v>DAco2_emissionS1204112</v>
      </c>
      <c r="C439" t="s">
        <v>99</v>
      </c>
      <c r="D439" t="s">
        <v>204</v>
      </c>
      <c r="E439" t="s">
        <v>110</v>
      </c>
      <c r="F439">
        <v>16636.266173296241</v>
      </c>
      <c r="G439">
        <v>2041</v>
      </c>
      <c r="H439">
        <v>1</v>
      </c>
      <c r="I439">
        <v>2</v>
      </c>
    </row>
    <row r="440" spans="1:9" x14ac:dyDescent="0.35">
      <c r="A440" t="str">
        <f t="shared" si="6"/>
        <v>fcrincomeS1204112</v>
      </c>
      <c r="C440" t="s">
        <v>102</v>
      </c>
      <c r="D440" t="s">
        <v>101</v>
      </c>
      <c r="E440" t="s">
        <v>110</v>
      </c>
      <c r="F440">
        <v>5.6386900345201081</v>
      </c>
      <c r="G440">
        <v>2041</v>
      </c>
      <c r="H440">
        <v>1</v>
      </c>
      <c r="I440">
        <v>2</v>
      </c>
    </row>
    <row r="441" spans="1:9" x14ac:dyDescent="0.35">
      <c r="A441" t="str">
        <f t="shared" si="6"/>
        <v>fcractivation_hoursS1204112</v>
      </c>
      <c r="C441" t="s">
        <v>102</v>
      </c>
      <c r="D441" t="s">
        <v>115</v>
      </c>
      <c r="E441" t="s">
        <v>110</v>
      </c>
      <c r="F441">
        <v>32</v>
      </c>
      <c r="G441">
        <v>2041</v>
      </c>
      <c r="H441">
        <v>1</v>
      </c>
      <c r="I441">
        <v>2</v>
      </c>
    </row>
    <row r="442" spans="1:9" x14ac:dyDescent="0.35">
      <c r="A442" t="str">
        <f t="shared" si="6"/>
        <v>afrrincomeS1204112</v>
      </c>
      <c r="C442" t="s">
        <v>103</v>
      </c>
      <c r="D442" t="s">
        <v>101</v>
      </c>
      <c r="E442" t="s">
        <v>110</v>
      </c>
      <c r="F442">
        <v>19309.360826696211</v>
      </c>
      <c r="G442">
        <v>2041</v>
      </c>
      <c r="H442">
        <v>1</v>
      </c>
      <c r="I442">
        <v>2</v>
      </c>
    </row>
    <row r="443" spans="1:9" x14ac:dyDescent="0.35">
      <c r="A443" t="str">
        <f t="shared" si="6"/>
        <v>afrractivation_hoursS1204112</v>
      </c>
      <c r="C443" t="s">
        <v>103</v>
      </c>
      <c r="D443" t="s">
        <v>115</v>
      </c>
      <c r="E443" t="s">
        <v>110</v>
      </c>
      <c r="F443">
        <v>8109</v>
      </c>
      <c r="G443">
        <v>2041</v>
      </c>
      <c r="H443">
        <v>1</v>
      </c>
      <c r="I443">
        <v>2</v>
      </c>
    </row>
    <row r="444" spans="1:9" x14ac:dyDescent="0.35">
      <c r="A444" t="str">
        <f t="shared" si="6"/>
        <v>networkturpe_power_costS1202521</v>
      </c>
      <c r="C444" t="s">
        <v>96</v>
      </c>
      <c r="D444" t="s">
        <v>97</v>
      </c>
      <c r="E444" t="s">
        <v>110</v>
      </c>
      <c r="F444">
        <v>2675.7623411333352</v>
      </c>
      <c r="G444">
        <v>2025</v>
      </c>
      <c r="H444">
        <v>2</v>
      </c>
      <c r="I444">
        <v>1</v>
      </c>
    </row>
    <row r="445" spans="1:9" x14ac:dyDescent="0.35">
      <c r="A445" t="str">
        <f t="shared" si="6"/>
        <v>networkturpe_energy_costS1202521</v>
      </c>
      <c r="C445" t="s">
        <v>96</v>
      </c>
      <c r="D445" t="s">
        <v>98</v>
      </c>
      <c r="E445" t="s">
        <v>110</v>
      </c>
      <c r="F445">
        <v>91.580914857598145</v>
      </c>
      <c r="G445">
        <v>2025</v>
      </c>
      <c r="H445">
        <v>2</v>
      </c>
      <c r="I445">
        <v>1</v>
      </c>
    </row>
    <row r="446" spans="1:9" x14ac:dyDescent="0.35">
      <c r="A446" t="str">
        <f t="shared" si="6"/>
        <v>DAcostS1202521</v>
      </c>
      <c r="B446" t="s">
        <v>95</v>
      </c>
      <c r="C446" t="s">
        <v>99</v>
      </c>
      <c r="D446" t="s">
        <v>100</v>
      </c>
      <c r="E446" t="s">
        <v>110</v>
      </c>
      <c r="F446">
        <v>842.97389577812817</v>
      </c>
      <c r="G446">
        <v>2025</v>
      </c>
      <c r="H446">
        <v>2</v>
      </c>
      <c r="I446">
        <v>1</v>
      </c>
    </row>
    <row r="447" spans="1:9" x14ac:dyDescent="0.35">
      <c r="A447" t="str">
        <f t="shared" si="6"/>
        <v>DAincomeS1202521</v>
      </c>
      <c r="B447" t="s">
        <v>95</v>
      </c>
      <c r="C447" t="s">
        <v>99</v>
      </c>
      <c r="D447" t="s">
        <v>101</v>
      </c>
      <c r="E447" t="s">
        <v>110</v>
      </c>
      <c r="F447">
        <v>0</v>
      </c>
      <c r="G447">
        <v>2025</v>
      </c>
      <c r="H447">
        <v>2</v>
      </c>
      <c r="I447">
        <v>1</v>
      </c>
    </row>
    <row r="448" spans="1:9" x14ac:dyDescent="0.35">
      <c r="A448" t="str">
        <f t="shared" si="6"/>
        <v>DAenergy_boughtS1202521</v>
      </c>
      <c r="C448" t="s">
        <v>99</v>
      </c>
      <c r="D448" t="s">
        <v>111</v>
      </c>
      <c r="E448" t="s">
        <v>110</v>
      </c>
      <c r="F448">
        <v>4.8665095710042188</v>
      </c>
      <c r="G448">
        <v>2025</v>
      </c>
      <c r="H448">
        <v>2</v>
      </c>
      <c r="I448">
        <v>1</v>
      </c>
    </row>
    <row r="449" spans="1:9" x14ac:dyDescent="0.35">
      <c r="A449" t="str">
        <f t="shared" si="6"/>
        <v>DAenergy_soldS1202521</v>
      </c>
      <c r="C449" t="s">
        <v>99</v>
      </c>
      <c r="D449" t="s">
        <v>112</v>
      </c>
      <c r="E449" t="s">
        <v>110</v>
      </c>
      <c r="F449">
        <v>0</v>
      </c>
      <c r="G449">
        <v>2025</v>
      </c>
      <c r="H449">
        <v>2</v>
      </c>
      <c r="I449">
        <v>1</v>
      </c>
    </row>
    <row r="450" spans="1:9" x14ac:dyDescent="0.35">
      <c r="A450" t="str">
        <f t="shared" si="6"/>
        <v>DAhours_boughtS1202521</v>
      </c>
      <c r="C450" t="s">
        <v>99</v>
      </c>
      <c r="D450" t="s">
        <v>113</v>
      </c>
      <c r="E450" t="s">
        <v>110</v>
      </c>
      <c r="F450">
        <v>6321</v>
      </c>
      <c r="G450">
        <v>2025</v>
      </c>
      <c r="H450">
        <v>2</v>
      </c>
      <c r="I450">
        <v>1</v>
      </c>
    </row>
    <row r="451" spans="1:9" x14ac:dyDescent="0.35">
      <c r="A451" t="str">
        <f t="shared" ref="A451:A514" si="7">C451&amp;D451&amp;E451&amp;G451&amp;H451&amp;I451</f>
        <v>DAhours_soldS1202521</v>
      </c>
      <c r="C451" t="s">
        <v>99</v>
      </c>
      <c r="D451" t="s">
        <v>114</v>
      </c>
      <c r="E451" t="s">
        <v>110</v>
      </c>
      <c r="F451">
        <v>0</v>
      </c>
      <c r="G451">
        <v>2025</v>
      </c>
      <c r="H451">
        <v>2</v>
      </c>
      <c r="I451">
        <v>1</v>
      </c>
    </row>
    <row r="452" spans="1:9" x14ac:dyDescent="0.35">
      <c r="A452" t="str">
        <f t="shared" si="7"/>
        <v>DAco2_emissionS1202521</v>
      </c>
      <c r="C452" t="s">
        <v>99</v>
      </c>
      <c r="D452" t="s">
        <v>204</v>
      </c>
      <c r="E452" t="s">
        <v>110</v>
      </c>
      <c r="F452">
        <v>340.65566997029327</v>
      </c>
      <c r="G452">
        <v>2025</v>
      </c>
      <c r="H452">
        <v>2</v>
      </c>
      <c r="I452">
        <v>1</v>
      </c>
    </row>
    <row r="453" spans="1:9" x14ac:dyDescent="0.35">
      <c r="A453" t="str">
        <f t="shared" si="7"/>
        <v>fcrincomeS1202521</v>
      </c>
      <c r="C453" t="s">
        <v>102</v>
      </c>
      <c r="D453" t="s">
        <v>101</v>
      </c>
      <c r="E453" t="s">
        <v>110</v>
      </c>
      <c r="F453">
        <v>0</v>
      </c>
      <c r="G453">
        <v>2025</v>
      </c>
      <c r="H453">
        <v>2</v>
      </c>
      <c r="I453">
        <v>1</v>
      </c>
    </row>
    <row r="454" spans="1:9" x14ac:dyDescent="0.35">
      <c r="A454" t="str">
        <f t="shared" si="7"/>
        <v>fcractivation_hoursS1202521</v>
      </c>
      <c r="C454" t="s">
        <v>102</v>
      </c>
      <c r="D454" t="s">
        <v>115</v>
      </c>
      <c r="E454" t="s">
        <v>110</v>
      </c>
      <c r="F454">
        <v>0</v>
      </c>
      <c r="G454">
        <v>2025</v>
      </c>
      <c r="H454">
        <v>2</v>
      </c>
      <c r="I454">
        <v>1</v>
      </c>
    </row>
    <row r="455" spans="1:9" x14ac:dyDescent="0.35">
      <c r="A455" t="str">
        <f t="shared" si="7"/>
        <v>afrrincomeS1202521</v>
      </c>
      <c r="C455" t="s">
        <v>103</v>
      </c>
      <c r="D455" t="s">
        <v>101</v>
      </c>
      <c r="E455" t="s">
        <v>110</v>
      </c>
      <c r="F455">
        <v>103540.5986671023</v>
      </c>
      <c r="G455">
        <v>2025</v>
      </c>
      <c r="H455">
        <v>2</v>
      </c>
      <c r="I455">
        <v>1</v>
      </c>
    </row>
    <row r="456" spans="1:9" x14ac:dyDescent="0.35">
      <c r="A456" t="str">
        <f t="shared" si="7"/>
        <v>afrractivation_hoursS1202521</v>
      </c>
      <c r="C456" t="s">
        <v>103</v>
      </c>
      <c r="D456" t="s">
        <v>115</v>
      </c>
      <c r="E456" t="s">
        <v>110</v>
      </c>
      <c r="F456">
        <v>8760</v>
      </c>
      <c r="G456">
        <v>2025</v>
      </c>
      <c r="H456">
        <v>2</v>
      </c>
      <c r="I456">
        <v>1</v>
      </c>
    </row>
    <row r="457" spans="1:9" x14ac:dyDescent="0.35">
      <c r="A457" t="str">
        <f t="shared" si="7"/>
        <v>networkturpe_power_costS1202621</v>
      </c>
      <c r="C457" t="s">
        <v>96</v>
      </c>
      <c r="D457" t="s">
        <v>97</v>
      </c>
      <c r="E457" t="s">
        <v>110</v>
      </c>
      <c r="F457">
        <v>2608.3314428021281</v>
      </c>
      <c r="G457">
        <v>2026</v>
      </c>
      <c r="H457">
        <v>2</v>
      </c>
      <c r="I457">
        <v>1</v>
      </c>
    </row>
    <row r="458" spans="1:9" x14ac:dyDescent="0.35">
      <c r="A458" t="str">
        <f t="shared" si="7"/>
        <v>networkturpe_energy_costS1202621</v>
      </c>
      <c r="B458" t="s">
        <v>95</v>
      </c>
      <c r="C458" t="s">
        <v>96</v>
      </c>
      <c r="D458" t="s">
        <v>98</v>
      </c>
      <c r="E458" t="s">
        <v>110</v>
      </c>
      <c r="F458">
        <v>89.516883984408238</v>
      </c>
      <c r="G458">
        <v>2026</v>
      </c>
      <c r="H458">
        <v>2</v>
      </c>
      <c r="I458">
        <v>1</v>
      </c>
    </row>
    <row r="459" spans="1:9" x14ac:dyDescent="0.35">
      <c r="A459" t="str">
        <f t="shared" si="7"/>
        <v>DAcostS1202621</v>
      </c>
      <c r="B459" t="s">
        <v>95</v>
      </c>
      <c r="C459" t="s">
        <v>99</v>
      </c>
      <c r="D459" t="s">
        <v>100</v>
      </c>
      <c r="E459" t="s">
        <v>110</v>
      </c>
      <c r="F459">
        <v>752.70466930274222</v>
      </c>
      <c r="G459">
        <v>2026</v>
      </c>
      <c r="H459">
        <v>2</v>
      </c>
      <c r="I459">
        <v>1</v>
      </c>
    </row>
    <row r="460" spans="1:9" x14ac:dyDescent="0.35">
      <c r="A460" t="str">
        <f t="shared" si="7"/>
        <v>DAincomeS1202621</v>
      </c>
      <c r="C460" t="s">
        <v>99</v>
      </c>
      <c r="D460" t="s">
        <v>101</v>
      </c>
      <c r="E460" t="s">
        <v>110</v>
      </c>
      <c r="F460">
        <v>0</v>
      </c>
      <c r="G460">
        <v>2026</v>
      </c>
      <c r="H460">
        <v>2</v>
      </c>
      <c r="I460">
        <v>1</v>
      </c>
    </row>
    <row r="461" spans="1:9" x14ac:dyDescent="0.35">
      <c r="A461" t="str">
        <f t="shared" si="7"/>
        <v>DAenergy_boughtS1202621</v>
      </c>
      <c r="C461" t="s">
        <v>99</v>
      </c>
      <c r="D461" t="s">
        <v>111</v>
      </c>
      <c r="E461" t="s">
        <v>110</v>
      </c>
      <c r="F461">
        <v>4.7447075144626183</v>
      </c>
      <c r="G461">
        <v>2026</v>
      </c>
      <c r="H461">
        <v>2</v>
      </c>
      <c r="I461">
        <v>1</v>
      </c>
    </row>
    <row r="462" spans="1:9" x14ac:dyDescent="0.35">
      <c r="A462" t="str">
        <f t="shared" si="7"/>
        <v>DAenergy_soldS1202621</v>
      </c>
      <c r="C462" t="s">
        <v>99</v>
      </c>
      <c r="D462" t="s">
        <v>112</v>
      </c>
      <c r="E462" t="s">
        <v>110</v>
      </c>
      <c r="F462">
        <v>0</v>
      </c>
      <c r="G462">
        <v>2026</v>
      </c>
      <c r="H462">
        <v>2</v>
      </c>
      <c r="I462">
        <v>1</v>
      </c>
    </row>
    <row r="463" spans="1:9" x14ac:dyDescent="0.35">
      <c r="A463" t="str">
        <f t="shared" si="7"/>
        <v>DAhours_boughtS1202621</v>
      </c>
      <c r="C463" t="s">
        <v>99</v>
      </c>
      <c r="D463" t="s">
        <v>113</v>
      </c>
      <c r="E463" t="s">
        <v>110</v>
      </c>
      <c r="F463">
        <v>6893</v>
      </c>
      <c r="G463">
        <v>2026</v>
      </c>
      <c r="H463">
        <v>2</v>
      </c>
      <c r="I463">
        <v>1</v>
      </c>
    </row>
    <row r="464" spans="1:9" x14ac:dyDescent="0.35">
      <c r="A464" t="str">
        <f t="shared" si="7"/>
        <v>DAhours_soldS1202621</v>
      </c>
      <c r="C464" t="s">
        <v>99</v>
      </c>
      <c r="D464" t="s">
        <v>114</v>
      </c>
      <c r="E464" t="s">
        <v>110</v>
      </c>
      <c r="F464">
        <v>0</v>
      </c>
      <c r="G464">
        <v>2026</v>
      </c>
      <c r="H464">
        <v>2</v>
      </c>
      <c r="I464">
        <v>1</v>
      </c>
    </row>
    <row r="465" spans="1:9" x14ac:dyDescent="0.35">
      <c r="A465" t="str">
        <f t="shared" si="7"/>
        <v>DAco2_emissionS1202621</v>
      </c>
      <c r="C465" t="s">
        <v>99</v>
      </c>
      <c r="D465" t="s">
        <v>204</v>
      </c>
      <c r="E465" t="s">
        <v>110</v>
      </c>
      <c r="F465">
        <v>332.12952601238737</v>
      </c>
      <c r="G465">
        <v>2026</v>
      </c>
      <c r="H465">
        <v>2</v>
      </c>
      <c r="I465">
        <v>1</v>
      </c>
    </row>
    <row r="466" spans="1:9" x14ac:dyDescent="0.35">
      <c r="A466" t="str">
        <f t="shared" si="7"/>
        <v>fcrincomeS1202621</v>
      </c>
      <c r="C466" t="s">
        <v>102</v>
      </c>
      <c r="D466" t="s">
        <v>101</v>
      </c>
      <c r="E466" t="s">
        <v>110</v>
      </c>
      <c r="F466">
        <v>0</v>
      </c>
      <c r="G466">
        <v>2026</v>
      </c>
      <c r="H466">
        <v>2</v>
      </c>
      <c r="I466">
        <v>1</v>
      </c>
    </row>
    <row r="467" spans="1:9" x14ac:dyDescent="0.35">
      <c r="A467" t="str">
        <f t="shared" si="7"/>
        <v>fcractivation_hoursS1202621</v>
      </c>
      <c r="C467" t="s">
        <v>102</v>
      </c>
      <c r="D467" t="s">
        <v>115</v>
      </c>
      <c r="E467" t="s">
        <v>110</v>
      </c>
      <c r="F467">
        <v>0</v>
      </c>
      <c r="G467">
        <v>2026</v>
      </c>
      <c r="H467">
        <v>2</v>
      </c>
      <c r="I467">
        <v>1</v>
      </c>
    </row>
    <row r="468" spans="1:9" x14ac:dyDescent="0.35">
      <c r="A468" t="str">
        <f t="shared" si="7"/>
        <v>afrrincomeS1202621</v>
      </c>
      <c r="C468" t="s">
        <v>103</v>
      </c>
      <c r="D468" t="s">
        <v>101</v>
      </c>
      <c r="E468" t="s">
        <v>110</v>
      </c>
      <c r="F468">
        <v>98149.263644491017</v>
      </c>
      <c r="G468">
        <v>2026</v>
      </c>
      <c r="H468">
        <v>2</v>
      </c>
      <c r="I468">
        <v>1</v>
      </c>
    </row>
    <row r="469" spans="1:9" x14ac:dyDescent="0.35">
      <c r="A469" t="str">
        <f t="shared" si="7"/>
        <v>afrractivation_hoursS1202621</v>
      </c>
      <c r="C469" t="s">
        <v>103</v>
      </c>
      <c r="D469" t="s">
        <v>115</v>
      </c>
      <c r="E469" t="s">
        <v>110</v>
      </c>
      <c r="F469">
        <v>8760</v>
      </c>
      <c r="G469">
        <v>2026</v>
      </c>
      <c r="H469">
        <v>2</v>
      </c>
      <c r="I469">
        <v>1</v>
      </c>
    </row>
    <row r="470" spans="1:9" x14ac:dyDescent="0.35">
      <c r="A470" t="str">
        <f t="shared" si="7"/>
        <v>networkturpe_power_costS1202721</v>
      </c>
      <c r="B470" t="s">
        <v>95</v>
      </c>
      <c r="C470" t="s">
        <v>96</v>
      </c>
      <c r="D470" t="s">
        <v>97</v>
      </c>
      <c r="E470" t="s">
        <v>110</v>
      </c>
      <c r="F470">
        <v>2544.28913988657</v>
      </c>
      <c r="G470">
        <v>2027</v>
      </c>
      <c r="H470">
        <v>2</v>
      </c>
      <c r="I470">
        <v>1</v>
      </c>
    </row>
    <row r="471" spans="1:9" x14ac:dyDescent="0.35">
      <c r="A471" t="str">
        <f t="shared" si="7"/>
        <v>networkturpe_energy_costS1202721</v>
      </c>
      <c r="B471" t="s">
        <v>95</v>
      </c>
      <c r="C471" t="s">
        <v>96</v>
      </c>
      <c r="D471" t="s">
        <v>98</v>
      </c>
      <c r="E471" t="s">
        <v>110</v>
      </c>
      <c r="F471">
        <v>86.617905900890648</v>
      </c>
      <c r="G471">
        <v>2027</v>
      </c>
      <c r="H471">
        <v>2</v>
      </c>
      <c r="I471">
        <v>1</v>
      </c>
    </row>
    <row r="472" spans="1:9" x14ac:dyDescent="0.35">
      <c r="A472" t="str">
        <f t="shared" si="7"/>
        <v>DAcostS1202721</v>
      </c>
      <c r="C472" t="s">
        <v>99</v>
      </c>
      <c r="D472" t="s">
        <v>100</v>
      </c>
      <c r="E472" t="s">
        <v>110</v>
      </c>
      <c r="F472">
        <v>559.95418036198362</v>
      </c>
      <c r="G472">
        <v>2027</v>
      </c>
      <c r="H472">
        <v>2</v>
      </c>
      <c r="I472">
        <v>1</v>
      </c>
    </row>
    <row r="473" spans="1:9" x14ac:dyDescent="0.35">
      <c r="A473" t="str">
        <f t="shared" si="7"/>
        <v>DAincomeS1202721</v>
      </c>
      <c r="C473" t="s">
        <v>99</v>
      </c>
      <c r="D473" t="s">
        <v>101</v>
      </c>
      <c r="E473" t="s">
        <v>110</v>
      </c>
      <c r="F473">
        <v>4.0540660957266723E-5</v>
      </c>
      <c r="G473">
        <v>2027</v>
      </c>
      <c r="H473">
        <v>2</v>
      </c>
      <c r="I473">
        <v>1</v>
      </c>
    </row>
    <row r="474" spans="1:9" x14ac:dyDescent="0.35">
      <c r="A474" t="str">
        <f t="shared" si="7"/>
        <v>DAenergy_boughtS1202721</v>
      </c>
      <c r="C474" t="s">
        <v>99</v>
      </c>
      <c r="D474" t="s">
        <v>111</v>
      </c>
      <c r="E474" t="s">
        <v>110</v>
      </c>
      <c r="F474">
        <v>4.6259431759816403</v>
      </c>
      <c r="G474">
        <v>2027</v>
      </c>
      <c r="H474">
        <v>2</v>
      </c>
      <c r="I474">
        <v>1</v>
      </c>
    </row>
    <row r="475" spans="1:9" x14ac:dyDescent="0.35">
      <c r="A475" t="str">
        <f t="shared" si="7"/>
        <v>DAenergy_soldS1202721</v>
      </c>
      <c r="C475" t="s">
        <v>99</v>
      </c>
      <c r="D475" t="s">
        <v>112</v>
      </c>
      <c r="E475" t="s">
        <v>110</v>
      </c>
      <c r="F475">
        <v>2.641945973103077E-7</v>
      </c>
      <c r="G475">
        <v>2027</v>
      </c>
      <c r="H475">
        <v>2</v>
      </c>
      <c r="I475">
        <v>1</v>
      </c>
    </row>
    <row r="476" spans="1:9" x14ac:dyDescent="0.35">
      <c r="A476" t="str">
        <f t="shared" si="7"/>
        <v>DAhours_boughtS1202721</v>
      </c>
      <c r="C476" t="s">
        <v>99</v>
      </c>
      <c r="D476" t="s">
        <v>113</v>
      </c>
      <c r="E476" t="s">
        <v>110</v>
      </c>
      <c r="F476">
        <v>6045</v>
      </c>
      <c r="G476">
        <v>2027</v>
      </c>
      <c r="H476">
        <v>2</v>
      </c>
      <c r="I476">
        <v>1</v>
      </c>
    </row>
    <row r="477" spans="1:9" x14ac:dyDescent="0.35">
      <c r="A477" t="str">
        <f t="shared" si="7"/>
        <v>DAhours_soldS1202721</v>
      </c>
      <c r="C477" t="s">
        <v>99</v>
      </c>
      <c r="D477" t="s">
        <v>114</v>
      </c>
      <c r="E477" t="s">
        <v>110</v>
      </c>
      <c r="F477">
        <v>0</v>
      </c>
      <c r="G477">
        <v>2027</v>
      </c>
      <c r="H477">
        <v>2</v>
      </c>
      <c r="I477">
        <v>1</v>
      </c>
    </row>
    <row r="478" spans="1:9" x14ac:dyDescent="0.35">
      <c r="A478" t="str">
        <f t="shared" si="7"/>
        <v>DAco2_emissionS1202721</v>
      </c>
      <c r="C478" t="s">
        <v>99</v>
      </c>
      <c r="D478" t="s">
        <v>204</v>
      </c>
      <c r="E478" t="s">
        <v>110</v>
      </c>
      <c r="F478">
        <v>323.81602231872478</v>
      </c>
      <c r="G478">
        <v>2027</v>
      </c>
      <c r="H478">
        <v>2</v>
      </c>
      <c r="I478">
        <v>1</v>
      </c>
    </row>
    <row r="479" spans="1:9" x14ac:dyDescent="0.35">
      <c r="A479" t="str">
        <f t="shared" si="7"/>
        <v>fcrincomeS1202721</v>
      </c>
      <c r="C479" t="s">
        <v>102</v>
      </c>
      <c r="D479" t="s">
        <v>101</v>
      </c>
      <c r="E479" t="s">
        <v>110</v>
      </c>
      <c r="F479">
        <v>0</v>
      </c>
      <c r="G479">
        <v>2027</v>
      </c>
      <c r="H479">
        <v>2</v>
      </c>
      <c r="I479">
        <v>1</v>
      </c>
    </row>
    <row r="480" spans="1:9" x14ac:dyDescent="0.35">
      <c r="A480" t="str">
        <f t="shared" si="7"/>
        <v>fcractivation_hoursS1202721</v>
      </c>
      <c r="C480" t="s">
        <v>102</v>
      </c>
      <c r="D480" t="s">
        <v>115</v>
      </c>
      <c r="E480" t="s">
        <v>110</v>
      </c>
      <c r="F480">
        <v>0</v>
      </c>
      <c r="G480">
        <v>2027</v>
      </c>
      <c r="H480">
        <v>2</v>
      </c>
      <c r="I480">
        <v>1</v>
      </c>
    </row>
    <row r="481" spans="1:9" x14ac:dyDescent="0.35">
      <c r="A481" t="str">
        <f t="shared" si="7"/>
        <v>afrrincomeS1202721</v>
      </c>
      <c r="C481" t="s">
        <v>103</v>
      </c>
      <c r="D481" t="s">
        <v>101</v>
      </c>
      <c r="E481" t="s">
        <v>110</v>
      </c>
      <c r="F481">
        <v>83286.686976679994</v>
      </c>
      <c r="G481">
        <v>2027</v>
      </c>
      <c r="H481">
        <v>2</v>
      </c>
      <c r="I481">
        <v>1</v>
      </c>
    </row>
    <row r="482" spans="1:9" x14ac:dyDescent="0.35">
      <c r="A482" t="str">
        <f t="shared" si="7"/>
        <v>afrractivation_hoursS1202721</v>
      </c>
      <c r="B482" t="s">
        <v>95</v>
      </c>
      <c r="C482" t="s">
        <v>103</v>
      </c>
      <c r="D482" t="s">
        <v>115</v>
      </c>
      <c r="E482" t="s">
        <v>110</v>
      </c>
      <c r="F482">
        <v>8760</v>
      </c>
      <c r="G482">
        <v>2027</v>
      </c>
      <c r="H482">
        <v>2</v>
      </c>
      <c r="I482">
        <v>1</v>
      </c>
    </row>
    <row r="483" spans="1:9" x14ac:dyDescent="0.35">
      <c r="A483" t="str">
        <f t="shared" si="7"/>
        <v>networkturpe_power_costS1202821</v>
      </c>
      <c r="B483" t="s">
        <v>95</v>
      </c>
      <c r="C483" t="s">
        <v>96</v>
      </c>
      <c r="D483" t="s">
        <v>97</v>
      </c>
      <c r="E483" t="s">
        <v>110</v>
      </c>
      <c r="F483">
        <v>2480.6837514030908</v>
      </c>
      <c r="G483">
        <v>2028</v>
      </c>
      <c r="H483">
        <v>2</v>
      </c>
      <c r="I483">
        <v>1</v>
      </c>
    </row>
    <row r="484" spans="1:9" x14ac:dyDescent="0.35">
      <c r="A484" t="str">
        <f t="shared" si="7"/>
        <v>networkturpe_energy_costS1202821</v>
      </c>
      <c r="C484" t="s">
        <v>96</v>
      </c>
      <c r="D484" t="s">
        <v>98</v>
      </c>
      <c r="E484" t="s">
        <v>110</v>
      </c>
      <c r="F484">
        <v>84.580910113835856</v>
      </c>
      <c r="G484">
        <v>2028</v>
      </c>
      <c r="H484">
        <v>2</v>
      </c>
      <c r="I484">
        <v>1</v>
      </c>
    </row>
    <row r="485" spans="1:9" x14ac:dyDescent="0.35">
      <c r="A485" t="str">
        <f t="shared" si="7"/>
        <v>DAcostS1202821</v>
      </c>
      <c r="C485" t="s">
        <v>99</v>
      </c>
      <c r="D485" t="s">
        <v>100</v>
      </c>
      <c r="E485" t="s">
        <v>110</v>
      </c>
      <c r="F485">
        <v>500.17334780675861</v>
      </c>
      <c r="G485">
        <v>2028</v>
      </c>
      <c r="H485">
        <v>2</v>
      </c>
      <c r="I485">
        <v>1</v>
      </c>
    </row>
    <row r="486" spans="1:9" x14ac:dyDescent="0.35">
      <c r="A486" t="str">
        <f t="shared" si="7"/>
        <v>DAincomeS1202821</v>
      </c>
      <c r="C486" t="s">
        <v>99</v>
      </c>
      <c r="D486" t="s">
        <v>101</v>
      </c>
      <c r="E486" t="s">
        <v>110</v>
      </c>
      <c r="F486">
        <v>0</v>
      </c>
      <c r="G486">
        <v>2028</v>
      </c>
      <c r="H486">
        <v>2</v>
      </c>
      <c r="I486">
        <v>1</v>
      </c>
    </row>
    <row r="487" spans="1:9" x14ac:dyDescent="0.35">
      <c r="A487" t="str">
        <f t="shared" si="7"/>
        <v>DAenergy_boughtS1202821</v>
      </c>
      <c r="C487" t="s">
        <v>99</v>
      </c>
      <c r="D487" t="s">
        <v>111</v>
      </c>
      <c r="E487" t="s">
        <v>110</v>
      </c>
      <c r="F487">
        <v>4.5102806119506269</v>
      </c>
      <c r="G487">
        <v>2028</v>
      </c>
      <c r="H487">
        <v>2</v>
      </c>
      <c r="I487">
        <v>1</v>
      </c>
    </row>
    <row r="488" spans="1:9" x14ac:dyDescent="0.35">
      <c r="A488" t="str">
        <f t="shared" si="7"/>
        <v>DAenergy_soldS1202821</v>
      </c>
      <c r="C488" t="s">
        <v>99</v>
      </c>
      <c r="D488" t="s">
        <v>112</v>
      </c>
      <c r="E488" t="s">
        <v>110</v>
      </c>
      <c r="F488">
        <v>0</v>
      </c>
      <c r="G488">
        <v>2028</v>
      </c>
      <c r="H488">
        <v>2</v>
      </c>
      <c r="I488">
        <v>1</v>
      </c>
    </row>
    <row r="489" spans="1:9" x14ac:dyDescent="0.35">
      <c r="A489" t="str">
        <f t="shared" si="7"/>
        <v>DAhours_boughtS1202821</v>
      </c>
      <c r="C489" t="s">
        <v>99</v>
      </c>
      <c r="D489" t="s">
        <v>113</v>
      </c>
      <c r="E489" t="s">
        <v>110</v>
      </c>
      <c r="F489">
        <v>5955</v>
      </c>
      <c r="G489">
        <v>2028</v>
      </c>
      <c r="H489">
        <v>2</v>
      </c>
      <c r="I489">
        <v>1</v>
      </c>
    </row>
    <row r="490" spans="1:9" x14ac:dyDescent="0.35">
      <c r="A490" t="str">
        <f t="shared" si="7"/>
        <v>DAhours_soldS1202821</v>
      </c>
      <c r="C490" t="s">
        <v>99</v>
      </c>
      <c r="D490" t="s">
        <v>114</v>
      </c>
      <c r="E490" t="s">
        <v>110</v>
      </c>
      <c r="F490">
        <v>0</v>
      </c>
      <c r="G490">
        <v>2028</v>
      </c>
      <c r="H490">
        <v>2</v>
      </c>
      <c r="I490">
        <v>1</v>
      </c>
    </row>
    <row r="491" spans="1:9" x14ac:dyDescent="0.35">
      <c r="A491" t="str">
        <f t="shared" si="7"/>
        <v>DAco2_emissionS1202821</v>
      </c>
      <c r="C491" t="s">
        <v>99</v>
      </c>
      <c r="D491" t="s">
        <v>204</v>
      </c>
      <c r="E491" t="s">
        <v>110</v>
      </c>
      <c r="F491">
        <v>315.719642836547</v>
      </c>
      <c r="G491">
        <v>2028</v>
      </c>
      <c r="H491">
        <v>2</v>
      </c>
      <c r="I491">
        <v>1</v>
      </c>
    </row>
    <row r="492" spans="1:9" x14ac:dyDescent="0.35">
      <c r="A492" t="str">
        <f t="shared" si="7"/>
        <v>fcrincomeS1202821</v>
      </c>
      <c r="C492" t="s">
        <v>102</v>
      </c>
      <c r="D492" t="s">
        <v>101</v>
      </c>
      <c r="E492" t="s">
        <v>110</v>
      </c>
      <c r="F492">
        <v>0</v>
      </c>
      <c r="G492">
        <v>2028</v>
      </c>
      <c r="H492">
        <v>2</v>
      </c>
      <c r="I492">
        <v>1</v>
      </c>
    </row>
    <row r="493" spans="1:9" x14ac:dyDescent="0.35">
      <c r="A493" t="str">
        <f t="shared" si="7"/>
        <v>fcractivation_hoursS1202821</v>
      </c>
      <c r="C493" t="s">
        <v>102</v>
      </c>
      <c r="D493" t="s">
        <v>115</v>
      </c>
      <c r="E493" t="s">
        <v>110</v>
      </c>
      <c r="F493">
        <v>0</v>
      </c>
      <c r="G493">
        <v>2028</v>
      </c>
      <c r="H493">
        <v>2</v>
      </c>
      <c r="I493">
        <v>1</v>
      </c>
    </row>
    <row r="494" spans="1:9" x14ac:dyDescent="0.35">
      <c r="A494" t="str">
        <f t="shared" si="7"/>
        <v>afrrincomeS1202821</v>
      </c>
      <c r="B494" t="s">
        <v>95</v>
      </c>
      <c r="C494" t="s">
        <v>103</v>
      </c>
      <c r="D494" t="s">
        <v>101</v>
      </c>
      <c r="E494" t="s">
        <v>110</v>
      </c>
      <c r="F494">
        <v>81845.471025946827</v>
      </c>
      <c r="G494">
        <v>2028</v>
      </c>
      <c r="H494">
        <v>2</v>
      </c>
      <c r="I494">
        <v>1</v>
      </c>
    </row>
    <row r="495" spans="1:9" x14ac:dyDescent="0.35">
      <c r="A495" t="str">
        <f t="shared" si="7"/>
        <v>afrractivation_hoursS1202821</v>
      </c>
      <c r="B495" t="s">
        <v>95</v>
      </c>
      <c r="C495" t="s">
        <v>103</v>
      </c>
      <c r="D495" t="s">
        <v>115</v>
      </c>
      <c r="E495" t="s">
        <v>110</v>
      </c>
      <c r="F495">
        <v>8760</v>
      </c>
      <c r="G495">
        <v>2028</v>
      </c>
      <c r="H495">
        <v>2</v>
      </c>
      <c r="I495">
        <v>1</v>
      </c>
    </row>
    <row r="496" spans="1:9" x14ac:dyDescent="0.35">
      <c r="A496" t="str">
        <f t="shared" si="7"/>
        <v>networkturpe_power_costS1202921</v>
      </c>
      <c r="C496" t="s">
        <v>96</v>
      </c>
      <c r="D496" t="s">
        <v>97</v>
      </c>
      <c r="E496" t="s">
        <v>110</v>
      </c>
      <c r="F496">
        <v>2418.2636998933149</v>
      </c>
      <c r="G496">
        <v>2029</v>
      </c>
      <c r="H496">
        <v>2</v>
      </c>
      <c r="I496">
        <v>1</v>
      </c>
    </row>
    <row r="497" spans="1:9" x14ac:dyDescent="0.35">
      <c r="A497" t="str">
        <f t="shared" si="7"/>
        <v>networkturpe_energy_costS1202921</v>
      </c>
      <c r="C497" t="s">
        <v>96</v>
      </c>
      <c r="D497" t="s">
        <v>98</v>
      </c>
      <c r="E497" t="s">
        <v>110</v>
      </c>
      <c r="F497">
        <v>91.992941663024411</v>
      </c>
      <c r="G497">
        <v>2029</v>
      </c>
      <c r="H497">
        <v>2</v>
      </c>
      <c r="I497">
        <v>1</v>
      </c>
    </row>
    <row r="498" spans="1:9" x14ac:dyDescent="0.35">
      <c r="A498" t="str">
        <f t="shared" si="7"/>
        <v>DAcostS1202921</v>
      </c>
      <c r="C498" t="s">
        <v>99</v>
      </c>
      <c r="D498" t="s">
        <v>100</v>
      </c>
      <c r="E498" t="s">
        <v>110</v>
      </c>
      <c r="F498">
        <v>454.05633959613982</v>
      </c>
      <c r="G498">
        <v>2029</v>
      </c>
      <c r="H498">
        <v>2</v>
      </c>
      <c r="I498">
        <v>1</v>
      </c>
    </row>
    <row r="499" spans="1:9" x14ac:dyDescent="0.35">
      <c r="A499" t="str">
        <f t="shared" si="7"/>
        <v>DAincomeS1202921</v>
      </c>
      <c r="C499" t="s">
        <v>99</v>
      </c>
      <c r="D499" t="s">
        <v>101</v>
      </c>
      <c r="E499" t="s">
        <v>110</v>
      </c>
      <c r="F499">
        <v>93.971075373936202</v>
      </c>
      <c r="G499">
        <v>2029</v>
      </c>
      <c r="H499">
        <v>2</v>
      </c>
      <c r="I499">
        <v>1</v>
      </c>
    </row>
    <row r="500" spans="1:9" x14ac:dyDescent="0.35">
      <c r="A500" t="str">
        <f t="shared" si="7"/>
        <v>DAenergy_boughtS1202921</v>
      </c>
      <c r="C500" t="s">
        <v>99</v>
      </c>
      <c r="D500" t="s">
        <v>111</v>
      </c>
      <c r="E500" t="s">
        <v>110</v>
      </c>
      <c r="F500">
        <v>5.3015577402277998</v>
      </c>
      <c r="G500">
        <v>2029</v>
      </c>
      <c r="H500">
        <v>2</v>
      </c>
      <c r="I500">
        <v>1</v>
      </c>
    </row>
    <row r="501" spans="1:9" x14ac:dyDescent="0.35">
      <c r="A501" t="str">
        <f t="shared" si="7"/>
        <v>DAenergy_soldS1202921</v>
      </c>
      <c r="C501" t="s">
        <v>99</v>
      </c>
      <c r="D501" t="s">
        <v>112</v>
      </c>
      <c r="E501" t="s">
        <v>110</v>
      </c>
      <c r="F501">
        <v>0.73306088910161638</v>
      </c>
      <c r="G501">
        <v>2029</v>
      </c>
      <c r="H501">
        <v>2</v>
      </c>
      <c r="I501">
        <v>1</v>
      </c>
    </row>
    <row r="502" spans="1:9" x14ac:dyDescent="0.35">
      <c r="A502" t="str">
        <f t="shared" si="7"/>
        <v>DAhours_boughtS1202921</v>
      </c>
      <c r="C502" t="s">
        <v>99</v>
      </c>
      <c r="D502" t="s">
        <v>113</v>
      </c>
      <c r="E502" t="s">
        <v>110</v>
      </c>
      <c r="F502">
        <v>6504</v>
      </c>
      <c r="G502">
        <v>2029</v>
      </c>
      <c r="H502">
        <v>2</v>
      </c>
      <c r="I502">
        <v>1</v>
      </c>
    </row>
    <row r="503" spans="1:9" x14ac:dyDescent="0.35">
      <c r="A503" t="str">
        <f t="shared" si="7"/>
        <v>DAhours_soldS1202921</v>
      </c>
      <c r="C503" t="s">
        <v>99</v>
      </c>
      <c r="D503" t="s">
        <v>114</v>
      </c>
      <c r="E503" t="s">
        <v>110</v>
      </c>
      <c r="F503">
        <v>1</v>
      </c>
      <c r="G503">
        <v>2029</v>
      </c>
      <c r="H503">
        <v>2</v>
      </c>
      <c r="I503">
        <v>1</v>
      </c>
    </row>
    <row r="504" spans="1:9" x14ac:dyDescent="0.35">
      <c r="A504" t="str">
        <f t="shared" si="7"/>
        <v>DAco2_emissionS1202921</v>
      </c>
      <c r="C504" t="s">
        <v>99</v>
      </c>
      <c r="D504" t="s">
        <v>204</v>
      </c>
      <c r="E504" t="s">
        <v>110</v>
      </c>
      <c r="F504">
        <v>371.10904181603462</v>
      </c>
      <c r="G504">
        <v>2029</v>
      </c>
      <c r="H504">
        <v>2</v>
      </c>
      <c r="I504">
        <v>1</v>
      </c>
    </row>
    <row r="505" spans="1:9" x14ac:dyDescent="0.35">
      <c r="A505" t="str">
        <f t="shared" si="7"/>
        <v>fcrincomeS1202921</v>
      </c>
      <c r="C505" t="s">
        <v>102</v>
      </c>
      <c r="D505" t="s">
        <v>101</v>
      </c>
      <c r="E505" t="s">
        <v>110</v>
      </c>
      <c r="F505">
        <v>0</v>
      </c>
      <c r="G505">
        <v>2029</v>
      </c>
      <c r="H505">
        <v>2</v>
      </c>
      <c r="I505">
        <v>1</v>
      </c>
    </row>
    <row r="506" spans="1:9" x14ac:dyDescent="0.35">
      <c r="A506" t="str">
        <f t="shared" si="7"/>
        <v>fcractivation_hoursS1202921</v>
      </c>
      <c r="B506" t="s">
        <v>95</v>
      </c>
      <c r="C506" t="s">
        <v>102</v>
      </c>
      <c r="D506" t="s">
        <v>115</v>
      </c>
      <c r="E506" t="s">
        <v>110</v>
      </c>
      <c r="F506">
        <v>0</v>
      </c>
      <c r="G506">
        <v>2029</v>
      </c>
      <c r="H506">
        <v>2</v>
      </c>
      <c r="I506">
        <v>1</v>
      </c>
    </row>
    <row r="507" spans="1:9" x14ac:dyDescent="0.35">
      <c r="A507" t="str">
        <f t="shared" si="7"/>
        <v>afrrincomeS1202921</v>
      </c>
      <c r="B507" t="s">
        <v>95</v>
      </c>
      <c r="C507" t="s">
        <v>103</v>
      </c>
      <c r="D507" t="s">
        <v>101</v>
      </c>
      <c r="E507" t="s">
        <v>110</v>
      </c>
      <c r="F507">
        <v>84387.5935649108</v>
      </c>
      <c r="G507">
        <v>2029</v>
      </c>
      <c r="H507">
        <v>2</v>
      </c>
      <c r="I507">
        <v>1</v>
      </c>
    </row>
    <row r="508" spans="1:9" x14ac:dyDescent="0.35">
      <c r="A508" t="str">
        <f t="shared" si="7"/>
        <v>afrractivation_hoursS1202921</v>
      </c>
      <c r="C508" t="s">
        <v>103</v>
      </c>
      <c r="D508" t="s">
        <v>115</v>
      </c>
      <c r="E508" t="s">
        <v>110</v>
      </c>
      <c r="F508">
        <v>8758</v>
      </c>
      <c r="G508">
        <v>2029</v>
      </c>
      <c r="H508">
        <v>2</v>
      </c>
      <c r="I508">
        <v>1</v>
      </c>
    </row>
    <row r="509" spans="1:9" x14ac:dyDescent="0.35">
      <c r="A509" t="str">
        <f t="shared" si="7"/>
        <v>networkturpe_power_costS1203021</v>
      </c>
      <c r="C509" t="s">
        <v>96</v>
      </c>
      <c r="D509" t="s">
        <v>97</v>
      </c>
      <c r="E509" t="s">
        <v>110</v>
      </c>
      <c r="F509">
        <v>2360.620314259344</v>
      </c>
      <c r="G509">
        <v>2030</v>
      </c>
      <c r="H509">
        <v>2</v>
      </c>
      <c r="I509">
        <v>1</v>
      </c>
    </row>
    <row r="510" spans="1:9" x14ac:dyDescent="0.35">
      <c r="A510" t="str">
        <f t="shared" si="7"/>
        <v>networkturpe_energy_costS1203021</v>
      </c>
      <c r="C510" t="s">
        <v>96</v>
      </c>
      <c r="D510" t="s">
        <v>98</v>
      </c>
      <c r="E510" t="s">
        <v>110</v>
      </c>
      <c r="F510">
        <v>276.06703616140089</v>
      </c>
      <c r="G510">
        <v>2030</v>
      </c>
      <c r="H510">
        <v>2</v>
      </c>
      <c r="I510">
        <v>1</v>
      </c>
    </row>
    <row r="511" spans="1:9" x14ac:dyDescent="0.35">
      <c r="A511" t="str">
        <f t="shared" si="7"/>
        <v>DAcostS1203021</v>
      </c>
      <c r="C511" t="s">
        <v>99</v>
      </c>
      <c r="D511" t="s">
        <v>100</v>
      </c>
      <c r="E511" t="s">
        <v>110</v>
      </c>
      <c r="F511">
        <v>1089.3268272036059</v>
      </c>
      <c r="G511">
        <v>2030</v>
      </c>
      <c r="H511">
        <v>2</v>
      </c>
      <c r="I511">
        <v>1</v>
      </c>
    </row>
    <row r="512" spans="1:9" x14ac:dyDescent="0.35">
      <c r="A512" t="str">
        <f t="shared" si="7"/>
        <v>DAincomeS1203021</v>
      </c>
      <c r="C512" t="s">
        <v>99</v>
      </c>
      <c r="D512" t="s">
        <v>101</v>
      </c>
      <c r="E512" t="s">
        <v>110</v>
      </c>
      <c r="F512">
        <v>1464.943315280203</v>
      </c>
      <c r="G512">
        <v>2030</v>
      </c>
      <c r="H512">
        <v>2</v>
      </c>
      <c r="I512">
        <v>1</v>
      </c>
    </row>
    <row r="513" spans="1:9" x14ac:dyDescent="0.35">
      <c r="A513" t="str">
        <f t="shared" si="7"/>
        <v>DAenergy_boughtS1203021</v>
      </c>
      <c r="C513" t="s">
        <v>99</v>
      </c>
      <c r="D513" t="s">
        <v>111</v>
      </c>
      <c r="E513" t="s">
        <v>110</v>
      </c>
      <c r="F513">
        <v>19.17208858018277</v>
      </c>
      <c r="G513">
        <v>2030</v>
      </c>
      <c r="H513">
        <v>2</v>
      </c>
      <c r="I513">
        <v>1</v>
      </c>
    </row>
    <row r="514" spans="1:9" x14ac:dyDescent="0.35">
      <c r="A514" t="str">
        <f t="shared" si="7"/>
        <v>DAenergy_soldS1203021</v>
      </c>
      <c r="C514" t="s">
        <v>99</v>
      </c>
      <c r="D514" t="s">
        <v>112</v>
      </c>
      <c r="E514" t="s">
        <v>110</v>
      </c>
      <c r="F514">
        <v>12.05813033647277</v>
      </c>
      <c r="G514">
        <v>2030</v>
      </c>
      <c r="H514">
        <v>2</v>
      </c>
      <c r="I514">
        <v>1</v>
      </c>
    </row>
    <row r="515" spans="1:9" x14ac:dyDescent="0.35">
      <c r="A515" t="str">
        <f t="shared" ref="A515:A578" si="8">C515&amp;D515&amp;E515&amp;G515&amp;H515&amp;I515</f>
        <v>DAhours_boughtS1203021</v>
      </c>
      <c r="C515" t="s">
        <v>99</v>
      </c>
      <c r="D515" t="s">
        <v>113</v>
      </c>
      <c r="E515" t="s">
        <v>110</v>
      </c>
      <c r="F515">
        <v>4386</v>
      </c>
      <c r="G515">
        <v>2030</v>
      </c>
      <c r="H515">
        <v>2</v>
      </c>
      <c r="I515">
        <v>1</v>
      </c>
    </row>
    <row r="516" spans="1:9" x14ac:dyDescent="0.35">
      <c r="A516" t="str">
        <f t="shared" si="8"/>
        <v>DAhours_soldS1203021</v>
      </c>
      <c r="C516" t="s">
        <v>99</v>
      </c>
      <c r="D516" t="s">
        <v>114</v>
      </c>
      <c r="E516" t="s">
        <v>110</v>
      </c>
      <c r="F516">
        <v>38</v>
      </c>
      <c r="G516">
        <v>2030</v>
      </c>
      <c r="H516">
        <v>2</v>
      </c>
      <c r="I516">
        <v>1</v>
      </c>
    </row>
    <row r="517" spans="1:9" x14ac:dyDescent="0.35">
      <c r="A517" t="str">
        <f t="shared" si="8"/>
        <v>DAco2_emissionS1203021</v>
      </c>
      <c r="C517" t="s">
        <v>99</v>
      </c>
      <c r="D517" t="s">
        <v>204</v>
      </c>
      <c r="E517" t="s">
        <v>110</v>
      </c>
      <c r="F517">
        <v>1342.046200612745</v>
      </c>
      <c r="G517">
        <v>2030</v>
      </c>
      <c r="H517">
        <v>2</v>
      </c>
      <c r="I517">
        <v>1</v>
      </c>
    </row>
    <row r="518" spans="1:9" x14ac:dyDescent="0.35">
      <c r="A518" t="str">
        <f t="shared" si="8"/>
        <v>fcrincomeS1203021</v>
      </c>
      <c r="B518" t="s">
        <v>95</v>
      </c>
      <c r="C518" t="s">
        <v>102</v>
      </c>
      <c r="D518" t="s">
        <v>101</v>
      </c>
      <c r="E518" t="s">
        <v>110</v>
      </c>
      <c r="F518">
        <v>1.6560020937400392E-2</v>
      </c>
      <c r="G518">
        <v>2030</v>
      </c>
      <c r="H518">
        <v>2</v>
      </c>
      <c r="I518">
        <v>1</v>
      </c>
    </row>
    <row r="519" spans="1:9" x14ac:dyDescent="0.35">
      <c r="A519" t="str">
        <f t="shared" si="8"/>
        <v>fcractivation_hoursS1203021</v>
      </c>
      <c r="B519" t="s">
        <v>95</v>
      </c>
      <c r="C519" t="s">
        <v>102</v>
      </c>
      <c r="D519" t="s">
        <v>115</v>
      </c>
      <c r="E519" t="s">
        <v>110</v>
      </c>
      <c r="F519">
        <v>4</v>
      </c>
      <c r="G519">
        <v>2030</v>
      </c>
      <c r="H519">
        <v>2</v>
      </c>
      <c r="I519">
        <v>1</v>
      </c>
    </row>
    <row r="520" spans="1:9" x14ac:dyDescent="0.35">
      <c r="A520" t="str">
        <f t="shared" si="8"/>
        <v>afrrincomeS1203021</v>
      </c>
      <c r="C520" t="s">
        <v>103</v>
      </c>
      <c r="D520" t="s">
        <v>101</v>
      </c>
      <c r="E520" t="s">
        <v>110</v>
      </c>
      <c r="F520">
        <v>49956.734126650503</v>
      </c>
      <c r="G520">
        <v>2030</v>
      </c>
      <c r="H520">
        <v>2</v>
      </c>
      <c r="I520">
        <v>1</v>
      </c>
    </row>
    <row r="521" spans="1:9" x14ac:dyDescent="0.35">
      <c r="A521" t="str">
        <f t="shared" si="8"/>
        <v>afrractivation_hoursS1203021</v>
      </c>
      <c r="C521" t="s">
        <v>103</v>
      </c>
      <c r="D521" t="s">
        <v>115</v>
      </c>
      <c r="E521" t="s">
        <v>110</v>
      </c>
      <c r="F521">
        <v>8723</v>
      </c>
      <c r="G521">
        <v>2030</v>
      </c>
      <c r="H521">
        <v>2</v>
      </c>
      <c r="I521">
        <v>1</v>
      </c>
    </row>
    <row r="522" spans="1:9" x14ac:dyDescent="0.35">
      <c r="A522" t="str">
        <f t="shared" si="8"/>
        <v>networkturpe_power_costS1203121</v>
      </c>
      <c r="C522" t="s">
        <v>96</v>
      </c>
      <c r="D522" t="s">
        <v>97</v>
      </c>
      <c r="E522" t="s">
        <v>110</v>
      </c>
      <c r="F522">
        <v>2301.5821499754602</v>
      </c>
      <c r="G522">
        <v>2031</v>
      </c>
      <c r="H522">
        <v>2</v>
      </c>
      <c r="I522">
        <v>1</v>
      </c>
    </row>
    <row r="523" spans="1:9" x14ac:dyDescent="0.35">
      <c r="A523" t="str">
        <f t="shared" si="8"/>
        <v>networkturpe_energy_costS1203121</v>
      </c>
      <c r="C523" t="s">
        <v>96</v>
      </c>
      <c r="D523" t="s">
        <v>98</v>
      </c>
      <c r="E523" t="s">
        <v>110</v>
      </c>
      <c r="F523">
        <v>398.79874834939102</v>
      </c>
      <c r="G523">
        <v>2031</v>
      </c>
      <c r="H523">
        <v>2</v>
      </c>
      <c r="I523">
        <v>1</v>
      </c>
    </row>
    <row r="524" spans="1:9" x14ac:dyDescent="0.35">
      <c r="A524" t="str">
        <f t="shared" si="8"/>
        <v>DAcostS1203121</v>
      </c>
      <c r="C524" t="s">
        <v>99</v>
      </c>
      <c r="D524" t="s">
        <v>100</v>
      </c>
      <c r="E524" t="s">
        <v>110</v>
      </c>
      <c r="F524">
        <v>1195.2740246251369</v>
      </c>
      <c r="G524">
        <v>2031</v>
      </c>
      <c r="H524">
        <v>2</v>
      </c>
      <c r="I524">
        <v>1</v>
      </c>
    </row>
    <row r="525" spans="1:9" x14ac:dyDescent="0.35">
      <c r="A525" t="str">
        <f t="shared" si="8"/>
        <v>DAincomeS1203121</v>
      </c>
      <c r="C525" t="s">
        <v>99</v>
      </c>
      <c r="D525" t="s">
        <v>101</v>
      </c>
      <c r="E525" t="s">
        <v>110</v>
      </c>
      <c r="F525">
        <v>2098.944195521804</v>
      </c>
      <c r="G525">
        <v>2031</v>
      </c>
      <c r="H525">
        <v>2</v>
      </c>
      <c r="I525">
        <v>1</v>
      </c>
    </row>
    <row r="526" spans="1:9" x14ac:dyDescent="0.35">
      <c r="A526" t="str">
        <f t="shared" si="8"/>
        <v>DAenergy_boughtS1203121</v>
      </c>
      <c r="C526" t="s">
        <v>99</v>
      </c>
      <c r="D526" t="s">
        <v>111</v>
      </c>
      <c r="E526" t="s">
        <v>110</v>
      </c>
      <c r="F526">
        <v>27.867303570624909</v>
      </c>
      <c r="G526">
        <v>2031</v>
      </c>
      <c r="H526">
        <v>2</v>
      </c>
      <c r="I526">
        <v>1</v>
      </c>
    </row>
    <row r="527" spans="1:9" x14ac:dyDescent="0.35">
      <c r="A527" t="str">
        <f t="shared" si="8"/>
        <v>DAenergy_soldS1203121</v>
      </c>
      <c r="C527" t="s">
        <v>99</v>
      </c>
      <c r="D527" t="s">
        <v>112</v>
      </c>
      <c r="E527" t="s">
        <v>110</v>
      </c>
      <c r="F527">
        <v>19.193128900646101</v>
      </c>
      <c r="G527">
        <v>2031</v>
      </c>
      <c r="H527">
        <v>2</v>
      </c>
      <c r="I527">
        <v>1</v>
      </c>
    </row>
    <row r="528" spans="1:9" x14ac:dyDescent="0.35">
      <c r="A528" t="str">
        <f t="shared" si="8"/>
        <v>DAhours_boughtS1203121</v>
      </c>
      <c r="C528" t="s">
        <v>99</v>
      </c>
      <c r="D528" t="s">
        <v>113</v>
      </c>
      <c r="E528" t="s">
        <v>110</v>
      </c>
      <c r="F528">
        <v>4509</v>
      </c>
      <c r="G528">
        <v>2031</v>
      </c>
      <c r="H528">
        <v>2</v>
      </c>
      <c r="I528">
        <v>1</v>
      </c>
    </row>
    <row r="529" spans="1:9" x14ac:dyDescent="0.35">
      <c r="A529" t="str">
        <f t="shared" si="8"/>
        <v>DAhours_soldS1203121</v>
      </c>
      <c r="C529" t="s">
        <v>99</v>
      </c>
      <c r="D529" t="s">
        <v>114</v>
      </c>
      <c r="E529" t="s">
        <v>110</v>
      </c>
      <c r="F529">
        <v>69</v>
      </c>
      <c r="G529">
        <v>2031</v>
      </c>
      <c r="H529">
        <v>2</v>
      </c>
      <c r="I529">
        <v>1</v>
      </c>
    </row>
    <row r="530" spans="1:9" x14ac:dyDescent="0.35">
      <c r="A530" t="str">
        <f t="shared" si="8"/>
        <v>DAco2_emissionS1203121</v>
      </c>
      <c r="B530" t="s">
        <v>95</v>
      </c>
      <c r="C530" t="s">
        <v>99</v>
      </c>
      <c r="D530" t="s">
        <v>204</v>
      </c>
      <c r="E530" t="s">
        <v>110</v>
      </c>
      <c r="F530">
        <v>1950.7112499437101</v>
      </c>
      <c r="G530">
        <v>2031</v>
      </c>
      <c r="H530">
        <v>2</v>
      </c>
      <c r="I530">
        <v>1</v>
      </c>
    </row>
    <row r="531" spans="1:9" x14ac:dyDescent="0.35">
      <c r="A531" t="str">
        <f t="shared" si="8"/>
        <v>fcrincomeS1203121</v>
      </c>
      <c r="B531" t="s">
        <v>95</v>
      </c>
      <c r="C531" t="s">
        <v>102</v>
      </c>
      <c r="D531" t="s">
        <v>101</v>
      </c>
      <c r="E531" t="s">
        <v>110</v>
      </c>
      <c r="F531">
        <v>6.5821338516335298E-3</v>
      </c>
      <c r="G531">
        <v>2031</v>
      </c>
      <c r="H531">
        <v>2</v>
      </c>
      <c r="I531">
        <v>1</v>
      </c>
    </row>
    <row r="532" spans="1:9" x14ac:dyDescent="0.35">
      <c r="A532" t="str">
        <f t="shared" si="8"/>
        <v>fcractivation_hoursS1203121</v>
      </c>
      <c r="C532" t="s">
        <v>102</v>
      </c>
      <c r="D532" t="s">
        <v>115</v>
      </c>
      <c r="E532" t="s">
        <v>110</v>
      </c>
      <c r="F532">
        <v>4</v>
      </c>
      <c r="G532">
        <v>2031</v>
      </c>
      <c r="H532">
        <v>2</v>
      </c>
      <c r="I532">
        <v>1</v>
      </c>
    </row>
    <row r="533" spans="1:9" x14ac:dyDescent="0.35">
      <c r="A533" t="str">
        <f t="shared" si="8"/>
        <v>afrrincomeS1203121</v>
      </c>
      <c r="C533" t="s">
        <v>103</v>
      </c>
      <c r="D533" t="s">
        <v>101</v>
      </c>
      <c r="E533" t="s">
        <v>110</v>
      </c>
      <c r="F533">
        <v>48803.547961429213</v>
      </c>
      <c r="G533">
        <v>2031</v>
      </c>
      <c r="H533">
        <v>2</v>
      </c>
      <c r="I533">
        <v>1</v>
      </c>
    </row>
    <row r="534" spans="1:9" x14ac:dyDescent="0.35">
      <c r="A534" t="str">
        <f t="shared" si="8"/>
        <v>afrractivation_hoursS1203121</v>
      </c>
      <c r="C534" t="s">
        <v>103</v>
      </c>
      <c r="D534" t="s">
        <v>115</v>
      </c>
      <c r="E534" t="s">
        <v>110</v>
      </c>
      <c r="F534">
        <v>8701</v>
      </c>
      <c r="G534">
        <v>2031</v>
      </c>
      <c r="H534">
        <v>2</v>
      </c>
      <c r="I534">
        <v>1</v>
      </c>
    </row>
    <row r="535" spans="1:9" x14ac:dyDescent="0.35">
      <c r="A535" t="str">
        <f t="shared" si="8"/>
        <v>networkturpe_power_costS1203221</v>
      </c>
      <c r="C535" t="s">
        <v>96</v>
      </c>
      <c r="D535" t="s">
        <v>97</v>
      </c>
      <c r="E535" t="s">
        <v>110</v>
      </c>
      <c r="F535">
        <v>2247.0772224050929</v>
      </c>
      <c r="G535">
        <v>2032</v>
      </c>
      <c r="H535">
        <v>2</v>
      </c>
      <c r="I535">
        <v>1</v>
      </c>
    </row>
    <row r="536" spans="1:9" x14ac:dyDescent="0.35">
      <c r="A536" t="str">
        <f t="shared" si="8"/>
        <v>networkturpe_energy_costS1203221</v>
      </c>
      <c r="C536" t="s">
        <v>96</v>
      </c>
      <c r="D536" t="s">
        <v>98</v>
      </c>
      <c r="E536" t="s">
        <v>110</v>
      </c>
      <c r="F536">
        <v>610.56963864640682</v>
      </c>
      <c r="G536">
        <v>2032</v>
      </c>
      <c r="H536">
        <v>2</v>
      </c>
      <c r="I536">
        <v>1</v>
      </c>
    </row>
    <row r="537" spans="1:9" x14ac:dyDescent="0.35">
      <c r="A537" t="str">
        <f t="shared" si="8"/>
        <v>DAcostS1203221</v>
      </c>
      <c r="C537" t="s">
        <v>99</v>
      </c>
      <c r="D537" t="s">
        <v>100</v>
      </c>
      <c r="E537" t="s">
        <v>110</v>
      </c>
      <c r="F537">
        <v>2077.752174523901</v>
      </c>
      <c r="G537">
        <v>2032</v>
      </c>
      <c r="H537">
        <v>2</v>
      </c>
      <c r="I537">
        <v>1</v>
      </c>
    </row>
    <row r="538" spans="1:9" x14ac:dyDescent="0.35">
      <c r="A538" t="str">
        <f t="shared" si="8"/>
        <v>DAincomeS1203221</v>
      </c>
      <c r="C538" t="s">
        <v>99</v>
      </c>
      <c r="D538" t="s">
        <v>101</v>
      </c>
      <c r="E538" t="s">
        <v>110</v>
      </c>
      <c r="F538">
        <v>3877.5764174804322</v>
      </c>
      <c r="G538">
        <v>2032</v>
      </c>
      <c r="H538">
        <v>2</v>
      </c>
      <c r="I538">
        <v>1</v>
      </c>
    </row>
    <row r="539" spans="1:9" x14ac:dyDescent="0.35">
      <c r="A539" t="str">
        <f t="shared" si="8"/>
        <v>DAenergy_boughtS1203221</v>
      </c>
      <c r="C539" t="s">
        <v>99</v>
      </c>
      <c r="D539" t="s">
        <v>111</v>
      </c>
      <c r="E539" t="s">
        <v>110</v>
      </c>
      <c r="F539">
        <v>47.348199015011971</v>
      </c>
      <c r="G539">
        <v>2032</v>
      </c>
      <c r="H539">
        <v>2</v>
      </c>
      <c r="I539">
        <v>1</v>
      </c>
    </row>
    <row r="540" spans="1:9" x14ac:dyDescent="0.35">
      <c r="A540" t="str">
        <f t="shared" si="8"/>
        <v>DAenergy_soldS1203221</v>
      </c>
      <c r="C540" t="s">
        <v>99</v>
      </c>
      <c r="D540" t="s">
        <v>112</v>
      </c>
      <c r="E540" t="s">
        <v>110</v>
      </c>
      <c r="F540">
        <v>35.068329994867668</v>
      </c>
      <c r="G540">
        <v>2032</v>
      </c>
      <c r="H540">
        <v>2</v>
      </c>
      <c r="I540">
        <v>1</v>
      </c>
    </row>
    <row r="541" spans="1:9" x14ac:dyDescent="0.35">
      <c r="A541" t="str">
        <f t="shared" si="8"/>
        <v>DAhours_boughtS1203221</v>
      </c>
      <c r="C541" t="s">
        <v>99</v>
      </c>
      <c r="D541" t="s">
        <v>113</v>
      </c>
      <c r="E541" t="s">
        <v>110</v>
      </c>
      <c r="F541">
        <v>4319</v>
      </c>
      <c r="G541">
        <v>2032</v>
      </c>
      <c r="H541">
        <v>2</v>
      </c>
      <c r="I541">
        <v>1</v>
      </c>
    </row>
    <row r="542" spans="1:9" x14ac:dyDescent="0.35">
      <c r="A542" t="str">
        <f t="shared" si="8"/>
        <v>DAhours_soldS1203221</v>
      </c>
      <c r="B542" t="s">
        <v>95</v>
      </c>
      <c r="C542" t="s">
        <v>99</v>
      </c>
      <c r="D542" t="s">
        <v>114</v>
      </c>
      <c r="E542" t="s">
        <v>110</v>
      </c>
      <c r="F542">
        <v>95</v>
      </c>
      <c r="G542">
        <v>2032</v>
      </c>
      <c r="H542">
        <v>2</v>
      </c>
      <c r="I542">
        <v>1</v>
      </c>
    </row>
    <row r="543" spans="1:9" x14ac:dyDescent="0.35">
      <c r="A543" t="str">
        <f t="shared" si="8"/>
        <v>DAco2_emissionS1203221</v>
      </c>
      <c r="B543" t="s">
        <v>95</v>
      </c>
      <c r="C543" t="s">
        <v>99</v>
      </c>
      <c r="D543" t="s">
        <v>204</v>
      </c>
      <c r="E543" t="s">
        <v>110</v>
      </c>
      <c r="F543">
        <v>3314.3739310508099</v>
      </c>
      <c r="G543">
        <v>2032</v>
      </c>
      <c r="H543">
        <v>2</v>
      </c>
      <c r="I543">
        <v>1</v>
      </c>
    </row>
    <row r="544" spans="1:9" x14ac:dyDescent="0.35">
      <c r="A544" t="str">
        <f t="shared" si="8"/>
        <v>fcrincomeS1203221</v>
      </c>
      <c r="C544" t="s">
        <v>102</v>
      </c>
      <c r="D544" t="s">
        <v>101</v>
      </c>
      <c r="E544" t="s">
        <v>110</v>
      </c>
      <c r="F544">
        <v>6.607918310260881E-2</v>
      </c>
      <c r="G544">
        <v>2032</v>
      </c>
      <c r="H544">
        <v>2</v>
      </c>
      <c r="I544">
        <v>1</v>
      </c>
    </row>
    <row r="545" spans="1:9" x14ac:dyDescent="0.35">
      <c r="A545" t="str">
        <f t="shared" si="8"/>
        <v>fcractivation_hoursS1203221</v>
      </c>
      <c r="C545" t="s">
        <v>102</v>
      </c>
      <c r="D545" t="s">
        <v>115</v>
      </c>
      <c r="E545" t="s">
        <v>110</v>
      </c>
      <c r="F545">
        <v>20</v>
      </c>
      <c r="G545">
        <v>2032</v>
      </c>
      <c r="H545">
        <v>2</v>
      </c>
      <c r="I545">
        <v>1</v>
      </c>
    </row>
    <row r="546" spans="1:9" x14ac:dyDescent="0.35">
      <c r="A546" t="str">
        <f t="shared" si="8"/>
        <v>afrrincomeS1203221</v>
      </c>
      <c r="C546" t="s">
        <v>103</v>
      </c>
      <c r="D546" t="s">
        <v>101</v>
      </c>
      <c r="E546" t="s">
        <v>110</v>
      </c>
      <c r="F546">
        <v>46857.988032418238</v>
      </c>
      <c r="G546">
        <v>2032</v>
      </c>
      <c r="H546">
        <v>2</v>
      </c>
      <c r="I546">
        <v>1</v>
      </c>
    </row>
    <row r="547" spans="1:9" x14ac:dyDescent="0.35">
      <c r="A547" t="str">
        <f t="shared" si="8"/>
        <v>afrractivation_hoursS1203221</v>
      </c>
      <c r="C547" t="s">
        <v>103</v>
      </c>
      <c r="D547" t="s">
        <v>115</v>
      </c>
      <c r="E547" t="s">
        <v>110</v>
      </c>
      <c r="F547">
        <v>8625</v>
      </c>
      <c r="G547">
        <v>2032</v>
      </c>
      <c r="H547">
        <v>2</v>
      </c>
      <c r="I547">
        <v>1</v>
      </c>
    </row>
    <row r="548" spans="1:9" x14ac:dyDescent="0.35">
      <c r="A548" t="str">
        <f t="shared" si="8"/>
        <v>networkturpe_power_costS1203321</v>
      </c>
      <c r="C548" t="s">
        <v>96</v>
      </c>
      <c r="D548" t="s">
        <v>97</v>
      </c>
      <c r="E548" t="s">
        <v>110</v>
      </c>
      <c r="F548">
        <v>2188.6873477769259</v>
      </c>
      <c r="G548">
        <v>2033</v>
      </c>
      <c r="H548">
        <v>2</v>
      </c>
      <c r="I548">
        <v>1</v>
      </c>
    </row>
    <row r="549" spans="1:9" x14ac:dyDescent="0.35">
      <c r="A549" t="str">
        <f t="shared" si="8"/>
        <v>networkturpe_energy_costS1203321</v>
      </c>
      <c r="C549" t="s">
        <v>96</v>
      </c>
      <c r="D549" t="s">
        <v>98</v>
      </c>
      <c r="E549" t="s">
        <v>110</v>
      </c>
      <c r="F549">
        <v>431.03420923705198</v>
      </c>
      <c r="G549">
        <v>2033</v>
      </c>
      <c r="H549">
        <v>2</v>
      </c>
      <c r="I549">
        <v>1</v>
      </c>
    </row>
    <row r="550" spans="1:9" x14ac:dyDescent="0.35">
      <c r="A550" t="str">
        <f t="shared" si="8"/>
        <v>DAcostS1203321</v>
      </c>
      <c r="C550" t="s">
        <v>99</v>
      </c>
      <c r="D550" t="s">
        <v>100</v>
      </c>
      <c r="E550" t="s">
        <v>110</v>
      </c>
      <c r="F550">
        <v>1459.4702787052611</v>
      </c>
      <c r="G550">
        <v>2033</v>
      </c>
      <c r="H550">
        <v>2</v>
      </c>
      <c r="I550">
        <v>1</v>
      </c>
    </row>
    <row r="551" spans="1:9" x14ac:dyDescent="0.35">
      <c r="A551" t="str">
        <f t="shared" si="8"/>
        <v>DAincomeS1203321</v>
      </c>
      <c r="C551" t="s">
        <v>99</v>
      </c>
      <c r="D551" t="s">
        <v>101</v>
      </c>
      <c r="E551" t="s">
        <v>110</v>
      </c>
      <c r="F551">
        <v>2643.1784275156469</v>
      </c>
      <c r="G551">
        <v>2033</v>
      </c>
      <c r="H551">
        <v>2</v>
      </c>
      <c r="I551">
        <v>1</v>
      </c>
    </row>
    <row r="552" spans="1:9" x14ac:dyDescent="0.35">
      <c r="A552" t="str">
        <f t="shared" si="8"/>
        <v>DAenergy_boughtS1203321</v>
      </c>
      <c r="C552" t="s">
        <v>99</v>
      </c>
      <c r="D552" t="s">
        <v>111</v>
      </c>
      <c r="E552" t="s">
        <v>110</v>
      </c>
      <c r="F552">
        <v>33.925801856299188</v>
      </c>
      <c r="G552">
        <v>2033</v>
      </c>
      <c r="H552">
        <v>2</v>
      </c>
      <c r="I552">
        <v>1</v>
      </c>
    </row>
    <row r="553" spans="1:9" x14ac:dyDescent="0.35">
      <c r="A553" t="str">
        <f t="shared" si="8"/>
        <v>DAenergy_soldS1203321</v>
      </c>
      <c r="C553" t="s">
        <v>99</v>
      </c>
      <c r="D553" t="s">
        <v>112</v>
      </c>
      <c r="E553" t="s">
        <v>110</v>
      </c>
      <c r="F553">
        <v>24.284428082816881</v>
      </c>
      <c r="G553">
        <v>2033</v>
      </c>
      <c r="H553">
        <v>2</v>
      </c>
      <c r="I553">
        <v>1</v>
      </c>
    </row>
    <row r="554" spans="1:9" x14ac:dyDescent="0.35">
      <c r="A554" t="str">
        <f t="shared" si="8"/>
        <v>DAhours_boughtS1203321</v>
      </c>
      <c r="B554" t="s">
        <v>95</v>
      </c>
      <c r="C554" t="s">
        <v>99</v>
      </c>
      <c r="D554" t="s">
        <v>113</v>
      </c>
      <c r="E554" t="s">
        <v>110</v>
      </c>
      <c r="F554">
        <v>4517</v>
      </c>
      <c r="G554">
        <v>2033</v>
      </c>
      <c r="H554">
        <v>2</v>
      </c>
      <c r="I554">
        <v>1</v>
      </c>
    </row>
    <row r="555" spans="1:9" x14ac:dyDescent="0.35">
      <c r="A555" t="str">
        <f t="shared" si="8"/>
        <v>DAhours_soldS1203321</v>
      </c>
      <c r="B555" t="s">
        <v>95</v>
      </c>
      <c r="C555" t="s">
        <v>99</v>
      </c>
      <c r="D555" t="s">
        <v>114</v>
      </c>
      <c r="E555" t="s">
        <v>110</v>
      </c>
      <c r="F555">
        <v>71</v>
      </c>
      <c r="G555">
        <v>2033</v>
      </c>
      <c r="H555">
        <v>2</v>
      </c>
      <c r="I555">
        <v>1</v>
      </c>
    </row>
    <row r="556" spans="1:9" x14ac:dyDescent="0.35">
      <c r="A556" t="str">
        <f t="shared" si="8"/>
        <v>DAco2_emissionS1203321</v>
      </c>
      <c r="C556" t="s">
        <v>99</v>
      </c>
      <c r="D556" t="s">
        <v>204</v>
      </c>
      <c r="E556" t="s">
        <v>110</v>
      </c>
      <c r="F556">
        <v>2374.806129940921</v>
      </c>
      <c r="G556">
        <v>2033</v>
      </c>
      <c r="H556">
        <v>2</v>
      </c>
      <c r="I556">
        <v>1</v>
      </c>
    </row>
    <row r="557" spans="1:9" x14ac:dyDescent="0.35">
      <c r="A557" t="str">
        <f t="shared" si="8"/>
        <v>fcrincomeS1203321</v>
      </c>
      <c r="C557" t="s">
        <v>102</v>
      </c>
      <c r="D557" t="s">
        <v>101</v>
      </c>
      <c r="E557" t="s">
        <v>110</v>
      </c>
      <c r="F557">
        <v>1.6728324286798789E-2</v>
      </c>
      <c r="G557">
        <v>2033</v>
      </c>
      <c r="H557">
        <v>2</v>
      </c>
      <c r="I557">
        <v>1</v>
      </c>
    </row>
    <row r="558" spans="1:9" x14ac:dyDescent="0.35">
      <c r="A558" t="str">
        <f t="shared" si="8"/>
        <v>fcractivation_hoursS1203321</v>
      </c>
      <c r="C558" t="s">
        <v>102</v>
      </c>
      <c r="D558" t="s">
        <v>115</v>
      </c>
      <c r="E558" t="s">
        <v>110</v>
      </c>
      <c r="F558">
        <v>8</v>
      </c>
      <c r="G558">
        <v>2033</v>
      </c>
      <c r="H558">
        <v>2</v>
      </c>
      <c r="I558">
        <v>1</v>
      </c>
    </row>
    <row r="559" spans="1:9" x14ac:dyDescent="0.35">
      <c r="A559" t="str">
        <f t="shared" si="8"/>
        <v>afrrincomeS1203321</v>
      </c>
      <c r="C559" t="s">
        <v>103</v>
      </c>
      <c r="D559" t="s">
        <v>101</v>
      </c>
      <c r="E559" t="s">
        <v>110</v>
      </c>
      <c r="F559">
        <v>47138.181040399199</v>
      </c>
      <c r="G559">
        <v>2033</v>
      </c>
      <c r="H559">
        <v>2</v>
      </c>
      <c r="I559">
        <v>1</v>
      </c>
    </row>
    <row r="560" spans="1:9" x14ac:dyDescent="0.35">
      <c r="A560" t="str">
        <f t="shared" si="8"/>
        <v>afrractivation_hoursS1203321</v>
      </c>
      <c r="C560" t="s">
        <v>103</v>
      </c>
      <c r="D560" t="s">
        <v>115</v>
      </c>
      <c r="E560" t="s">
        <v>110</v>
      </c>
      <c r="F560">
        <v>8648</v>
      </c>
      <c r="G560">
        <v>2033</v>
      </c>
      <c r="H560">
        <v>2</v>
      </c>
      <c r="I560">
        <v>1</v>
      </c>
    </row>
    <row r="561" spans="1:9" x14ac:dyDescent="0.35">
      <c r="A561" t="str">
        <f t="shared" si="8"/>
        <v>networkturpe_power_costS1203421</v>
      </c>
      <c r="C561" t="s">
        <v>96</v>
      </c>
      <c r="D561" t="s">
        <v>97</v>
      </c>
      <c r="E561" t="s">
        <v>110</v>
      </c>
      <c r="F561">
        <v>2133.9796729061268</v>
      </c>
      <c r="G561">
        <v>2034</v>
      </c>
      <c r="H561">
        <v>2</v>
      </c>
      <c r="I561">
        <v>1</v>
      </c>
    </row>
    <row r="562" spans="1:9" x14ac:dyDescent="0.35">
      <c r="A562" t="str">
        <f t="shared" si="8"/>
        <v>networkturpe_energy_costS1203421</v>
      </c>
      <c r="C562" t="s">
        <v>96</v>
      </c>
      <c r="D562" t="s">
        <v>98</v>
      </c>
      <c r="E562" t="s">
        <v>110</v>
      </c>
      <c r="F562">
        <v>472.54628834648139</v>
      </c>
      <c r="G562">
        <v>2034</v>
      </c>
      <c r="H562">
        <v>2</v>
      </c>
      <c r="I562">
        <v>1</v>
      </c>
    </row>
    <row r="563" spans="1:9" x14ac:dyDescent="0.35">
      <c r="A563" t="str">
        <f t="shared" si="8"/>
        <v>DAcostS1203421</v>
      </c>
      <c r="C563" t="s">
        <v>99</v>
      </c>
      <c r="D563" t="s">
        <v>100</v>
      </c>
      <c r="E563" t="s">
        <v>110</v>
      </c>
      <c r="F563">
        <v>1525.878598446521</v>
      </c>
      <c r="G563">
        <v>2034</v>
      </c>
      <c r="H563">
        <v>2</v>
      </c>
      <c r="I563">
        <v>1</v>
      </c>
    </row>
    <row r="564" spans="1:9" x14ac:dyDescent="0.35">
      <c r="A564" t="str">
        <f t="shared" si="8"/>
        <v>DAincomeS1203421</v>
      </c>
      <c r="C564" t="s">
        <v>99</v>
      </c>
      <c r="D564" t="s">
        <v>101</v>
      </c>
      <c r="E564" t="s">
        <v>110</v>
      </c>
      <c r="F564">
        <v>2749.9155687410939</v>
      </c>
      <c r="G564">
        <v>2034</v>
      </c>
      <c r="H564">
        <v>2</v>
      </c>
      <c r="I564">
        <v>1</v>
      </c>
    </row>
    <row r="565" spans="1:9" x14ac:dyDescent="0.35">
      <c r="A565" t="str">
        <f t="shared" si="8"/>
        <v>DAenergy_boughtS1203421</v>
      </c>
      <c r="C565" t="s">
        <v>99</v>
      </c>
      <c r="D565" t="s">
        <v>111</v>
      </c>
      <c r="E565" t="s">
        <v>110</v>
      </c>
      <c r="F565">
        <v>34.438648643293348</v>
      </c>
      <c r="G565">
        <v>2034</v>
      </c>
      <c r="H565">
        <v>2</v>
      </c>
      <c r="I565">
        <v>1</v>
      </c>
    </row>
    <row r="566" spans="1:9" x14ac:dyDescent="0.35">
      <c r="A566" t="str">
        <f t="shared" si="8"/>
        <v>DAenergy_soldS1203421</v>
      </c>
      <c r="B566" t="s">
        <v>95</v>
      </c>
      <c r="C566" t="s">
        <v>99</v>
      </c>
      <c r="D566" t="s">
        <v>112</v>
      </c>
      <c r="E566" t="s">
        <v>110</v>
      </c>
      <c r="F566">
        <v>24.77341681290714</v>
      </c>
      <c r="G566">
        <v>2034</v>
      </c>
      <c r="H566">
        <v>2</v>
      </c>
      <c r="I566">
        <v>1</v>
      </c>
    </row>
    <row r="567" spans="1:9" x14ac:dyDescent="0.35">
      <c r="A567" t="str">
        <f t="shared" si="8"/>
        <v>DAhours_boughtS1203421</v>
      </c>
      <c r="B567" t="s">
        <v>95</v>
      </c>
      <c r="C567" t="s">
        <v>99</v>
      </c>
      <c r="D567" t="s">
        <v>113</v>
      </c>
      <c r="E567" t="s">
        <v>110</v>
      </c>
      <c r="F567">
        <v>4575</v>
      </c>
      <c r="G567">
        <v>2034</v>
      </c>
      <c r="H567">
        <v>2</v>
      </c>
      <c r="I567">
        <v>1</v>
      </c>
    </row>
    <row r="568" spans="1:9" x14ac:dyDescent="0.35">
      <c r="A568" t="str">
        <f t="shared" si="8"/>
        <v>DAhours_soldS1203421</v>
      </c>
      <c r="C568" t="s">
        <v>99</v>
      </c>
      <c r="D568" t="s">
        <v>114</v>
      </c>
      <c r="E568" t="s">
        <v>110</v>
      </c>
      <c r="F568">
        <v>77</v>
      </c>
      <c r="G568">
        <v>2034</v>
      </c>
      <c r="H568">
        <v>2</v>
      </c>
      <c r="I568">
        <v>1</v>
      </c>
    </row>
    <row r="569" spans="1:9" x14ac:dyDescent="0.35">
      <c r="A569" t="str">
        <f t="shared" si="8"/>
        <v>DAco2_emissionS1203421</v>
      </c>
      <c r="C569" t="s">
        <v>99</v>
      </c>
      <c r="D569" t="s">
        <v>204</v>
      </c>
      <c r="E569" t="s">
        <v>110</v>
      </c>
      <c r="F569">
        <v>2410.7054050304719</v>
      </c>
      <c r="G569">
        <v>2034</v>
      </c>
      <c r="H569">
        <v>2</v>
      </c>
      <c r="I569">
        <v>1</v>
      </c>
    </row>
    <row r="570" spans="1:9" x14ac:dyDescent="0.35">
      <c r="A570" t="str">
        <f t="shared" si="8"/>
        <v>fcrincomeS1203421</v>
      </c>
      <c r="C570" t="s">
        <v>102</v>
      </c>
      <c r="D570" t="s">
        <v>101</v>
      </c>
      <c r="E570" t="s">
        <v>110</v>
      </c>
      <c r="F570">
        <v>1.4049805586983939E-2</v>
      </c>
      <c r="G570">
        <v>2034</v>
      </c>
      <c r="H570">
        <v>2</v>
      </c>
      <c r="I570">
        <v>1</v>
      </c>
    </row>
    <row r="571" spans="1:9" x14ac:dyDescent="0.35">
      <c r="A571" t="str">
        <f t="shared" si="8"/>
        <v>fcractivation_hoursS1203421</v>
      </c>
      <c r="C571" t="s">
        <v>102</v>
      </c>
      <c r="D571" t="s">
        <v>115</v>
      </c>
      <c r="E571" t="s">
        <v>110</v>
      </c>
      <c r="F571">
        <v>4</v>
      </c>
      <c r="G571">
        <v>2034</v>
      </c>
      <c r="H571">
        <v>2</v>
      </c>
      <c r="I571">
        <v>1</v>
      </c>
    </row>
    <row r="572" spans="1:9" x14ac:dyDescent="0.35">
      <c r="A572" t="str">
        <f t="shared" si="8"/>
        <v>afrrincomeS1203421</v>
      </c>
      <c r="C572" t="s">
        <v>103</v>
      </c>
      <c r="D572" t="s">
        <v>101</v>
      </c>
      <c r="E572" t="s">
        <v>110</v>
      </c>
      <c r="F572">
        <v>48315.055910192663</v>
      </c>
      <c r="G572">
        <v>2034</v>
      </c>
      <c r="H572">
        <v>2</v>
      </c>
      <c r="I572">
        <v>1</v>
      </c>
    </row>
    <row r="573" spans="1:9" x14ac:dyDescent="0.35">
      <c r="A573" t="str">
        <f t="shared" si="8"/>
        <v>afrractivation_hoursS1203421</v>
      </c>
      <c r="C573" t="s">
        <v>103</v>
      </c>
      <c r="D573" t="s">
        <v>115</v>
      </c>
      <c r="E573" t="s">
        <v>110</v>
      </c>
      <c r="F573">
        <v>8659</v>
      </c>
      <c r="G573">
        <v>2034</v>
      </c>
      <c r="H573">
        <v>2</v>
      </c>
      <c r="I573">
        <v>1</v>
      </c>
    </row>
    <row r="574" spans="1:9" x14ac:dyDescent="0.35">
      <c r="A574" t="str">
        <f t="shared" si="8"/>
        <v>networkturpe_power_costS1203521</v>
      </c>
      <c r="C574" t="s">
        <v>96</v>
      </c>
      <c r="D574" t="s">
        <v>97</v>
      </c>
      <c r="E574" t="s">
        <v>110</v>
      </c>
      <c r="F574">
        <v>2080.5795440724</v>
      </c>
      <c r="G574">
        <v>2035</v>
      </c>
      <c r="H574">
        <v>2</v>
      </c>
      <c r="I574">
        <v>1</v>
      </c>
    </row>
    <row r="575" spans="1:9" x14ac:dyDescent="0.35">
      <c r="A575" t="str">
        <f t="shared" si="8"/>
        <v>networkturpe_energy_costS1203521</v>
      </c>
      <c r="C575" t="s">
        <v>96</v>
      </c>
      <c r="D575" t="s">
        <v>98</v>
      </c>
      <c r="E575" t="s">
        <v>110</v>
      </c>
      <c r="F575">
        <v>410.7357002172019</v>
      </c>
      <c r="G575">
        <v>2035</v>
      </c>
      <c r="H575">
        <v>2</v>
      </c>
      <c r="I575">
        <v>1</v>
      </c>
    </row>
    <row r="576" spans="1:9" x14ac:dyDescent="0.35">
      <c r="A576" t="str">
        <f t="shared" si="8"/>
        <v>DAcostS1203521</v>
      </c>
      <c r="C576" t="s">
        <v>99</v>
      </c>
      <c r="D576" t="s">
        <v>100</v>
      </c>
      <c r="E576" t="s">
        <v>110</v>
      </c>
      <c r="F576">
        <v>1235.99328471845</v>
      </c>
      <c r="G576">
        <v>2035</v>
      </c>
      <c r="H576">
        <v>2</v>
      </c>
      <c r="I576">
        <v>1</v>
      </c>
    </row>
    <row r="577" spans="1:9" x14ac:dyDescent="0.35">
      <c r="A577" t="str">
        <f t="shared" si="8"/>
        <v>DAincomeS1203521</v>
      </c>
      <c r="C577" t="s">
        <v>99</v>
      </c>
      <c r="D577" t="s">
        <v>101</v>
      </c>
      <c r="E577" t="s">
        <v>110</v>
      </c>
      <c r="F577">
        <v>2335.748118605024</v>
      </c>
      <c r="G577">
        <v>2035</v>
      </c>
      <c r="H577">
        <v>2</v>
      </c>
      <c r="I577">
        <v>1</v>
      </c>
    </row>
    <row r="578" spans="1:9" x14ac:dyDescent="0.35">
      <c r="A578" t="str">
        <f t="shared" si="8"/>
        <v>DAenergy_boughtS1203521</v>
      </c>
      <c r="B578" t="s">
        <v>95</v>
      </c>
      <c r="C578" t="s">
        <v>99</v>
      </c>
      <c r="D578" t="s">
        <v>111</v>
      </c>
      <c r="E578" t="s">
        <v>110</v>
      </c>
      <c r="F578">
        <v>29.46518384538625</v>
      </c>
      <c r="G578">
        <v>2035</v>
      </c>
      <c r="H578">
        <v>2</v>
      </c>
      <c r="I578">
        <v>1</v>
      </c>
    </row>
    <row r="579" spans="1:9" x14ac:dyDescent="0.35">
      <c r="A579" t="str">
        <f t="shared" ref="A579:A642" si="9">C579&amp;D579&amp;E579&amp;G579&amp;H579&amp;I579</f>
        <v>DAenergy_soldS1203521</v>
      </c>
      <c r="B579" t="s">
        <v>95</v>
      </c>
      <c r="C579" t="s">
        <v>99</v>
      </c>
      <c r="D579" t="s">
        <v>112</v>
      </c>
      <c r="E579" t="s">
        <v>110</v>
      </c>
      <c r="F579">
        <v>20.816236590468471</v>
      </c>
      <c r="G579">
        <v>2035</v>
      </c>
      <c r="H579">
        <v>2</v>
      </c>
      <c r="I579">
        <v>1</v>
      </c>
    </row>
    <row r="580" spans="1:9" x14ac:dyDescent="0.35">
      <c r="A580" t="str">
        <f t="shared" si="9"/>
        <v>DAhours_boughtS1203521</v>
      </c>
      <c r="C580" t="s">
        <v>99</v>
      </c>
      <c r="D580" t="s">
        <v>113</v>
      </c>
      <c r="E580" t="s">
        <v>110</v>
      </c>
      <c r="F580">
        <v>4627</v>
      </c>
      <c r="G580">
        <v>2035</v>
      </c>
      <c r="H580">
        <v>2</v>
      </c>
      <c r="I580">
        <v>1</v>
      </c>
    </row>
    <row r="581" spans="1:9" x14ac:dyDescent="0.35">
      <c r="A581" t="str">
        <f t="shared" si="9"/>
        <v>DAhours_soldS1203521</v>
      </c>
      <c r="C581" t="s">
        <v>99</v>
      </c>
      <c r="D581" t="s">
        <v>114</v>
      </c>
      <c r="E581" t="s">
        <v>110</v>
      </c>
      <c r="F581">
        <v>73</v>
      </c>
      <c r="G581">
        <v>2035</v>
      </c>
      <c r="H581">
        <v>2</v>
      </c>
      <c r="I581">
        <v>1</v>
      </c>
    </row>
    <row r="582" spans="1:9" x14ac:dyDescent="0.35">
      <c r="A582" t="str">
        <f t="shared" si="9"/>
        <v>DAco2_emissionS1203521</v>
      </c>
      <c r="C582" t="s">
        <v>99</v>
      </c>
      <c r="D582" t="s">
        <v>204</v>
      </c>
      <c r="E582" t="s">
        <v>110</v>
      </c>
      <c r="F582">
        <v>2062.5628691769348</v>
      </c>
      <c r="G582">
        <v>2035</v>
      </c>
      <c r="H582">
        <v>2</v>
      </c>
      <c r="I582">
        <v>1</v>
      </c>
    </row>
    <row r="583" spans="1:9" x14ac:dyDescent="0.35">
      <c r="A583" t="str">
        <f t="shared" si="9"/>
        <v>fcrincomeS1203521</v>
      </c>
      <c r="C583" t="s">
        <v>102</v>
      </c>
      <c r="D583" t="s">
        <v>101</v>
      </c>
      <c r="E583" t="s">
        <v>110</v>
      </c>
      <c r="F583">
        <v>0</v>
      </c>
      <c r="G583">
        <v>2035</v>
      </c>
      <c r="H583">
        <v>2</v>
      </c>
      <c r="I583">
        <v>1</v>
      </c>
    </row>
    <row r="584" spans="1:9" x14ac:dyDescent="0.35">
      <c r="A584" t="str">
        <f t="shared" si="9"/>
        <v>fcractivation_hoursS1203521</v>
      </c>
      <c r="C584" t="s">
        <v>102</v>
      </c>
      <c r="D584" t="s">
        <v>115</v>
      </c>
      <c r="E584" t="s">
        <v>110</v>
      </c>
      <c r="F584">
        <v>0</v>
      </c>
      <c r="G584">
        <v>2035</v>
      </c>
      <c r="H584">
        <v>2</v>
      </c>
      <c r="I584">
        <v>1</v>
      </c>
    </row>
    <row r="585" spans="1:9" x14ac:dyDescent="0.35">
      <c r="A585" t="str">
        <f t="shared" si="9"/>
        <v>afrrincomeS1203521</v>
      </c>
      <c r="C585" t="s">
        <v>103</v>
      </c>
      <c r="D585" t="s">
        <v>101</v>
      </c>
      <c r="E585" t="s">
        <v>110</v>
      </c>
      <c r="F585">
        <v>46781.636375743139</v>
      </c>
      <c r="G585">
        <v>2035</v>
      </c>
      <c r="H585">
        <v>2</v>
      </c>
      <c r="I585">
        <v>1</v>
      </c>
    </row>
    <row r="586" spans="1:9" x14ac:dyDescent="0.35">
      <c r="A586" t="str">
        <f t="shared" si="9"/>
        <v>afrractivation_hoursS1203521</v>
      </c>
      <c r="C586" t="s">
        <v>103</v>
      </c>
      <c r="D586" t="s">
        <v>115</v>
      </c>
      <c r="E586" t="s">
        <v>110</v>
      </c>
      <c r="F586">
        <v>8669</v>
      </c>
      <c r="G586">
        <v>2035</v>
      </c>
      <c r="H586">
        <v>2</v>
      </c>
      <c r="I586">
        <v>1</v>
      </c>
    </row>
    <row r="587" spans="1:9" x14ac:dyDescent="0.35">
      <c r="A587" t="str">
        <f t="shared" si="9"/>
        <v>networkturpe_power_costS1203621</v>
      </c>
      <c r="C587" t="s">
        <v>96</v>
      </c>
      <c r="D587" t="s">
        <v>97</v>
      </c>
      <c r="E587" t="s">
        <v>110</v>
      </c>
      <c r="F587">
        <v>2031.841343683453</v>
      </c>
      <c r="G587">
        <v>2036</v>
      </c>
      <c r="H587">
        <v>2</v>
      </c>
      <c r="I587">
        <v>1</v>
      </c>
    </row>
    <row r="588" spans="1:9" x14ac:dyDescent="0.35">
      <c r="A588" t="str">
        <f t="shared" si="9"/>
        <v>networkturpe_energy_costS1203621</v>
      </c>
      <c r="C588" t="s">
        <v>96</v>
      </c>
      <c r="D588" t="s">
        <v>98</v>
      </c>
      <c r="E588" t="s">
        <v>110</v>
      </c>
      <c r="F588">
        <v>578.2629509468079</v>
      </c>
      <c r="G588">
        <v>2036</v>
      </c>
      <c r="H588">
        <v>2</v>
      </c>
      <c r="I588">
        <v>1</v>
      </c>
    </row>
    <row r="589" spans="1:9" x14ac:dyDescent="0.35">
      <c r="A589" t="str">
        <f t="shared" si="9"/>
        <v>DAcostS1203621</v>
      </c>
      <c r="C589" t="s">
        <v>99</v>
      </c>
      <c r="D589" t="s">
        <v>100</v>
      </c>
      <c r="E589" t="s">
        <v>110</v>
      </c>
      <c r="F589">
        <v>1660.801687981754</v>
      </c>
      <c r="G589">
        <v>2036</v>
      </c>
      <c r="H589">
        <v>2</v>
      </c>
      <c r="I589">
        <v>1</v>
      </c>
    </row>
    <row r="590" spans="1:9" x14ac:dyDescent="0.35">
      <c r="A590" t="str">
        <f t="shared" si="9"/>
        <v>DAincomeS1203621</v>
      </c>
      <c r="B590" t="s">
        <v>95</v>
      </c>
      <c r="C590" t="s">
        <v>99</v>
      </c>
      <c r="D590" t="s">
        <v>101</v>
      </c>
      <c r="E590" t="s">
        <v>110</v>
      </c>
      <c r="F590">
        <v>3181.3472423555631</v>
      </c>
      <c r="G590">
        <v>2036</v>
      </c>
      <c r="H590">
        <v>2</v>
      </c>
      <c r="I590">
        <v>1</v>
      </c>
    </row>
    <row r="591" spans="1:9" x14ac:dyDescent="0.35">
      <c r="A591" t="str">
        <f t="shared" si="9"/>
        <v>DAenergy_boughtS1203621</v>
      </c>
      <c r="B591" t="s">
        <v>95</v>
      </c>
      <c r="C591" t="s">
        <v>99</v>
      </c>
      <c r="D591" t="s">
        <v>111</v>
      </c>
      <c r="E591" t="s">
        <v>110</v>
      </c>
      <c r="F591">
        <v>38.881633243728757</v>
      </c>
      <c r="G591">
        <v>2036</v>
      </c>
      <c r="H591">
        <v>2</v>
      </c>
      <c r="I591">
        <v>1</v>
      </c>
    </row>
    <row r="592" spans="1:9" x14ac:dyDescent="0.35">
      <c r="A592" t="str">
        <f t="shared" si="9"/>
        <v>DAenergy_soldS1203621</v>
      </c>
      <c r="C592" t="s">
        <v>99</v>
      </c>
      <c r="D592" t="s">
        <v>112</v>
      </c>
      <c r="E592" t="s">
        <v>110</v>
      </c>
      <c r="F592">
        <v>28.509655584527959</v>
      </c>
      <c r="G592">
        <v>2036</v>
      </c>
      <c r="H592">
        <v>2</v>
      </c>
      <c r="I592">
        <v>1</v>
      </c>
    </row>
    <row r="593" spans="1:9" x14ac:dyDescent="0.35">
      <c r="A593" t="str">
        <f t="shared" si="9"/>
        <v>DAhours_boughtS1203621</v>
      </c>
      <c r="C593" t="s">
        <v>99</v>
      </c>
      <c r="D593" t="s">
        <v>113</v>
      </c>
      <c r="E593" t="s">
        <v>110</v>
      </c>
      <c r="F593">
        <v>4219</v>
      </c>
      <c r="G593">
        <v>2036</v>
      </c>
      <c r="H593">
        <v>2</v>
      </c>
      <c r="I593">
        <v>1</v>
      </c>
    </row>
    <row r="594" spans="1:9" x14ac:dyDescent="0.35">
      <c r="A594" t="str">
        <f t="shared" si="9"/>
        <v>DAhours_soldS1203621</v>
      </c>
      <c r="C594" t="s">
        <v>99</v>
      </c>
      <c r="D594" t="s">
        <v>114</v>
      </c>
      <c r="E594" t="s">
        <v>110</v>
      </c>
      <c r="F594">
        <v>111</v>
      </c>
      <c r="G594">
        <v>2036</v>
      </c>
      <c r="H594">
        <v>2</v>
      </c>
      <c r="I594">
        <v>1</v>
      </c>
    </row>
    <row r="595" spans="1:9" x14ac:dyDescent="0.35">
      <c r="A595" t="str">
        <f t="shared" si="9"/>
        <v>DAco2_emissionS1203621</v>
      </c>
      <c r="C595" t="s">
        <v>99</v>
      </c>
      <c r="D595" t="s">
        <v>204</v>
      </c>
      <c r="E595" t="s">
        <v>110</v>
      </c>
      <c r="F595">
        <v>2721.7143270610682</v>
      </c>
      <c r="G595">
        <v>2036</v>
      </c>
      <c r="H595">
        <v>2</v>
      </c>
      <c r="I595">
        <v>1</v>
      </c>
    </row>
    <row r="596" spans="1:9" x14ac:dyDescent="0.35">
      <c r="A596" t="str">
        <f t="shared" si="9"/>
        <v>fcrincomeS1203621</v>
      </c>
      <c r="C596" t="s">
        <v>102</v>
      </c>
      <c r="D596" t="s">
        <v>101</v>
      </c>
      <c r="E596" t="s">
        <v>110</v>
      </c>
      <c r="F596">
        <v>0</v>
      </c>
      <c r="G596">
        <v>2036</v>
      </c>
      <c r="H596">
        <v>2</v>
      </c>
      <c r="I596">
        <v>1</v>
      </c>
    </row>
    <row r="597" spans="1:9" x14ac:dyDescent="0.35">
      <c r="A597" t="str">
        <f t="shared" si="9"/>
        <v>fcractivation_hoursS1203621</v>
      </c>
      <c r="C597" t="s">
        <v>102</v>
      </c>
      <c r="D597" t="s">
        <v>115</v>
      </c>
      <c r="E597" t="s">
        <v>110</v>
      </c>
      <c r="F597">
        <v>0</v>
      </c>
      <c r="G597">
        <v>2036</v>
      </c>
      <c r="H597">
        <v>2</v>
      </c>
      <c r="I597">
        <v>1</v>
      </c>
    </row>
    <row r="598" spans="1:9" x14ac:dyDescent="0.35">
      <c r="A598" t="str">
        <f t="shared" si="9"/>
        <v>afrrincomeS1203621</v>
      </c>
      <c r="C598" t="s">
        <v>103</v>
      </c>
      <c r="D598" t="s">
        <v>101</v>
      </c>
      <c r="E598" t="s">
        <v>110</v>
      </c>
      <c r="F598">
        <v>43345.355174418008</v>
      </c>
      <c r="G598">
        <v>2036</v>
      </c>
      <c r="H598">
        <v>2</v>
      </c>
      <c r="I598">
        <v>1</v>
      </c>
    </row>
    <row r="599" spans="1:9" x14ac:dyDescent="0.35">
      <c r="A599" t="str">
        <f t="shared" si="9"/>
        <v>afrractivation_hoursS1203621</v>
      </c>
      <c r="C599" t="s">
        <v>103</v>
      </c>
      <c r="D599" t="s">
        <v>115</v>
      </c>
      <c r="E599" t="s">
        <v>110</v>
      </c>
      <c r="F599">
        <v>8638</v>
      </c>
      <c r="G599">
        <v>2036</v>
      </c>
      <c r="H599">
        <v>2</v>
      </c>
      <c r="I599">
        <v>1</v>
      </c>
    </row>
    <row r="600" spans="1:9" x14ac:dyDescent="0.35">
      <c r="A600" t="str">
        <f t="shared" si="9"/>
        <v>networkturpe_power_costS1203721</v>
      </c>
      <c r="C600" t="s">
        <v>96</v>
      </c>
      <c r="D600" t="s">
        <v>97</v>
      </c>
      <c r="E600" t="s">
        <v>110</v>
      </c>
      <c r="F600">
        <v>1977.666495896415</v>
      </c>
      <c r="G600">
        <v>2037</v>
      </c>
      <c r="H600">
        <v>2</v>
      </c>
      <c r="I600">
        <v>1</v>
      </c>
    </row>
    <row r="601" spans="1:9" x14ac:dyDescent="0.35">
      <c r="A601" t="str">
        <f t="shared" si="9"/>
        <v>networkturpe_energy_costS1203721</v>
      </c>
      <c r="C601" t="s">
        <v>96</v>
      </c>
      <c r="D601" t="s">
        <v>98</v>
      </c>
      <c r="E601" t="s">
        <v>110</v>
      </c>
      <c r="F601">
        <v>423.42204360552932</v>
      </c>
      <c r="G601">
        <v>2037</v>
      </c>
      <c r="H601">
        <v>2</v>
      </c>
      <c r="I601">
        <v>1</v>
      </c>
    </row>
    <row r="602" spans="1:9" x14ac:dyDescent="0.35">
      <c r="A602" t="str">
        <f t="shared" si="9"/>
        <v>DAcostS1203721</v>
      </c>
      <c r="B602" t="s">
        <v>95</v>
      </c>
      <c r="C602" t="s">
        <v>99</v>
      </c>
      <c r="D602" t="s">
        <v>100</v>
      </c>
      <c r="E602" t="s">
        <v>110</v>
      </c>
      <c r="F602">
        <v>1300.356767284826</v>
      </c>
      <c r="G602">
        <v>2037</v>
      </c>
      <c r="H602">
        <v>2</v>
      </c>
      <c r="I602">
        <v>1</v>
      </c>
    </row>
    <row r="603" spans="1:9" x14ac:dyDescent="0.35">
      <c r="A603" t="str">
        <f t="shared" si="9"/>
        <v>DAincomeS1203721</v>
      </c>
      <c r="B603" t="s">
        <v>95</v>
      </c>
      <c r="C603" t="s">
        <v>99</v>
      </c>
      <c r="D603" t="s">
        <v>101</v>
      </c>
      <c r="E603" t="s">
        <v>110</v>
      </c>
      <c r="F603">
        <v>2365.669692342266</v>
      </c>
      <c r="G603">
        <v>2037</v>
      </c>
      <c r="H603">
        <v>2</v>
      </c>
      <c r="I603">
        <v>1</v>
      </c>
    </row>
    <row r="604" spans="1:9" x14ac:dyDescent="0.35">
      <c r="A604" t="str">
        <f t="shared" si="9"/>
        <v>DAenergy_boughtS1203721</v>
      </c>
      <c r="C604" t="s">
        <v>99</v>
      </c>
      <c r="D604" t="s">
        <v>111</v>
      </c>
      <c r="E604" t="s">
        <v>110</v>
      </c>
      <c r="F604">
        <v>30.153073050692111</v>
      </c>
      <c r="G604">
        <v>2037</v>
      </c>
      <c r="H604">
        <v>2</v>
      </c>
      <c r="I604">
        <v>1</v>
      </c>
    </row>
    <row r="605" spans="1:9" x14ac:dyDescent="0.35">
      <c r="A605" t="str">
        <f t="shared" si="9"/>
        <v>DAenergy_soldS1203721</v>
      </c>
      <c r="C605" t="s">
        <v>99</v>
      </c>
      <c r="D605" t="s">
        <v>112</v>
      </c>
      <c r="E605" t="s">
        <v>110</v>
      </c>
      <c r="F605">
        <v>21.515389881070409</v>
      </c>
      <c r="G605">
        <v>2037</v>
      </c>
      <c r="H605">
        <v>2</v>
      </c>
      <c r="I605">
        <v>1</v>
      </c>
    </row>
    <row r="606" spans="1:9" x14ac:dyDescent="0.35">
      <c r="A606" t="str">
        <f t="shared" si="9"/>
        <v>DAhours_boughtS1203721</v>
      </c>
      <c r="C606" t="s">
        <v>99</v>
      </c>
      <c r="D606" t="s">
        <v>113</v>
      </c>
      <c r="E606" t="s">
        <v>110</v>
      </c>
      <c r="F606">
        <v>4737</v>
      </c>
      <c r="G606">
        <v>2037</v>
      </c>
      <c r="H606">
        <v>2</v>
      </c>
      <c r="I606">
        <v>1</v>
      </c>
    </row>
    <row r="607" spans="1:9" x14ac:dyDescent="0.35">
      <c r="A607" t="str">
        <f t="shared" si="9"/>
        <v>DAhours_soldS1203721</v>
      </c>
      <c r="C607" t="s">
        <v>99</v>
      </c>
      <c r="D607" t="s">
        <v>114</v>
      </c>
      <c r="E607" t="s">
        <v>110</v>
      </c>
      <c r="F607">
        <v>89</v>
      </c>
      <c r="G607">
        <v>2037</v>
      </c>
      <c r="H607">
        <v>2</v>
      </c>
      <c r="I607">
        <v>1</v>
      </c>
    </row>
    <row r="608" spans="1:9" x14ac:dyDescent="0.35">
      <c r="A608" t="str">
        <f t="shared" si="9"/>
        <v>DAco2_emissionS1203721</v>
      </c>
      <c r="C608" t="s">
        <v>99</v>
      </c>
      <c r="D608" t="s">
        <v>204</v>
      </c>
      <c r="E608" t="s">
        <v>110</v>
      </c>
      <c r="F608">
        <v>2110.7151135484769</v>
      </c>
      <c r="G608">
        <v>2037</v>
      </c>
      <c r="H608">
        <v>2</v>
      </c>
      <c r="I608">
        <v>1</v>
      </c>
    </row>
    <row r="609" spans="1:9" x14ac:dyDescent="0.35">
      <c r="A609" t="str">
        <f t="shared" si="9"/>
        <v>fcrincomeS1203721</v>
      </c>
      <c r="C609" t="s">
        <v>102</v>
      </c>
      <c r="D609" t="s">
        <v>101</v>
      </c>
      <c r="E609" t="s">
        <v>110</v>
      </c>
      <c r="F609">
        <v>1.639255771744751E-2</v>
      </c>
      <c r="G609">
        <v>2037</v>
      </c>
      <c r="H609">
        <v>2</v>
      </c>
      <c r="I609">
        <v>1</v>
      </c>
    </row>
    <row r="610" spans="1:9" x14ac:dyDescent="0.35">
      <c r="A610" t="str">
        <f t="shared" si="9"/>
        <v>fcractivation_hoursS1203721</v>
      </c>
      <c r="C610" t="s">
        <v>102</v>
      </c>
      <c r="D610" t="s">
        <v>115</v>
      </c>
      <c r="E610" t="s">
        <v>110</v>
      </c>
      <c r="F610">
        <v>4</v>
      </c>
      <c r="G610">
        <v>2037</v>
      </c>
      <c r="H610">
        <v>2</v>
      </c>
      <c r="I610">
        <v>1</v>
      </c>
    </row>
    <row r="611" spans="1:9" x14ac:dyDescent="0.35">
      <c r="A611" t="str">
        <f t="shared" si="9"/>
        <v>afrrincomeS1203721</v>
      </c>
      <c r="C611" t="s">
        <v>103</v>
      </c>
      <c r="D611" t="s">
        <v>101</v>
      </c>
      <c r="E611" t="s">
        <v>110</v>
      </c>
      <c r="F611">
        <v>43629.057029232426</v>
      </c>
      <c r="G611">
        <v>2037</v>
      </c>
      <c r="H611">
        <v>2</v>
      </c>
      <c r="I611">
        <v>1</v>
      </c>
    </row>
    <row r="612" spans="1:9" x14ac:dyDescent="0.35">
      <c r="A612" t="str">
        <f t="shared" si="9"/>
        <v>afrractivation_hoursS1203721</v>
      </c>
      <c r="C612" t="s">
        <v>103</v>
      </c>
      <c r="D612" t="s">
        <v>115</v>
      </c>
      <c r="E612" t="s">
        <v>110</v>
      </c>
      <c r="F612">
        <v>8668</v>
      </c>
      <c r="G612">
        <v>2037</v>
      </c>
      <c r="H612">
        <v>2</v>
      </c>
      <c r="I612">
        <v>1</v>
      </c>
    </row>
    <row r="613" spans="1:9" x14ac:dyDescent="0.35">
      <c r="A613" t="str">
        <f t="shared" si="9"/>
        <v>networkturpe_power_costS1203821</v>
      </c>
      <c r="C613" t="s">
        <v>96</v>
      </c>
      <c r="D613" t="s">
        <v>97</v>
      </c>
      <c r="E613" t="s">
        <v>110</v>
      </c>
      <c r="F613">
        <v>1933.036953941755</v>
      </c>
      <c r="G613">
        <v>2038</v>
      </c>
      <c r="H613">
        <v>2</v>
      </c>
      <c r="I613">
        <v>1</v>
      </c>
    </row>
    <row r="614" spans="1:9" x14ac:dyDescent="0.35">
      <c r="A614" t="str">
        <f t="shared" si="9"/>
        <v>networkturpe_energy_costS1203821</v>
      </c>
      <c r="B614" t="s">
        <v>95</v>
      </c>
      <c r="C614" t="s">
        <v>96</v>
      </c>
      <c r="D614" t="s">
        <v>98</v>
      </c>
      <c r="E614" t="s">
        <v>110</v>
      </c>
      <c r="F614">
        <v>730.05642190086496</v>
      </c>
      <c r="G614">
        <v>2038</v>
      </c>
      <c r="H614">
        <v>2</v>
      </c>
      <c r="I614">
        <v>1</v>
      </c>
    </row>
    <row r="615" spans="1:9" x14ac:dyDescent="0.35">
      <c r="A615" t="str">
        <f t="shared" si="9"/>
        <v>DAcostS1203821</v>
      </c>
      <c r="B615" t="s">
        <v>95</v>
      </c>
      <c r="C615" t="s">
        <v>99</v>
      </c>
      <c r="D615" t="s">
        <v>100</v>
      </c>
      <c r="E615" t="s">
        <v>110</v>
      </c>
      <c r="F615">
        <v>1886.8436305687919</v>
      </c>
      <c r="G615">
        <v>2038</v>
      </c>
      <c r="H615">
        <v>2</v>
      </c>
      <c r="I615">
        <v>1</v>
      </c>
    </row>
    <row r="616" spans="1:9" x14ac:dyDescent="0.35">
      <c r="A616" t="str">
        <f t="shared" si="9"/>
        <v>DAincomeS1203821</v>
      </c>
      <c r="C616" t="s">
        <v>99</v>
      </c>
      <c r="D616" t="s">
        <v>101</v>
      </c>
      <c r="E616" t="s">
        <v>110</v>
      </c>
      <c r="F616">
        <v>3942.478696635068</v>
      </c>
      <c r="G616">
        <v>2038</v>
      </c>
      <c r="H616">
        <v>2</v>
      </c>
      <c r="I616">
        <v>1</v>
      </c>
    </row>
    <row r="617" spans="1:9" x14ac:dyDescent="0.35">
      <c r="A617" t="str">
        <f t="shared" si="9"/>
        <v>DAenergy_boughtS1203821</v>
      </c>
      <c r="C617" t="s">
        <v>99</v>
      </c>
      <c r="D617" t="s">
        <v>111</v>
      </c>
      <c r="E617" t="s">
        <v>110</v>
      </c>
      <c r="F617">
        <v>47.467311468501528</v>
      </c>
      <c r="G617">
        <v>2038</v>
      </c>
      <c r="H617">
        <v>2</v>
      </c>
      <c r="I617">
        <v>1</v>
      </c>
    </row>
    <row r="618" spans="1:9" x14ac:dyDescent="0.35">
      <c r="A618" t="str">
        <f t="shared" si="9"/>
        <v>DAenergy_soldS1203821</v>
      </c>
      <c r="C618" t="s">
        <v>99</v>
      </c>
      <c r="D618" t="s">
        <v>112</v>
      </c>
      <c r="E618" t="s">
        <v>110</v>
      </c>
      <c r="F618">
        <v>35.602076487464601</v>
      </c>
      <c r="G618">
        <v>2038</v>
      </c>
      <c r="H618">
        <v>2</v>
      </c>
      <c r="I618">
        <v>1</v>
      </c>
    </row>
    <row r="619" spans="1:9" x14ac:dyDescent="0.35">
      <c r="A619" t="str">
        <f t="shared" si="9"/>
        <v>DAhours_boughtS1203821</v>
      </c>
      <c r="C619" t="s">
        <v>99</v>
      </c>
      <c r="D619" t="s">
        <v>113</v>
      </c>
      <c r="E619" t="s">
        <v>110</v>
      </c>
      <c r="F619">
        <v>4506</v>
      </c>
      <c r="G619">
        <v>2038</v>
      </c>
      <c r="H619">
        <v>2</v>
      </c>
      <c r="I619">
        <v>1</v>
      </c>
    </row>
    <row r="620" spans="1:9" x14ac:dyDescent="0.35">
      <c r="A620" t="str">
        <f t="shared" si="9"/>
        <v>DAhours_soldS1203821</v>
      </c>
      <c r="C620" t="s">
        <v>99</v>
      </c>
      <c r="D620" t="s">
        <v>114</v>
      </c>
      <c r="E620" t="s">
        <v>110</v>
      </c>
      <c r="F620">
        <v>126</v>
      </c>
      <c r="G620">
        <v>2038</v>
      </c>
      <c r="H620">
        <v>2</v>
      </c>
      <c r="I620">
        <v>1</v>
      </c>
    </row>
    <row r="621" spans="1:9" x14ac:dyDescent="0.35">
      <c r="A621" t="str">
        <f t="shared" si="9"/>
        <v>DAco2_emissionS1203821</v>
      </c>
      <c r="C621" t="s">
        <v>99</v>
      </c>
      <c r="D621" t="s">
        <v>204</v>
      </c>
      <c r="E621" t="s">
        <v>110</v>
      </c>
      <c r="F621">
        <v>3322.711802794905</v>
      </c>
      <c r="G621">
        <v>2038</v>
      </c>
      <c r="H621">
        <v>2</v>
      </c>
      <c r="I621">
        <v>1</v>
      </c>
    </row>
    <row r="622" spans="1:9" x14ac:dyDescent="0.35">
      <c r="A622" t="str">
        <f t="shared" si="9"/>
        <v>fcrincomeS1203821</v>
      </c>
      <c r="C622" t="s">
        <v>102</v>
      </c>
      <c r="D622" t="s">
        <v>101</v>
      </c>
      <c r="E622" t="s">
        <v>110</v>
      </c>
      <c r="F622">
        <v>4.1668387799176359E-7</v>
      </c>
      <c r="G622">
        <v>2038</v>
      </c>
      <c r="H622">
        <v>2</v>
      </c>
      <c r="I622">
        <v>1</v>
      </c>
    </row>
    <row r="623" spans="1:9" x14ac:dyDescent="0.35">
      <c r="A623" t="str">
        <f t="shared" si="9"/>
        <v>fcractivation_hoursS1203821</v>
      </c>
      <c r="C623" t="s">
        <v>102</v>
      </c>
      <c r="D623" t="s">
        <v>115</v>
      </c>
      <c r="E623" t="s">
        <v>110</v>
      </c>
      <c r="F623">
        <v>0</v>
      </c>
      <c r="G623">
        <v>2038</v>
      </c>
      <c r="H623">
        <v>2</v>
      </c>
      <c r="I623">
        <v>1</v>
      </c>
    </row>
    <row r="624" spans="1:9" x14ac:dyDescent="0.35">
      <c r="A624" t="str">
        <f t="shared" si="9"/>
        <v>afrrincomeS1203821</v>
      </c>
      <c r="C624" t="s">
        <v>103</v>
      </c>
      <c r="D624" t="s">
        <v>101</v>
      </c>
      <c r="E624" t="s">
        <v>110</v>
      </c>
      <c r="F624">
        <v>42397.904503338948</v>
      </c>
      <c r="G624">
        <v>2038</v>
      </c>
      <c r="H624">
        <v>2</v>
      </c>
      <c r="I624">
        <v>1</v>
      </c>
    </row>
    <row r="625" spans="1:9" x14ac:dyDescent="0.35">
      <c r="A625" t="str">
        <f t="shared" si="9"/>
        <v>afrractivation_hoursS1203821</v>
      </c>
      <c r="C625" t="s">
        <v>103</v>
      </c>
      <c r="D625" t="s">
        <v>115</v>
      </c>
      <c r="E625" t="s">
        <v>110</v>
      </c>
      <c r="F625">
        <v>8604</v>
      </c>
      <c r="G625">
        <v>2038</v>
      </c>
      <c r="H625">
        <v>2</v>
      </c>
      <c r="I625">
        <v>1</v>
      </c>
    </row>
    <row r="626" spans="1:9" x14ac:dyDescent="0.35">
      <c r="A626" t="str">
        <f t="shared" si="9"/>
        <v>networkturpe_power_costS1203921</v>
      </c>
      <c r="B626" t="s">
        <v>95</v>
      </c>
      <c r="C626" t="s">
        <v>96</v>
      </c>
      <c r="D626" t="s">
        <v>97</v>
      </c>
      <c r="E626" t="s">
        <v>110</v>
      </c>
      <c r="F626">
        <v>1881.920849537564</v>
      </c>
      <c r="G626">
        <v>2039</v>
      </c>
      <c r="H626">
        <v>2</v>
      </c>
      <c r="I626">
        <v>1</v>
      </c>
    </row>
    <row r="627" spans="1:9" x14ac:dyDescent="0.35">
      <c r="A627" t="str">
        <f t="shared" si="9"/>
        <v>networkturpe_energy_costS1203921</v>
      </c>
      <c r="B627" t="s">
        <v>95</v>
      </c>
      <c r="C627" t="s">
        <v>96</v>
      </c>
      <c r="D627" t="s">
        <v>98</v>
      </c>
      <c r="E627" t="s">
        <v>110</v>
      </c>
      <c r="F627">
        <v>585.48795788430482</v>
      </c>
      <c r="G627">
        <v>2039</v>
      </c>
      <c r="H627">
        <v>2</v>
      </c>
      <c r="I627">
        <v>1</v>
      </c>
    </row>
    <row r="628" spans="1:9" x14ac:dyDescent="0.35">
      <c r="A628" t="str">
        <f t="shared" si="9"/>
        <v>DAcostS1203921</v>
      </c>
      <c r="C628" t="s">
        <v>99</v>
      </c>
      <c r="D628" t="s">
        <v>100</v>
      </c>
      <c r="E628" t="s">
        <v>110</v>
      </c>
      <c r="F628">
        <v>1614.539065164169</v>
      </c>
      <c r="G628">
        <v>2039</v>
      </c>
      <c r="H628">
        <v>2</v>
      </c>
      <c r="I628">
        <v>1</v>
      </c>
    </row>
    <row r="629" spans="1:9" x14ac:dyDescent="0.35">
      <c r="A629" t="str">
        <f t="shared" si="9"/>
        <v>DAincomeS1203921</v>
      </c>
      <c r="C629" t="s">
        <v>99</v>
      </c>
      <c r="D629" t="s">
        <v>101</v>
      </c>
      <c r="E629" t="s">
        <v>110</v>
      </c>
      <c r="F629">
        <v>3258.1703065719048</v>
      </c>
      <c r="G629">
        <v>2039</v>
      </c>
      <c r="H629">
        <v>2</v>
      </c>
      <c r="I629">
        <v>1</v>
      </c>
    </row>
    <row r="630" spans="1:9" x14ac:dyDescent="0.35">
      <c r="A630" t="str">
        <f t="shared" si="9"/>
        <v>DAenergy_boughtS1203921</v>
      </c>
      <c r="C630" t="s">
        <v>99</v>
      </c>
      <c r="D630" t="s">
        <v>111</v>
      </c>
      <c r="E630" t="s">
        <v>110</v>
      </c>
      <c r="F630">
        <v>39.339424191187113</v>
      </c>
      <c r="G630">
        <v>2039</v>
      </c>
      <c r="H630">
        <v>2</v>
      </c>
      <c r="I630">
        <v>1</v>
      </c>
    </row>
    <row r="631" spans="1:9" x14ac:dyDescent="0.35">
      <c r="A631" t="str">
        <f t="shared" si="9"/>
        <v>DAenergy_soldS1203921</v>
      </c>
      <c r="C631" t="s">
        <v>99</v>
      </c>
      <c r="D631" t="s">
        <v>112</v>
      </c>
      <c r="E631" t="s">
        <v>110</v>
      </c>
      <c r="F631">
        <v>29.089926383796691</v>
      </c>
      <c r="G631">
        <v>2039</v>
      </c>
      <c r="H631">
        <v>2</v>
      </c>
      <c r="I631">
        <v>1</v>
      </c>
    </row>
    <row r="632" spans="1:9" x14ac:dyDescent="0.35">
      <c r="A632" t="str">
        <f t="shared" si="9"/>
        <v>DAhours_boughtS1203921</v>
      </c>
      <c r="C632" t="s">
        <v>99</v>
      </c>
      <c r="D632" t="s">
        <v>113</v>
      </c>
      <c r="E632" t="s">
        <v>110</v>
      </c>
      <c r="F632">
        <v>4844</v>
      </c>
      <c r="G632">
        <v>2039</v>
      </c>
      <c r="H632">
        <v>2</v>
      </c>
      <c r="I632">
        <v>1</v>
      </c>
    </row>
    <row r="633" spans="1:9" x14ac:dyDescent="0.35">
      <c r="A633" t="str">
        <f t="shared" si="9"/>
        <v>DAhours_soldS1203921</v>
      </c>
      <c r="C633" t="s">
        <v>99</v>
      </c>
      <c r="D633" t="s">
        <v>114</v>
      </c>
      <c r="E633" t="s">
        <v>110</v>
      </c>
      <c r="F633">
        <v>103</v>
      </c>
      <c r="G633">
        <v>2039</v>
      </c>
      <c r="H633">
        <v>2</v>
      </c>
      <c r="I633">
        <v>1</v>
      </c>
    </row>
    <row r="634" spans="1:9" x14ac:dyDescent="0.35">
      <c r="A634" t="str">
        <f t="shared" si="9"/>
        <v>DAco2_emissionS1203921</v>
      </c>
      <c r="C634" t="s">
        <v>99</v>
      </c>
      <c r="D634" t="s">
        <v>204</v>
      </c>
      <c r="E634" t="s">
        <v>110</v>
      </c>
      <c r="F634">
        <v>2753.7596933831551</v>
      </c>
      <c r="G634">
        <v>2039</v>
      </c>
      <c r="H634">
        <v>2</v>
      </c>
      <c r="I634">
        <v>1</v>
      </c>
    </row>
    <row r="635" spans="1:9" x14ac:dyDescent="0.35">
      <c r="A635" t="str">
        <f t="shared" si="9"/>
        <v>fcrincomeS1203921</v>
      </c>
      <c r="C635" t="s">
        <v>102</v>
      </c>
      <c r="D635" t="s">
        <v>101</v>
      </c>
      <c r="E635" t="s">
        <v>110</v>
      </c>
      <c r="F635">
        <v>0</v>
      </c>
      <c r="G635">
        <v>2039</v>
      </c>
      <c r="H635">
        <v>2</v>
      </c>
      <c r="I635">
        <v>1</v>
      </c>
    </row>
    <row r="636" spans="1:9" x14ac:dyDescent="0.35">
      <c r="A636" t="str">
        <f t="shared" si="9"/>
        <v>fcractivation_hoursS1203921</v>
      </c>
      <c r="C636" t="s">
        <v>102</v>
      </c>
      <c r="D636" t="s">
        <v>115</v>
      </c>
      <c r="E636" t="s">
        <v>110</v>
      </c>
      <c r="F636">
        <v>0</v>
      </c>
      <c r="G636">
        <v>2039</v>
      </c>
      <c r="H636">
        <v>2</v>
      </c>
      <c r="I636">
        <v>1</v>
      </c>
    </row>
    <row r="637" spans="1:9" x14ac:dyDescent="0.35">
      <c r="A637" t="str">
        <f t="shared" si="9"/>
        <v>afrrincomeS1203921</v>
      </c>
      <c r="C637" t="s">
        <v>103</v>
      </c>
      <c r="D637" t="s">
        <v>101</v>
      </c>
      <c r="E637" t="s">
        <v>110</v>
      </c>
      <c r="F637">
        <v>42617.588459167389</v>
      </c>
      <c r="G637">
        <v>2039</v>
      </c>
      <c r="H637">
        <v>2</v>
      </c>
      <c r="I637">
        <v>1</v>
      </c>
    </row>
    <row r="638" spans="1:9" x14ac:dyDescent="0.35">
      <c r="A638" t="str">
        <f t="shared" si="9"/>
        <v>afrractivation_hoursS1203921</v>
      </c>
      <c r="B638" t="s">
        <v>95</v>
      </c>
      <c r="C638" t="s">
        <v>103</v>
      </c>
      <c r="D638" t="s">
        <v>115</v>
      </c>
      <c r="E638" t="s">
        <v>110</v>
      </c>
      <c r="F638">
        <v>8620</v>
      </c>
      <c r="G638">
        <v>2039</v>
      </c>
      <c r="H638">
        <v>2</v>
      </c>
      <c r="I638">
        <v>1</v>
      </c>
    </row>
    <row r="639" spans="1:9" x14ac:dyDescent="0.35">
      <c r="A639" t="str">
        <f t="shared" si="9"/>
        <v>networkturpe_power_costS1204021</v>
      </c>
      <c r="B639" t="s">
        <v>95</v>
      </c>
      <c r="C639" t="s">
        <v>96</v>
      </c>
      <c r="D639" t="s">
        <v>97</v>
      </c>
      <c r="E639" t="s">
        <v>110</v>
      </c>
      <c r="F639">
        <v>1889.452675766541</v>
      </c>
      <c r="G639">
        <v>2040</v>
      </c>
      <c r="H639">
        <v>2</v>
      </c>
      <c r="I639">
        <v>1</v>
      </c>
    </row>
    <row r="640" spans="1:9" x14ac:dyDescent="0.35">
      <c r="A640" t="str">
        <f t="shared" si="9"/>
        <v>networkturpe_energy_costS1204021</v>
      </c>
      <c r="C640" t="s">
        <v>96</v>
      </c>
      <c r="D640" t="s">
        <v>98</v>
      </c>
      <c r="E640" t="s">
        <v>110</v>
      </c>
      <c r="F640">
        <v>1485.35064689405</v>
      </c>
      <c r="G640">
        <v>2040</v>
      </c>
      <c r="H640">
        <v>2</v>
      </c>
      <c r="I640">
        <v>1</v>
      </c>
    </row>
    <row r="641" spans="1:9" x14ac:dyDescent="0.35">
      <c r="A641" t="str">
        <f t="shared" si="9"/>
        <v>DAcostS1204021</v>
      </c>
      <c r="C641" t="s">
        <v>99</v>
      </c>
      <c r="D641" t="s">
        <v>100</v>
      </c>
      <c r="E641" t="s">
        <v>110</v>
      </c>
      <c r="F641">
        <v>3693.5704617516271</v>
      </c>
      <c r="G641">
        <v>2040</v>
      </c>
      <c r="H641">
        <v>2</v>
      </c>
      <c r="I641">
        <v>1</v>
      </c>
    </row>
    <row r="642" spans="1:9" x14ac:dyDescent="0.35">
      <c r="A642" t="str">
        <f t="shared" si="9"/>
        <v>DAincomeS1204021</v>
      </c>
      <c r="C642" t="s">
        <v>99</v>
      </c>
      <c r="D642" t="s">
        <v>101</v>
      </c>
      <c r="E642" t="s">
        <v>110</v>
      </c>
      <c r="F642">
        <v>8190.5802370793544</v>
      </c>
      <c r="G642">
        <v>2040</v>
      </c>
      <c r="H642">
        <v>2</v>
      </c>
      <c r="I642">
        <v>1</v>
      </c>
    </row>
    <row r="643" spans="1:9" x14ac:dyDescent="0.35">
      <c r="A643" t="str">
        <f t="shared" ref="A643:A706" si="10">C643&amp;D643&amp;E643&amp;G643&amp;H643&amp;I643</f>
        <v>DAenergy_boughtS1204021</v>
      </c>
      <c r="C643" t="s">
        <v>99</v>
      </c>
      <c r="D643" t="s">
        <v>111</v>
      </c>
      <c r="E643" t="s">
        <v>110</v>
      </c>
      <c r="F643">
        <v>95.328699209985089</v>
      </c>
      <c r="G643">
        <v>2040</v>
      </c>
      <c r="H643">
        <v>2</v>
      </c>
      <c r="I643">
        <v>1</v>
      </c>
    </row>
    <row r="644" spans="1:9" x14ac:dyDescent="0.35">
      <c r="A644" t="str">
        <f t="shared" si="10"/>
        <v>DAenergy_soldS1204021</v>
      </c>
      <c r="C644" t="s">
        <v>99</v>
      </c>
      <c r="D644" t="s">
        <v>112</v>
      </c>
      <c r="E644" t="s">
        <v>110</v>
      </c>
      <c r="F644">
        <v>74.449312701698759</v>
      </c>
      <c r="G644">
        <v>2040</v>
      </c>
      <c r="H644">
        <v>2</v>
      </c>
      <c r="I644">
        <v>1</v>
      </c>
    </row>
    <row r="645" spans="1:9" x14ac:dyDescent="0.35">
      <c r="A645" t="str">
        <f t="shared" si="10"/>
        <v>DAhours_boughtS1204021</v>
      </c>
      <c r="C645" t="s">
        <v>99</v>
      </c>
      <c r="D645" t="s">
        <v>113</v>
      </c>
      <c r="E645" t="s">
        <v>110</v>
      </c>
      <c r="F645">
        <v>3702</v>
      </c>
      <c r="G645">
        <v>2040</v>
      </c>
      <c r="H645">
        <v>2</v>
      </c>
      <c r="I645">
        <v>1</v>
      </c>
    </row>
    <row r="646" spans="1:9" x14ac:dyDescent="0.35">
      <c r="A646" t="str">
        <f t="shared" si="10"/>
        <v>DAhours_soldS1204021</v>
      </c>
      <c r="C646" t="s">
        <v>99</v>
      </c>
      <c r="D646" t="s">
        <v>114</v>
      </c>
      <c r="E646" t="s">
        <v>110</v>
      </c>
      <c r="F646">
        <v>223</v>
      </c>
      <c r="G646">
        <v>2040</v>
      </c>
      <c r="H646">
        <v>2</v>
      </c>
      <c r="I646">
        <v>1</v>
      </c>
    </row>
    <row r="647" spans="1:9" x14ac:dyDescent="0.35">
      <c r="A647" t="str">
        <f t="shared" si="10"/>
        <v>DAco2_emissionS1204021</v>
      </c>
      <c r="C647" t="s">
        <v>99</v>
      </c>
      <c r="D647" t="s">
        <v>204</v>
      </c>
      <c r="E647" t="s">
        <v>110</v>
      </c>
      <c r="F647">
        <v>6673.0089446987686</v>
      </c>
      <c r="G647">
        <v>2040</v>
      </c>
      <c r="H647">
        <v>2</v>
      </c>
      <c r="I647">
        <v>1</v>
      </c>
    </row>
    <row r="648" spans="1:9" x14ac:dyDescent="0.35">
      <c r="A648" t="str">
        <f t="shared" si="10"/>
        <v>fcrincomeS1204021</v>
      </c>
      <c r="C648" t="s">
        <v>102</v>
      </c>
      <c r="D648" t="s">
        <v>101</v>
      </c>
      <c r="E648" t="s">
        <v>110</v>
      </c>
      <c r="F648">
        <v>0.20612441819222879</v>
      </c>
      <c r="G648">
        <v>2040</v>
      </c>
      <c r="H648">
        <v>2</v>
      </c>
      <c r="I648">
        <v>1</v>
      </c>
    </row>
    <row r="649" spans="1:9" x14ac:dyDescent="0.35">
      <c r="A649" t="str">
        <f t="shared" si="10"/>
        <v>fcractivation_hoursS1204021</v>
      </c>
      <c r="C649" t="s">
        <v>102</v>
      </c>
      <c r="D649" t="s">
        <v>115</v>
      </c>
      <c r="E649" t="s">
        <v>110</v>
      </c>
      <c r="F649">
        <v>20</v>
      </c>
      <c r="G649">
        <v>2040</v>
      </c>
      <c r="H649">
        <v>2</v>
      </c>
      <c r="I649">
        <v>1</v>
      </c>
    </row>
    <row r="650" spans="1:9" x14ac:dyDescent="0.35">
      <c r="A650" t="str">
        <f t="shared" si="10"/>
        <v>afrrincomeS1204021</v>
      </c>
      <c r="B650" t="s">
        <v>95</v>
      </c>
      <c r="C650" t="s">
        <v>103</v>
      </c>
      <c r="D650" t="s">
        <v>101</v>
      </c>
      <c r="E650" t="s">
        <v>110</v>
      </c>
      <c r="F650">
        <v>29714.01690099253</v>
      </c>
      <c r="G650">
        <v>2040</v>
      </c>
      <c r="H650">
        <v>2</v>
      </c>
      <c r="I650">
        <v>1</v>
      </c>
    </row>
    <row r="651" spans="1:9" x14ac:dyDescent="0.35">
      <c r="A651" t="str">
        <f t="shared" si="10"/>
        <v>afrractivation_hoursS1204021</v>
      </c>
      <c r="B651" t="s">
        <v>95</v>
      </c>
      <c r="C651" t="s">
        <v>103</v>
      </c>
      <c r="D651" t="s">
        <v>115</v>
      </c>
      <c r="E651" t="s">
        <v>110</v>
      </c>
      <c r="F651">
        <v>8386</v>
      </c>
      <c r="G651">
        <v>2040</v>
      </c>
      <c r="H651">
        <v>2</v>
      </c>
      <c r="I651">
        <v>1</v>
      </c>
    </row>
    <row r="652" spans="1:9" x14ac:dyDescent="0.35">
      <c r="A652" t="str">
        <f t="shared" si="10"/>
        <v>networkturpe_power_costS1204121</v>
      </c>
      <c r="C652" t="s">
        <v>96</v>
      </c>
      <c r="D652" t="s">
        <v>97</v>
      </c>
      <c r="E652" t="s">
        <v>110</v>
      </c>
      <c r="F652">
        <v>1943.584762995803</v>
      </c>
      <c r="G652">
        <v>2041</v>
      </c>
      <c r="H652">
        <v>2</v>
      </c>
      <c r="I652">
        <v>1</v>
      </c>
    </row>
    <row r="653" spans="1:9" x14ac:dyDescent="0.35">
      <c r="A653" t="str">
        <f t="shared" si="10"/>
        <v>networkturpe_energy_costS1204121</v>
      </c>
      <c r="C653" t="s">
        <v>96</v>
      </c>
      <c r="D653" t="s">
        <v>98</v>
      </c>
      <c r="E653" t="s">
        <v>110</v>
      </c>
      <c r="F653">
        <v>2170.727135724776</v>
      </c>
      <c r="G653">
        <v>2041</v>
      </c>
      <c r="H653">
        <v>2</v>
      </c>
      <c r="I653">
        <v>1</v>
      </c>
    </row>
    <row r="654" spans="1:9" x14ac:dyDescent="0.35">
      <c r="A654" t="str">
        <f t="shared" si="10"/>
        <v>DAcostS1204121</v>
      </c>
      <c r="C654" t="s">
        <v>99</v>
      </c>
      <c r="D654" t="s">
        <v>100</v>
      </c>
      <c r="E654" t="s">
        <v>110</v>
      </c>
      <c r="F654">
        <v>5429.5833690110694</v>
      </c>
      <c r="G654">
        <v>2041</v>
      </c>
      <c r="H654">
        <v>2</v>
      </c>
      <c r="I654">
        <v>1</v>
      </c>
    </row>
    <row r="655" spans="1:9" x14ac:dyDescent="0.35">
      <c r="A655" t="str">
        <f t="shared" si="10"/>
        <v>DAincomeS1204121</v>
      </c>
      <c r="C655" t="s">
        <v>99</v>
      </c>
      <c r="D655" t="s">
        <v>101</v>
      </c>
      <c r="E655" t="s">
        <v>110</v>
      </c>
      <c r="F655">
        <v>11911.891834519651</v>
      </c>
      <c r="G655">
        <v>2041</v>
      </c>
      <c r="H655">
        <v>2</v>
      </c>
      <c r="I655">
        <v>1</v>
      </c>
    </row>
    <row r="656" spans="1:9" x14ac:dyDescent="0.35">
      <c r="A656" t="str">
        <f t="shared" si="10"/>
        <v>DAenergy_boughtS1204121</v>
      </c>
      <c r="C656" t="s">
        <v>99</v>
      </c>
      <c r="D656" t="s">
        <v>111</v>
      </c>
      <c r="E656" t="s">
        <v>110</v>
      </c>
      <c r="F656">
        <v>138.40222992655259</v>
      </c>
      <c r="G656">
        <v>2041</v>
      </c>
      <c r="H656">
        <v>2</v>
      </c>
      <c r="I656">
        <v>1</v>
      </c>
    </row>
    <row r="657" spans="1:9" x14ac:dyDescent="0.35">
      <c r="A657" t="str">
        <f t="shared" si="10"/>
        <v>DAenergy_soldS1204121</v>
      </c>
      <c r="C657" t="s">
        <v>99</v>
      </c>
      <c r="D657" t="s">
        <v>112</v>
      </c>
      <c r="E657" t="s">
        <v>110</v>
      </c>
      <c r="F657">
        <v>109.4524588420232</v>
      </c>
      <c r="G657">
        <v>2041</v>
      </c>
      <c r="H657">
        <v>2</v>
      </c>
      <c r="I657">
        <v>1</v>
      </c>
    </row>
    <row r="658" spans="1:9" x14ac:dyDescent="0.35">
      <c r="A658" t="str">
        <f t="shared" si="10"/>
        <v>DAhours_boughtS1204121</v>
      </c>
      <c r="C658" t="s">
        <v>99</v>
      </c>
      <c r="D658" t="s">
        <v>113</v>
      </c>
      <c r="E658" t="s">
        <v>110</v>
      </c>
      <c r="F658">
        <v>3754</v>
      </c>
      <c r="G658">
        <v>2041</v>
      </c>
      <c r="H658">
        <v>2</v>
      </c>
      <c r="I658">
        <v>1</v>
      </c>
    </row>
    <row r="659" spans="1:9" x14ac:dyDescent="0.35">
      <c r="A659" t="str">
        <f t="shared" si="10"/>
        <v>DAhours_soldS1204121</v>
      </c>
      <c r="C659" t="s">
        <v>99</v>
      </c>
      <c r="D659" t="s">
        <v>114</v>
      </c>
      <c r="E659" t="s">
        <v>110</v>
      </c>
      <c r="F659">
        <v>254</v>
      </c>
      <c r="G659">
        <v>2041</v>
      </c>
      <c r="H659">
        <v>2</v>
      </c>
      <c r="I659">
        <v>1</v>
      </c>
    </row>
    <row r="660" spans="1:9" x14ac:dyDescent="0.35">
      <c r="A660" t="str">
        <f t="shared" si="10"/>
        <v>DAco2_emissionS1204121</v>
      </c>
      <c r="C660" t="s">
        <v>99</v>
      </c>
      <c r="D660" t="s">
        <v>204</v>
      </c>
      <c r="E660" t="s">
        <v>110</v>
      </c>
      <c r="F660">
        <v>9688.1560948587939</v>
      </c>
      <c r="G660">
        <v>2041</v>
      </c>
      <c r="H660">
        <v>2</v>
      </c>
      <c r="I660">
        <v>1</v>
      </c>
    </row>
    <row r="661" spans="1:9" x14ac:dyDescent="0.35">
      <c r="A661" t="str">
        <f t="shared" si="10"/>
        <v>fcrincomeS1204121</v>
      </c>
      <c r="C661" t="s">
        <v>102</v>
      </c>
      <c r="D661" t="s">
        <v>101</v>
      </c>
      <c r="E661" t="s">
        <v>110</v>
      </c>
      <c r="F661">
        <v>1.0574397118696059</v>
      </c>
      <c r="G661">
        <v>2041</v>
      </c>
      <c r="H661">
        <v>2</v>
      </c>
      <c r="I661">
        <v>1</v>
      </c>
    </row>
    <row r="662" spans="1:9" x14ac:dyDescent="0.35">
      <c r="A662" t="str">
        <f t="shared" si="10"/>
        <v>fcractivation_hoursS1204121</v>
      </c>
      <c r="B662" t="s">
        <v>95</v>
      </c>
      <c r="C662" t="s">
        <v>102</v>
      </c>
      <c r="D662" t="s">
        <v>115</v>
      </c>
      <c r="E662" t="s">
        <v>110</v>
      </c>
      <c r="F662">
        <v>20</v>
      </c>
      <c r="G662">
        <v>2041</v>
      </c>
      <c r="H662">
        <v>2</v>
      </c>
      <c r="I662">
        <v>1</v>
      </c>
    </row>
    <row r="663" spans="1:9" x14ac:dyDescent="0.35">
      <c r="A663" t="str">
        <f t="shared" si="10"/>
        <v>afrrincomeS1204121</v>
      </c>
      <c r="B663" t="s">
        <v>95</v>
      </c>
      <c r="C663" t="s">
        <v>103</v>
      </c>
      <c r="D663" t="s">
        <v>101</v>
      </c>
      <c r="E663" t="s">
        <v>110</v>
      </c>
      <c r="F663">
        <v>26583.844686092729</v>
      </c>
      <c r="G663">
        <v>2041</v>
      </c>
      <c r="H663">
        <v>2</v>
      </c>
      <c r="I663">
        <v>1</v>
      </c>
    </row>
    <row r="664" spans="1:9" x14ac:dyDescent="0.35">
      <c r="A664" t="str">
        <f t="shared" si="10"/>
        <v>afrractivation_hoursS1204121</v>
      </c>
      <c r="C664" t="s">
        <v>103</v>
      </c>
      <c r="D664" t="s">
        <v>115</v>
      </c>
      <c r="E664" t="s">
        <v>110</v>
      </c>
      <c r="F664">
        <v>8169</v>
      </c>
      <c r="G664">
        <v>2041</v>
      </c>
      <c r="H664">
        <v>2</v>
      </c>
      <c r="I664">
        <v>1</v>
      </c>
    </row>
    <row r="665" spans="1:9" x14ac:dyDescent="0.35">
      <c r="A665" t="str">
        <f t="shared" si="10"/>
        <v>networkturpe_power_costS1202522</v>
      </c>
      <c r="C665" t="s">
        <v>96</v>
      </c>
      <c r="D665" t="s">
        <v>97</v>
      </c>
      <c r="E665" t="s">
        <v>110</v>
      </c>
      <c r="F665">
        <v>4148.2441200091234</v>
      </c>
      <c r="G665">
        <v>2025</v>
      </c>
      <c r="H665">
        <v>2</v>
      </c>
      <c r="I665">
        <v>2</v>
      </c>
    </row>
    <row r="666" spans="1:9" x14ac:dyDescent="0.35">
      <c r="A666" t="str">
        <f t="shared" si="10"/>
        <v>networkturpe_energy_costS1202522</v>
      </c>
      <c r="C666" t="s">
        <v>96</v>
      </c>
      <c r="D666" t="s">
        <v>98</v>
      </c>
      <c r="E666" t="s">
        <v>110</v>
      </c>
      <c r="F666">
        <v>4188.1800525074132</v>
      </c>
      <c r="G666">
        <v>2025</v>
      </c>
      <c r="H666">
        <v>2</v>
      </c>
      <c r="I666">
        <v>2</v>
      </c>
    </row>
    <row r="667" spans="1:9" x14ac:dyDescent="0.35">
      <c r="A667" t="str">
        <f t="shared" si="10"/>
        <v>DAcostS1202522</v>
      </c>
      <c r="C667" t="s">
        <v>99</v>
      </c>
      <c r="D667" t="s">
        <v>100</v>
      </c>
      <c r="E667" t="s">
        <v>110</v>
      </c>
      <c r="F667">
        <v>37857.841871296623</v>
      </c>
      <c r="G667">
        <v>2025</v>
      </c>
      <c r="H667">
        <v>2</v>
      </c>
      <c r="I667">
        <v>2</v>
      </c>
    </row>
    <row r="668" spans="1:9" x14ac:dyDescent="0.35">
      <c r="A668" t="str">
        <f t="shared" si="10"/>
        <v>DAincomeS1202522</v>
      </c>
      <c r="C668" t="s">
        <v>99</v>
      </c>
      <c r="D668" t="s">
        <v>101</v>
      </c>
      <c r="E668" t="s">
        <v>110</v>
      </c>
      <c r="F668">
        <v>47800.991288021243</v>
      </c>
      <c r="G668">
        <v>2025</v>
      </c>
      <c r="H668">
        <v>2</v>
      </c>
      <c r="I668">
        <v>2</v>
      </c>
    </row>
    <row r="669" spans="1:9" x14ac:dyDescent="0.35">
      <c r="A669" t="str">
        <f t="shared" si="10"/>
        <v>DAenergy_boughtS1202522</v>
      </c>
      <c r="C669" t="s">
        <v>99</v>
      </c>
      <c r="D669" t="s">
        <v>111</v>
      </c>
      <c r="E669" t="s">
        <v>110</v>
      </c>
      <c r="F669">
        <v>268.83611954385623</v>
      </c>
      <c r="G669">
        <v>2025</v>
      </c>
      <c r="H669">
        <v>2</v>
      </c>
      <c r="I669">
        <v>2</v>
      </c>
    </row>
    <row r="670" spans="1:9" x14ac:dyDescent="0.35">
      <c r="A670" t="str">
        <f t="shared" si="10"/>
        <v>DAenergy_soldS1202522</v>
      </c>
      <c r="C670" t="s">
        <v>99</v>
      </c>
      <c r="D670" t="s">
        <v>112</v>
      </c>
      <c r="E670" t="s">
        <v>110</v>
      </c>
      <c r="F670">
        <v>210.74244610129051</v>
      </c>
      <c r="G670">
        <v>2025</v>
      </c>
      <c r="H670">
        <v>2</v>
      </c>
      <c r="I670">
        <v>2</v>
      </c>
    </row>
    <row r="671" spans="1:9" x14ac:dyDescent="0.35">
      <c r="A671" t="str">
        <f t="shared" si="10"/>
        <v>DAhours_boughtS1202522</v>
      </c>
      <c r="C671" t="s">
        <v>99</v>
      </c>
      <c r="D671" t="s">
        <v>113</v>
      </c>
      <c r="E671" t="s">
        <v>110</v>
      </c>
      <c r="F671">
        <v>939</v>
      </c>
      <c r="G671">
        <v>2025</v>
      </c>
      <c r="H671">
        <v>2</v>
      </c>
      <c r="I671">
        <v>2</v>
      </c>
    </row>
    <row r="672" spans="1:9" x14ac:dyDescent="0.35">
      <c r="A672" t="str">
        <f t="shared" si="10"/>
        <v>DAhours_soldS1202522</v>
      </c>
      <c r="C672" t="s">
        <v>99</v>
      </c>
      <c r="D672" t="s">
        <v>114</v>
      </c>
      <c r="E672" t="s">
        <v>110</v>
      </c>
      <c r="F672">
        <v>185</v>
      </c>
      <c r="G672">
        <v>2025</v>
      </c>
      <c r="H672">
        <v>2</v>
      </c>
      <c r="I672">
        <v>2</v>
      </c>
    </row>
    <row r="673" spans="1:9" x14ac:dyDescent="0.35">
      <c r="A673" t="str">
        <f t="shared" si="10"/>
        <v>DAco2_emissionS1202522</v>
      </c>
      <c r="C673" t="s">
        <v>99</v>
      </c>
      <c r="D673" t="s">
        <v>204</v>
      </c>
      <c r="E673" t="s">
        <v>110</v>
      </c>
      <c r="F673">
        <v>18818.528368070001</v>
      </c>
      <c r="G673">
        <v>2025</v>
      </c>
      <c r="H673">
        <v>2</v>
      </c>
      <c r="I673">
        <v>2</v>
      </c>
    </row>
    <row r="674" spans="1:9" x14ac:dyDescent="0.35">
      <c r="A674" t="str">
        <f t="shared" si="10"/>
        <v>fcrincomeS1202522</v>
      </c>
      <c r="B674" t="s">
        <v>95</v>
      </c>
      <c r="C674" t="s">
        <v>102</v>
      </c>
      <c r="D674" t="s">
        <v>101</v>
      </c>
      <c r="E674" t="s">
        <v>110</v>
      </c>
      <c r="F674">
        <v>0</v>
      </c>
      <c r="G674">
        <v>2025</v>
      </c>
      <c r="H674">
        <v>2</v>
      </c>
      <c r="I674">
        <v>2</v>
      </c>
    </row>
    <row r="675" spans="1:9" x14ac:dyDescent="0.35">
      <c r="A675" t="str">
        <f t="shared" si="10"/>
        <v>fcractivation_hoursS1202522</v>
      </c>
      <c r="B675" t="s">
        <v>95</v>
      </c>
      <c r="C675" t="s">
        <v>102</v>
      </c>
      <c r="D675" t="s">
        <v>115</v>
      </c>
      <c r="E675" t="s">
        <v>110</v>
      </c>
      <c r="F675">
        <v>0</v>
      </c>
      <c r="G675">
        <v>2025</v>
      </c>
      <c r="H675">
        <v>2</v>
      </c>
      <c r="I675">
        <v>2</v>
      </c>
    </row>
    <row r="676" spans="1:9" x14ac:dyDescent="0.35">
      <c r="A676" t="str">
        <f t="shared" si="10"/>
        <v>afrrincomeS1202522</v>
      </c>
      <c r="C676" t="s">
        <v>103</v>
      </c>
      <c r="D676" t="s">
        <v>101</v>
      </c>
      <c r="E676" t="s">
        <v>110</v>
      </c>
      <c r="F676">
        <v>100479.7475353662</v>
      </c>
      <c r="G676">
        <v>2025</v>
      </c>
      <c r="H676">
        <v>2</v>
      </c>
      <c r="I676">
        <v>2</v>
      </c>
    </row>
    <row r="677" spans="1:9" x14ac:dyDescent="0.35">
      <c r="A677" t="str">
        <f t="shared" si="10"/>
        <v>afrractivation_hoursS1202522</v>
      </c>
      <c r="C677" t="s">
        <v>103</v>
      </c>
      <c r="D677" t="s">
        <v>115</v>
      </c>
      <c r="E677" t="s">
        <v>110</v>
      </c>
      <c r="F677">
        <v>8736</v>
      </c>
      <c r="G677">
        <v>2025</v>
      </c>
      <c r="H677">
        <v>2</v>
      </c>
      <c r="I677">
        <v>2</v>
      </c>
    </row>
    <row r="678" spans="1:9" x14ac:dyDescent="0.35">
      <c r="A678" t="str">
        <f t="shared" si="10"/>
        <v>networkturpe_power_costS1202622</v>
      </c>
      <c r="C678" t="s">
        <v>96</v>
      </c>
      <c r="D678" t="s">
        <v>97</v>
      </c>
      <c r="E678" t="s">
        <v>110</v>
      </c>
      <c r="F678">
        <v>3556.246544623049</v>
      </c>
      <c r="G678">
        <v>2026</v>
      </c>
      <c r="H678">
        <v>2</v>
      </c>
      <c r="I678">
        <v>2</v>
      </c>
    </row>
    <row r="679" spans="1:9" x14ac:dyDescent="0.35">
      <c r="A679" t="str">
        <f t="shared" si="10"/>
        <v>networkturpe_energy_costS1202622</v>
      </c>
      <c r="C679" t="s">
        <v>96</v>
      </c>
      <c r="D679" t="s">
        <v>98</v>
      </c>
      <c r="E679" t="s">
        <v>110</v>
      </c>
      <c r="F679">
        <v>2345.6723076218482</v>
      </c>
      <c r="G679">
        <v>2026</v>
      </c>
      <c r="H679">
        <v>2</v>
      </c>
      <c r="I679">
        <v>2</v>
      </c>
    </row>
    <row r="680" spans="1:9" x14ac:dyDescent="0.35">
      <c r="A680" t="str">
        <f t="shared" si="10"/>
        <v>DAcostS1202622</v>
      </c>
      <c r="C680" t="s">
        <v>99</v>
      </c>
      <c r="D680" t="s">
        <v>100</v>
      </c>
      <c r="E680" t="s">
        <v>110</v>
      </c>
      <c r="F680">
        <v>19634.67563575635</v>
      </c>
      <c r="G680">
        <v>2026</v>
      </c>
      <c r="H680">
        <v>2</v>
      </c>
      <c r="I680">
        <v>2</v>
      </c>
    </row>
    <row r="681" spans="1:9" x14ac:dyDescent="0.35">
      <c r="A681" t="str">
        <f t="shared" si="10"/>
        <v>DAincomeS1202622</v>
      </c>
      <c r="C681" t="s">
        <v>99</v>
      </c>
      <c r="D681" t="s">
        <v>101</v>
      </c>
      <c r="E681" t="s">
        <v>110</v>
      </c>
      <c r="F681">
        <v>25015.195896909201</v>
      </c>
      <c r="G681">
        <v>2026</v>
      </c>
      <c r="H681">
        <v>2</v>
      </c>
      <c r="I681">
        <v>2</v>
      </c>
    </row>
    <row r="682" spans="1:9" x14ac:dyDescent="0.35">
      <c r="A682" t="str">
        <f t="shared" si="10"/>
        <v>DAenergy_boughtS1202622</v>
      </c>
      <c r="C682" t="s">
        <v>99</v>
      </c>
      <c r="D682" t="s">
        <v>111</v>
      </c>
      <c r="E682" t="s">
        <v>110</v>
      </c>
      <c r="F682">
        <v>157.25382552816509</v>
      </c>
      <c r="G682">
        <v>2026</v>
      </c>
      <c r="H682">
        <v>2</v>
      </c>
      <c r="I682">
        <v>2</v>
      </c>
    </row>
    <row r="683" spans="1:9" x14ac:dyDescent="0.35">
      <c r="A683" t="str">
        <f t="shared" si="10"/>
        <v>DAenergy_soldS1202622</v>
      </c>
      <c r="C683" t="s">
        <v>99</v>
      </c>
      <c r="D683" t="s">
        <v>112</v>
      </c>
      <c r="E683" t="s">
        <v>110</v>
      </c>
      <c r="F683">
        <v>120.9344592238467</v>
      </c>
      <c r="G683">
        <v>2026</v>
      </c>
      <c r="H683">
        <v>2</v>
      </c>
      <c r="I683">
        <v>2</v>
      </c>
    </row>
    <row r="684" spans="1:9" x14ac:dyDescent="0.35">
      <c r="A684" t="str">
        <f t="shared" si="10"/>
        <v>DAhours_boughtS1202622</v>
      </c>
      <c r="C684" t="s">
        <v>99</v>
      </c>
      <c r="D684" t="s">
        <v>113</v>
      </c>
      <c r="E684" t="s">
        <v>110</v>
      </c>
      <c r="F684">
        <v>821</v>
      </c>
      <c r="G684">
        <v>2026</v>
      </c>
      <c r="H684">
        <v>2</v>
      </c>
      <c r="I684">
        <v>2</v>
      </c>
    </row>
    <row r="685" spans="1:9" x14ac:dyDescent="0.35">
      <c r="A685" t="str">
        <f t="shared" si="10"/>
        <v>DAhours_soldS1202622</v>
      </c>
      <c r="C685" t="s">
        <v>99</v>
      </c>
      <c r="D685" t="s">
        <v>114</v>
      </c>
      <c r="E685" t="s">
        <v>110</v>
      </c>
      <c r="F685">
        <v>125</v>
      </c>
      <c r="G685">
        <v>2026</v>
      </c>
      <c r="H685">
        <v>2</v>
      </c>
      <c r="I685">
        <v>2</v>
      </c>
    </row>
    <row r="686" spans="1:9" x14ac:dyDescent="0.35">
      <c r="A686" t="str">
        <f t="shared" si="10"/>
        <v>DAco2_emissionS1202622</v>
      </c>
      <c r="B686" t="s">
        <v>95</v>
      </c>
      <c r="C686" t="s">
        <v>99</v>
      </c>
      <c r="D686" t="s">
        <v>204</v>
      </c>
      <c r="E686" t="s">
        <v>110</v>
      </c>
      <c r="F686">
        <v>11007.767786971701</v>
      </c>
      <c r="G686">
        <v>2026</v>
      </c>
      <c r="H686">
        <v>2</v>
      </c>
      <c r="I686">
        <v>2</v>
      </c>
    </row>
    <row r="687" spans="1:9" x14ac:dyDescent="0.35">
      <c r="A687" t="str">
        <f t="shared" si="10"/>
        <v>fcrincomeS1202622</v>
      </c>
      <c r="B687" t="s">
        <v>95</v>
      </c>
      <c r="C687" t="s">
        <v>102</v>
      </c>
      <c r="D687" t="s">
        <v>101</v>
      </c>
      <c r="E687" t="s">
        <v>110</v>
      </c>
      <c r="F687">
        <v>0</v>
      </c>
      <c r="G687">
        <v>2026</v>
      </c>
      <c r="H687">
        <v>2</v>
      </c>
      <c r="I687">
        <v>2</v>
      </c>
    </row>
    <row r="688" spans="1:9" x14ac:dyDescent="0.35">
      <c r="A688" t="str">
        <f t="shared" si="10"/>
        <v>fcractivation_hoursS1202622</v>
      </c>
      <c r="C688" t="s">
        <v>102</v>
      </c>
      <c r="D688" t="s">
        <v>115</v>
      </c>
      <c r="E688" t="s">
        <v>110</v>
      </c>
      <c r="F688">
        <v>0</v>
      </c>
      <c r="G688">
        <v>2026</v>
      </c>
      <c r="H688">
        <v>2</v>
      </c>
      <c r="I688">
        <v>2</v>
      </c>
    </row>
    <row r="689" spans="1:9" x14ac:dyDescent="0.35">
      <c r="A689" t="str">
        <f t="shared" si="10"/>
        <v>afrrincomeS1202622</v>
      </c>
      <c r="C689" t="s">
        <v>103</v>
      </c>
      <c r="D689" t="s">
        <v>101</v>
      </c>
      <c r="E689" t="s">
        <v>110</v>
      </c>
      <c r="F689">
        <v>98918.973096276546</v>
      </c>
      <c r="G689">
        <v>2026</v>
      </c>
      <c r="H689">
        <v>2</v>
      </c>
      <c r="I689">
        <v>2</v>
      </c>
    </row>
    <row r="690" spans="1:9" x14ac:dyDescent="0.35">
      <c r="A690" t="str">
        <f t="shared" si="10"/>
        <v>afrractivation_hoursS1202622</v>
      </c>
      <c r="C690" t="s">
        <v>103</v>
      </c>
      <c r="D690" t="s">
        <v>115</v>
      </c>
      <c r="E690" t="s">
        <v>110</v>
      </c>
      <c r="F690">
        <v>8747</v>
      </c>
      <c r="G690">
        <v>2026</v>
      </c>
      <c r="H690">
        <v>2</v>
      </c>
      <c r="I690">
        <v>2</v>
      </c>
    </row>
    <row r="691" spans="1:9" x14ac:dyDescent="0.35">
      <c r="A691" t="str">
        <f t="shared" si="10"/>
        <v>networkturpe_power_costS1202722</v>
      </c>
      <c r="C691" t="s">
        <v>96</v>
      </c>
      <c r="D691" t="s">
        <v>97</v>
      </c>
      <c r="E691" t="s">
        <v>110</v>
      </c>
      <c r="F691">
        <v>4082.1089783577449</v>
      </c>
      <c r="G691">
        <v>2027</v>
      </c>
      <c r="H691">
        <v>2</v>
      </c>
      <c r="I691">
        <v>2</v>
      </c>
    </row>
    <row r="692" spans="1:9" x14ac:dyDescent="0.35">
      <c r="A692" t="str">
        <f t="shared" si="10"/>
        <v>networkturpe_energy_costS1202722</v>
      </c>
      <c r="C692" t="s">
        <v>96</v>
      </c>
      <c r="D692" t="s">
        <v>98</v>
      </c>
      <c r="E692" t="s">
        <v>110</v>
      </c>
      <c r="F692">
        <v>4137.2137031473558</v>
      </c>
      <c r="G692">
        <v>2027</v>
      </c>
      <c r="H692">
        <v>2</v>
      </c>
      <c r="I692">
        <v>2</v>
      </c>
    </row>
    <row r="693" spans="1:9" x14ac:dyDescent="0.35">
      <c r="A693" t="str">
        <f t="shared" si="10"/>
        <v>DAcostS1202722</v>
      </c>
      <c r="C693" t="s">
        <v>99</v>
      </c>
      <c r="D693" t="s">
        <v>100</v>
      </c>
      <c r="E693" t="s">
        <v>110</v>
      </c>
      <c r="F693">
        <v>27289.980475128272</v>
      </c>
      <c r="G693">
        <v>2027</v>
      </c>
      <c r="H693">
        <v>2</v>
      </c>
      <c r="I693">
        <v>2</v>
      </c>
    </row>
    <row r="694" spans="1:9" x14ac:dyDescent="0.35">
      <c r="A694" t="str">
        <f t="shared" si="10"/>
        <v>DAincomeS1202722</v>
      </c>
      <c r="C694" t="s">
        <v>99</v>
      </c>
      <c r="D694" t="s">
        <v>101</v>
      </c>
      <c r="E694" t="s">
        <v>110</v>
      </c>
      <c r="F694">
        <v>37149.608444445083</v>
      </c>
      <c r="G694">
        <v>2027</v>
      </c>
      <c r="H694">
        <v>2</v>
      </c>
      <c r="I694">
        <v>2</v>
      </c>
    </row>
    <row r="695" spans="1:9" x14ac:dyDescent="0.35">
      <c r="A695" t="str">
        <f t="shared" si="10"/>
        <v>DAenergy_boughtS1202722</v>
      </c>
      <c r="C695" t="s">
        <v>99</v>
      </c>
      <c r="D695" t="s">
        <v>111</v>
      </c>
      <c r="E695" t="s">
        <v>110</v>
      </c>
      <c r="F695">
        <v>280.37144547749648</v>
      </c>
      <c r="G695">
        <v>2027</v>
      </c>
      <c r="H695">
        <v>2</v>
      </c>
      <c r="I695">
        <v>2</v>
      </c>
    </row>
    <row r="696" spans="1:9" x14ac:dyDescent="0.35">
      <c r="A696" t="str">
        <f t="shared" si="10"/>
        <v>DAenergy_soldS1202722</v>
      </c>
      <c r="C696" t="s">
        <v>99</v>
      </c>
      <c r="D696" t="s">
        <v>112</v>
      </c>
      <c r="E696" t="s">
        <v>110</v>
      </c>
      <c r="F696">
        <v>220.25649142958571</v>
      </c>
      <c r="G696">
        <v>2027</v>
      </c>
      <c r="H696">
        <v>2</v>
      </c>
      <c r="I696">
        <v>2</v>
      </c>
    </row>
    <row r="697" spans="1:9" x14ac:dyDescent="0.35">
      <c r="A697" t="str">
        <f t="shared" si="10"/>
        <v>DAhours_boughtS1202722</v>
      </c>
      <c r="C697" t="s">
        <v>99</v>
      </c>
      <c r="D697" t="s">
        <v>113</v>
      </c>
      <c r="E697" t="s">
        <v>110</v>
      </c>
      <c r="F697">
        <v>1049</v>
      </c>
      <c r="G697">
        <v>2027</v>
      </c>
      <c r="H697">
        <v>2</v>
      </c>
      <c r="I697">
        <v>2</v>
      </c>
    </row>
    <row r="698" spans="1:9" x14ac:dyDescent="0.35">
      <c r="A698" t="str">
        <f t="shared" si="10"/>
        <v>DAhours_soldS1202722</v>
      </c>
      <c r="B698" t="s">
        <v>95</v>
      </c>
      <c r="C698" t="s">
        <v>99</v>
      </c>
      <c r="D698" t="s">
        <v>114</v>
      </c>
      <c r="E698" t="s">
        <v>110</v>
      </c>
      <c r="F698">
        <v>203</v>
      </c>
      <c r="G698">
        <v>2027</v>
      </c>
      <c r="H698">
        <v>2</v>
      </c>
      <c r="I698">
        <v>2</v>
      </c>
    </row>
    <row r="699" spans="1:9" x14ac:dyDescent="0.35">
      <c r="A699" t="str">
        <f t="shared" si="10"/>
        <v>DAco2_emissionS1202722</v>
      </c>
      <c r="B699" t="s">
        <v>95</v>
      </c>
      <c r="C699" t="s">
        <v>99</v>
      </c>
      <c r="D699" t="s">
        <v>204</v>
      </c>
      <c r="E699" t="s">
        <v>110</v>
      </c>
      <c r="F699">
        <v>19626.001183424742</v>
      </c>
      <c r="G699">
        <v>2027</v>
      </c>
      <c r="H699">
        <v>2</v>
      </c>
      <c r="I699">
        <v>2</v>
      </c>
    </row>
    <row r="700" spans="1:9" x14ac:dyDescent="0.35">
      <c r="A700" t="str">
        <f t="shared" si="10"/>
        <v>fcrincomeS1202722</v>
      </c>
      <c r="C700" t="s">
        <v>102</v>
      </c>
      <c r="D700" t="s">
        <v>101</v>
      </c>
      <c r="E700" t="s">
        <v>110</v>
      </c>
      <c r="F700">
        <v>0</v>
      </c>
      <c r="G700">
        <v>2027</v>
      </c>
      <c r="H700">
        <v>2</v>
      </c>
      <c r="I700">
        <v>2</v>
      </c>
    </row>
    <row r="701" spans="1:9" x14ac:dyDescent="0.35">
      <c r="A701" t="str">
        <f t="shared" si="10"/>
        <v>fcractivation_hoursS1202722</v>
      </c>
      <c r="C701" t="s">
        <v>102</v>
      </c>
      <c r="D701" t="s">
        <v>115</v>
      </c>
      <c r="E701" t="s">
        <v>110</v>
      </c>
      <c r="F701">
        <v>0</v>
      </c>
      <c r="G701">
        <v>2027</v>
      </c>
      <c r="H701">
        <v>2</v>
      </c>
      <c r="I701">
        <v>2</v>
      </c>
    </row>
    <row r="702" spans="1:9" x14ac:dyDescent="0.35">
      <c r="A702" t="str">
        <f t="shared" si="10"/>
        <v>afrrincomeS1202722</v>
      </c>
      <c r="C702" t="s">
        <v>103</v>
      </c>
      <c r="D702" t="s">
        <v>101</v>
      </c>
      <c r="E702" t="s">
        <v>110</v>
      </c>
      <c r="F702">
        <v>84915.16044286816</v>
      </c>
      <c r="G702">
        <v>2027</v>
      </c>
      <c r="H702">
        <v>2</v>
      </c>
      <c r="I702">
        <v>2</v>
      </c>
    </row>
    <row r="703" spans="1:9" x14ac:dyDescent="0.35">
      <c r="A703" t="str">
        <f t="shared" si="10"/>
        <v>afrractivation_hoursS1202722</v>
      </c>
      <c r="C703" t="s">
        <v>103</v>
      </c>
      <c r="D703" t="s">
        <v>115</v>
      </c>
      <c r="E703" t="s">
        <v>110</v>
      </c>
      <c r="F703">
        <v>8725</v>
      </c>
      <c r="G703">
        <v>2027</v>
      </c>
      <c r="H703">
        <v>2</v>
      </c>
      <c r="I703">
        <v>2</v>
      </c>
    </row>
    <row r="704" spans="1:9" x14ac:dyDescent="0.35">
      <c r="A704" t="str">
        <f t="shared" si="10"/>
        <v>networkturpe_power_costS1202822</v>
      </c>
      <c r="C704" t="s">
        <v>96</v>
      </c>
      <c r="D704" t="s">
        <v>97</v>
      </c>
      <c r="E704" t="s">
        <v>110</v>
      </c>
      <c r="F704">
        <v>4760.1486374078286</v>
      </c>
      <c r="G704">
        <v>2028</v>
      </c>
      <c r="H704">
        <v>2</v>
      </c>
      <c r="I704">
        <v>2</v>
      </c>
    </row>
    <row r="705" spans="1:9" x14ac:dyDescent="0.35">
      <c r="A705" t="str">
        <f t="shared" si="10"/>
        <v>networkturpe_energy_costS1202822</v>
      </c>
      <c r="C705" t="s">
        <v>96</v>
      </c>
      <c r="D705" t="s">
        <v>98</v>
      </c>
      <c r="E705" t="s">
        <v>110</v>
      </c>
      <c r="F705">
        <v>5874.6725196989137</v>
      </c>
      <c r="G705">
        <v>2028</v>
      </c>
      <c r="H705">
        <v>2</v>
      </c>
      <c r="I705">
        <v>2</v>
      </c>
    </row>
    <row r="706" spans="1:9" x14ac:dyDescent="0.35">
      <c r="A706" t="str">
        <f t="shared" si="10"/>
        <v>DAcostS1202822</v>
      </c>
      <c r="C706" t="s">
        <v>99</v>
      </c>
      <c r="D706" t="s">
        <v>100</v>
      </c>
      <c r="E706" t="s">
        <v>110</v>
      </c>
      <c r="F706">
        <v>35229.803810530058</v>
      </c>
      <c r="G706">
        <v>2028</v>
      </c>
      <c r="H706">
        <v>2</v>
      </c>
      <c r="I706">
        <v>2</v>
      </c>
    </row>
    <row r="707" spans="1:9" x14ac:dyDescent="0.35">
      <c r="A707" t="str">
        <f t="shared" ref="A707:A770" si="11">C707&amp;D707&amp;E707&amp;G707&amp;H707&amp;I707</f>
        <v>DAincomeS1202822</v>
      </c>
      <c r="C707" t="s">
        <v>99</v>
      </c>
      <c r="D707" t="s">
        <v>101</v>
      </c>
      <c r="E707" t="s">
        <v>110</v>
      </c>
      <c r="F707">
        <v>49538.978346227232</v>
      </c>
      <c r="G707">
        <v>2028</v>
      </c>
      <c r="H707">
        <v>2</v>
      </c>
      <c r="I707">
        <v>2</v>
      </c>
    </row>
    <row r="708" spans="1:9" x14ac:dyDescent="0.35">
      <c r="A708" t="str">
        <f t="shared" si="11"/>
        <v>DAenergy_boughtS1202822</v>
      </c>
      <c r="C708" t="s">
        <v>99</v>
      </c>
      <c r="D708" t="s">
        <v>111</v>
      </c>
      <c r="E708" t="s">
        <v>110</v>
      </c>
      <c r="F708">
        <v>395.44976411550351</v>
      </c>
      <c r="G708">
        <v>2028</v>
      </c>
      <c r="H708">
        <v>2</v>
      </c>
      <c r="I708">
        <v>2</v>
      </c>
    </row>
    <row r="709" spans="1:9" x14ac:dyDescent="0.35">
      <c r="A709" t="str">
        <f t="shared" si="11"/>
        <v>DAenergy_soldS1202822</v>
      </c>
      <c r="C709" t="s">
        <v>99</v>
      </c>
      <c r="D709" t="s">
        <v>112</v>
      </c>
      <c r="E709" t="s">
        <v>110</v>
      </c>
      <c r="F709">
        <v>313.29490205210419</v>
      </c>
      <c r="G709">
        <v>2028</v>
      </c>
      <c r="H709">
        <v>2</v>
      </c>
      <c r="I709">
        <v>2</v>
      </c>
    </row>
    <row r="710" spans="1:9" x14ac:dyDescent="0.35">
      <c r="A710" t="str">
        <f t="shared" si="11"/>
        <v>DAhours_boughtS1202822</v>
      </c>
      <c r="B710" t="s">
        <v>95</v>
      </c>
      <c r="C710" t="s">
        <v>99</v>
      </c>
      <c r="D710" t="s">
        <v>113</v>
      </c>
      <c r="E710" t="s">
        <v>110</v>
      </c>
      <c r="F710">
        <v>1260</v>
      </c>
      <c r="G710">
        <v>2028</v>
      </c>
      <c r="H710">
        <v>2</v>
      </c>
      <c r="I710">
        <v>2</v>
      </c>
    </row>
    <row r="711" spans="1:9" x14ac:dyDescent="0.35">
      <c r="A711" t="str">
        <f t="shared" si="11"/>
        <v>DAhours_soldS1202822</v>
      </c>
      <c r="B711" t="s">
        <v>95</v>
      </c>
      <c r="C711" t="s">
        <v>99</v>
      </c>
      <c r="D711" t="s">
        <v>114</v>
      </c>
      <c r="E711" t="s">
        <v>110</v>
      </c>
      <c r="F711">
        <v>252</v>
      </c>
      <c r="G711">
        <v>2028</v>
      </c>
      <c r="H711">
        <v>2</v>
      </c>
      <c r="I711">
        <v>2</v>
      </c>
    </row>
    <row r="712" spans="1:9" x14ac:dyDescent="0.35">
      <c r="A712" t="str">
        <f t="shared" si="11"/>
        <v>DAco2_emissionS1202822</v>
      </c>
      <c r="C712" t="s">
        <v>99</v>
      </c>
      <c r="D712" t="s">
        <v>204</v>
      </c>
      <c r="E712" t="s">
        <v>110</v>
      </c>
      <c r="F712">
        <v>27681.483488085549</v>
      </c>
      <c r="G712">
        <v>2028</v>
      </c>
      <c r="H712">
        <v>2</v>
      </c>
      <c r="I712">
        <v>2</v>
      </c>
    </row>
    <row r="713" spans="1:9" x14ac:dyDescent="0.35">
      <c r="A713" t="str">
        <f t="shared" si="11"/>
        <v>fcrincomeS1202822</v>
      </c>
      <c r="C713" t="s">
        <v>102</v>
      </c>
      <c r="D713" t="s">
        <v>101</v>
      </c>
      <c r="E713" t="s">
        <v>110</v>
      </c>
      <c r="F713">
        <v>0</v>
      </c>
      <c r="G713">
        <v>2028</v>
      </c>
      <c r="H713">
        <v>2</v>
      </c>
      <c r="I713">
        <v>2</v>
      </c>
    </row>
    <row r="714" spans="1:9" x14ac:dyDescent="0.35">
      <c r="A714" t="str">
        <f t="shared" si="11"/>
        <v>fcractivation_hoursS1202822</v>
      </c>
      <c r="C714" t="s">
        <v>102</v>
      </c>
      <c r="D714" t="s">
        <v>115</v>
      </c>
      <c r="E714" t="s">
        <v>110</v>
      </c>
      <c r="F714">
        <v>0</v>
      </c>
      <c r="G714">
        <v>2028</v>
      </c>
      <c r="H714">
        <v>2</v>
      </c>
      <c r="I714">
        <v>2</v>
      </c>
    </row>
    <row r="715" spans="1:9" x14ac:dyDescent="0.35">
      <c r="A715" t="str">
        <f t="shared" si="11"/>
        <v>afrrincomeS1202822</v>
      </c>
      <c r="C715" t="s">
        <v>103</v>
      </c>
      <c r="D715" t="s">
        <v>101</v>
      </c>
      <c r="E715" t="s">
        <v>110</v>
      </c>
      <c r="F715">
        <v>84603.539179329717</v>
      </c>
      <c r="G715">
        <v>2028</v>
      </c>
      <c r="H715">
        <v>2</v>
      </c>
      <c r="I715">
        <v>2</v>
      </c>
    </row>
    <row r="716" spans="1:9" x14ac:dyDescent="0.35">
      <c r="A716" t="str">
        <f t="shared" si="11"/>
        <v>afrractivation_hoursS1202822</v>
      </c>
      <c r="C716" t="s">
        <v>103</v>
      </c>
      <c r="D716" t="s">
        <v>115</v>
      </c>
      <c r="E716" t="s">
        <v>110</v>
      </c>
      <c r="F716">
        <v>8727</v>
      </c>
      <c r="G716">
        <v>2028</v>
      </c>
      <c r="H716">
        <v>2</v>
      </c>
      <c r="I716">
        <v>2</v>
      </c>
    </row>
    <row r="717" spans="1:9" x14ac:dyDescent="0.35">
      <c r="A717" t="str">
        <f t="shared" si="11"/>
        <v>networkturpe_power_costS1202922</v>
      </c>
      <c r="C717" t="s">
        <v>96</v>
      </c>
      <c r="D717" t="s">
        <v>97</v>
      </c>
      <c r="E717" t="s">
        <v>110</v>
      </c>
      <c r="F717">
        <v>4648.9453601147397</v>
      </c>
      <c r="G717">
        <v>2029</v>
      </c>
      <c r="H717">
        <v>2</v>
      </c>
      <c r="I717">
        <v>2</v>
      </c>
    </row>
    <row r="718" spans="1:9" x14ac:dyDescent="0.35">
      <c r="A718" t="str">
        <f t="shared" si="11"/>
        <v>networkturpe_energy_costS1202922</v>
      </c>
      <c r="C718" t="s">
        <v>96</v>
      </c>
      <c r="D718" t="s">
        <v>98</v>
      </c>
      <c r="E718" t="s">
        <v>110</v>
      </c>
      <c r="F718">
        <v>5860.3013868274729</v>
      </c>
      <c r="G718">
        <v>2029</v>
      </c>
      <c r="H718">
        <v>2</v>
      </c>
      <c r="I718">
        <v>2</v>
      </c>
    </row>
    <row r="719" spans="1:9" x14ac:dyDescent="0.35">
      <c r="A719" t="str">
        <f t="shared" si="11"/>
        <v>DAcostS1202922</v>
      </c>
      <c r="C719" t="s">
        <v>99</v>
      </c>
      <c r="D719" t="s">
        <v>100</v>
      </c>
      <c r="E719" t="s">
        <v>110</v>
      </c>
      <c r="F719">
        <v>27714.203244265849</v>
      </c>
      <c r="G719">
        <v>2029</v>
      </c>
      <c r="H719">
        <v>2</v>
      </c>
      <c r="I719">
        <v>2</v>
      </c>
    </row>
    <row r="720" spans="1:9" x14ac:dyDescent="0.35">
      <c r="A720" t="str">
        <f t="shared" si="11"/>
        <v>DAincomeS1202922</v>
      </c>
      <c r="C720" t="s">
        <v>99</v>
      </c>
      <c r="D720" t="s">
        <v>101</v>
      </c>
      <c r="E720" t="s">
        <v>110</v>
      </c>
      <c r="F720">
        <v>42788.576139802237</v>
      </c>
      <c r="G720">
        <v>2029</v>
      </c>
      <c r="H720">
        <v>2</v>
      </c>
      <c r="I720">
        <v>2</v>
      </c>
    </row>
    <row r="721" spans="1:9" x14ac:dyDescent="0.35">
      <c r="A721" t="str">
        <f t="shared" si="11"/>
        <v>DAenergy_boughtS1202922</v>
      </c>
      <c r="C721" t="s">
        <v>99</v>
      </c>
      <c r="D721" t="s">
        <v>111</v>
      </c>
      <c r="E721" t="s">
        <v>110</v>
      </c>
      <c r="F721">
        <v>390.02519916843971</v>
      </c>
      <c r="G721">
        <v>2029</v>
      </c>
      <c r="H721">
        <v>2</v>
      </c>
      <c r="I721">
        <v>2</v>
      </c>
    </row>
    <row r="722" spans="1:9" x14ac:dyDescent="0.35">
      <c r="A722" t="str">
        <f t="shared" si="11"/>
        <v>DAenergy_soldS1202922</v>
      </c>
      <c r="B722" t="s">
        <v>95</v>
      </c>
      <c r="C722" t="s">
        <v>99</v>
      </c>
      <c r="D722" t="s">
        <v>112</v>
      </c>
      <c r="E722" t="s">
        <v>110</v>
      </c>
      <c r="F722">
        <v>308.96985537580241</v>
      </c>
      <c r="G722">
        <v>2029</v>
      </c>
      <c r="H722">
        <v>2</v>
      </c>
      <c r="I722">
        <v>2</v>
      </c>
    </row>
    <row r="723" spans="1:9" x14ac:dyDescent="0.35">
      <c r="A723" t="str">
        <f t="shared" si="11"/>
        <v>DAhours_boughtS1202922</v>
      </c>
      <c r="B723" t="s">
        <v>95</v>
      </c>
      <c r="C723" t="s">
        <v>99</v>
      </c>
      <c r="D723" t="s">
        <v>113</v>
      </c>
      <c r="E723" t="s">
        <v>110</v>
      </c>
      <c r="F723">
        <v>1349</v>
      </c>
      <c r="G723">
        <v>2029</v>
      </c>
      <c r="H723">
        <v>2</v>
      </c>
      <c r="I723">
        <v>2</v>
      </c>
    </row>
    <row r="724" spans="1:9" x14ac:dyDescent="0.35">
      <c r="A724" t="str">
        <f t="shared" si="11"/>
        <v>DAhours_soldS1202922</v>
      </c>
      <c r="C724" t="s">
        <v>99</v>
      </c>
      <c r="D724" t="s">
        <v>114</v>
      </c>
      <c r="E724" t="s">
        <v>110</v>
      </c>
      <c r="F724">
        <v>263</v>
      </c>
      <c r="G724">
        <v>2029</v>
      </c>
      <c r="H724">
        <v>2</v>
      </c>
      <c r="I724">
        <v>2</v>
      </c>
    </row>
    <row r="725" spans="1:9" x14ac:dyDescent="0.35">
      <c r="A725" t="str">
        <f t="shared" si="11"/>
        <v>DAco2_emissionS1202922</v>
      </c>
      <c r="C725" t="s">
        <v>99</v>
      </c>
      <c r="D725" t="s">
        <v>204</v>
      </c>
      <c r="E725" t="s">
        <v>110</v>
      </c>
      <c r="F725">
        <v>27301.76394179116</v>
      </c>
      <c r="G725">
        <v>2029</v>
      </c>
      <c r="H725">
        <v>2</v>
      </c>
      <c r="I725">
        <v>2</v>
      </c>
    </row>
    <row r="726" spans="1:9" x14ac:dyDescent="0.35">
      <c r="A726" t="str">
        <f t="shared" si="11"/>
        <v>fcrincomeS1202922</v>
      </c>
      <c r="C726" t="s">
        <v>102</v>
      </c>
      <c r="D726" t="s">
        <v>101</v>
      </c>
      <c r="E726" t="s">
        <v>110</v>
      </c>
      <c r="F726">
        <v>0</v>
      </c>
      <c r="G726">
        <v>2029</v>
      </c>
      <c r="H726">
        <v>2</v>
      </c>
      <c r="I726">
        <v>2</v>
      </c>
    </row>
    <row r="727" spans="1:9" x14ac:dyDescent="0.35">
      <c r="A727" t="str">
        <f t="shared" si="11"/>
        <v>fcractivation_hoursS1202922</v>
      </c>
      <c r="C727" t="s">
        <v>102</v>
      </c>
      <c r="D727" t="s">
        <v>115</v>
      </c>
      <c r="E727" t="s">
        <v>110</v>
      </c>
      <c r="F727">
        <v>0</v>
      </c>
      <c r="G727">
        <v>2029</v>
      </c>
      <c r="H727">
        <v>2</v>
      </c>
      <c r="I727">
        <v>2</v>
      </c>
    </row>
    <row r="728" spans="1:9" x14ac:dyDescent="0.35">
      <c r="A728" t="str">
        <f t="shared" si="11"/>
        <v>afrrincomeS1202922</v>
      </c>
      <c r="C728" t="s">
        <v>103</v>
      </c>
      <c r="D728" t="s">
        <v>101</v>
      </c>
      <c r="E728" t="s">
        <v>110</v>
      </c>
      <c r="F728">
        <v>89629.579132286803</v>
      </c>
      <c r="G728">
        <v>2029</v>
      </c>
      <c r="H728">
        <v>2</v>
      </c>
      <c r="I728">
        <v>2</v>
      </c>
    </row>
    <row r="729" spans="1:9" x14ac:dyDescent="0.35">
      <c r="A729" t="str">
        <f t="shared" si="11"/>
        <v>afrractivation_hoursS1202922</v>
      </c>
      <c r="C729" t="s">
        <v>103</v>
      </c>
      <c r="D729" t="s">
        <v>115</v>
      </c>
      <c r="E729" t="s">
        <v>110</v>
      </c>
      <c r="F729">
        <v>8733</v>
      </c>
      <c r="G729">
        <v>2029</v>
      </c>
      <c r="H729">
        <v>2</v>
      </c>
      <c r="I729">
        <v>2</v>
      </c>
    </row>
    <row r="730" spans="1:9" x14ac:dyDescent="0.35">
      <c r="A730" t="str">
        <f t="shared" si="11"/>
        <v>networkturpe_power_costS1203022</v>
      </c>
      <c r="C730" t="s">
        <v>96</v>
      </c>
      <c r="D730" t="s">
        <v>97</v>
      </c>
      <c r="E730" t="s">
        <v>110</v>
      </c>
      <c r="F730">
        <v>5469.5344776846887</v>
      </c>
      <c r="G730">
        <v>2030</v>
      </c>
      <c r="H730">
        <v>2</v>
      </c>
      <c r="I730">
        <v>2</v>
      </c>
    </row>
    <row r="731" spans="1:9" x14ac:dyDescent="0.35">
      <c r="A731" t="str">
        <f t="shared" si="11"/>
        <v>networkturpe_energy_costS1203022</v>
      </c>
      <c r="C731" t="s">
        <v>96</v>
      </c>
      <c r="D731" t="s">
        <v>98</v>
      </c>
      <c r="E731" t="s">
        <v>110</v>
      </c>
      <c r="F731">
        <v>9219.67503005859</v>
      </c>
      <c r="G731">
        <v>2030</v>
      </c>
      <c r="H731">
        <v>2</v>
      </c>
      <c r="I731">
        <v>2</v>
      </c>
    </row>
    <row r="732" spans="1:9" x14ac:dyDescent="0.35">
      <c r="A732" t="str">
        <f t="shared" si="11"/>
        <v>DAcostS1203022</v>
      </c>
      <c r="C732" t="s">
        <v>99</v>
      </c>
      <c r="D732" t="s">
        <v>100</v>
      </c>
      <c r="E732" t="s">
        <v>110</v>
      </c>
      <c r="F732">
        <v>33021.332479779863</v>
      </c>
      <c r="G732">
        <v>2030</v>
      </c>
      <c r="H732">
        <v>2</v>
      </c>
      <c r="I732">
        <v>2</v>
      </c>
    </row>
    <row r="733" spans="1:9" x14ac:dyDescent="0.35">
      <c r="A733" t="str">
        <f t="shared" si="11"/>
        <v>DAincomeS1203022</v>
      </c>
      <c r="C733" t="s">
        <v>99</v>
      </c>
      <c r="D733" t="s">
        <v>101</v>
      </c>
      <c r="E733" t="s">
        <v>110</v>
      </c>
      <c r="F733">
        <v>56777.414754688747</v>
      </c>
      <c r="G733">
        <v>2030</v>
      </c>
      <c r="H733">
        <v>2</v>
      </c>
      <c r="I733">
        <v>2</v>
      </c>
    </row>
    <row r="734" spans="1:9" x14ac:dyDescent="0.35">
      <c r="A734" t="str">
        <f t="shared" si="11"/>
        <v>DAenergy_boughtS1203022</v>
      </c>
      <c r="B734" t="s">
        <v>95</v>
      </c>
      <c r="C734" t="s">
        <v>99</v>
      </c>
      <c r="D734" t="s">
        <v>111</v>
      </c>
      <c r="E734" t="s">
        <v>110</v>
      </c>
      <c r="F734">
        <v>599.20536501583285</v>
      </c>
      <c r="G734">
        <v>2030</v>
      </c>
      <c r="H734">
        <v>2</v>
      </c>
      <c r="I734">
        <v>2</v>
      </c>
    </row>
    <row r="735" spans="1:9" x14ac:dyDescent="0.35">
      <c r="A735" t="str">
        <f t="shared" si="11"/>
        <v>DAenergy_soldS1203022</v>
      </c>
      <c r="B735" t="s">
        <v>95</v>
      </c>
      <c r="C735" t="s">
        <v>99</v>
      </c>
      <c r="D735" t="s">
        <v>112</v>
      </c>
      <c r="E735" t="s">
        <v>110</v>
      </c>
      <c r="F735">
        <v>478.37597469715871</v>
      </c>
      <c r="G735">
        <v>2030</v>
      </c>
      <c r="H735">
        <v>2</v>
      </c>
      <c r="I735">
        <v>2</v>
      </c>
    </row>
    <row r="736" spans="1:9" x14ac:dyDescent="0.35">
      <c r="A736" t="str">
        <f t="shared" si="11"/>
        <v>DAhours_boughtS1203022</v>
      </c>
      <c r="C736" t="s">
        <v>99</v>
      </c>
      <c r="D736" t="s">
        <v>113</v>
      </c>
      <c r="E736" t="s">
        <v>110</v>
      </c>
      <c r="F736">
        <v>1776</v>
      </c>
      <c r="G736">
        <v>2030</v>
      </c>
      <c r="H736">
        <v>2</v>
      </c>
      <c r="I736">
        <v>2</v>
      </c>
    </row>
    <row r="737" spans="1:9" x14ac:dyDescent="0.35">
      <c r="A737" t="str">
        <f t="shared" si="11"/>
        <v>DAhours_soldS1203022</v>
      </c>
      <c r="C737" t="s">
        <v>99</v>
      </c>
      <c r="D737" t="s">
        <v>114</v>
      </c>
      <c r="E737" t="s">
        <v>110</v>
      </c>
      <c r="F737">
        <v>395</v>
      </c>
      <c r="G737">
        <v>2030</v>
      </c>
      <c r="H737">
        <v>2</v>
      </c>
      <c r="I737">
        <v>2</v>
      </c>
    </row>
    <row r="738" spans="1:9" x14ac:dyDescent="0.35">
      <c r="A738" t="str">
        <f t="shared" si="11"/>
        <v>DAco2_emissionS1203022</v>
      </c>
      <c r="C738" t="s">
        <v>99</v>
      </c>
      <c r="D738" t="s">
        <v>204</v>
      </c>
      <c r="E738" t="s">
        <v>110</v>
      </c>
      <c r="F738">
        <v>41944.375551107652</v>
      </c>
      <c r="G738">
        <v>2030</v>
      </c>
      <c r="H738">
        <v>2</v>
      </c>
      <c r="I738">
        <v>2</v>
      </c>
    </row>
    <row r="739" spans="1:9" x14ac:dyDescent="0.35">
      <c r="A739" t="str">
        <f t="shared" si="11"/>
        <v>fcrincomeS1203022</v>
      </c>
      <c r="C739" t="s">
        <v>102</v>
      </c>
      <c r="D739" t="s">
        <v>101</v>
      </c>
      <c r="E739" t="s">
        <v>110</v>
      </c>
      <c r="F739">
        <v>0.94569714331307186</v>
      </c>
      <c r="G739">
        <v>2030</v>
      </c>
      <c r="H739">
        <v>2</v>
      </c>
      <c r="I739">
        <v>2</v>
      </c>
    </row>
    <row r="740" spans="1:9" x14ac:dyDescent="0.35">
      <c r="A740" t="str">
        <f t="shared" si="11"/>
        <v>fcractivation_hoursS1203022</v>
      </c>
      <c r="C740" t="s">
        <v>102</v>
      </c>
      <c r="D740" t="s">
        <v>115</v>
      </c>
      <c r="E740" t="s">
        <v>110</v>
      </c>
      <c r="F740">
        <v>12</v>
      </c>
      <c r="G740">
        <v>2030</v>
      </c>
      <c r="H740">
        <v>2</v>
      </c>
      <c r="I740">
        <v>2</v>
      </c>
    </row>
    <row r="741" spans="1:9" x14ac:dyDescent="0.35">
      <c r="A741" t="str">
        <f t="shared" si="11"/>
        <v>afrrincomeS1203022</v>
      </c>
      <c r="C741" t="s">
        <v>103</v>
      </c>
      <c r="D741" t="s">
        <v>101</v>
      </c>
      <c r="E741" t="s">
        <v>110</v>
      </c>
      <c r="F741">
        <v>52702.609695767147</v>
      </c>
      <c r="G741">
        <v>2030</v>
      </c>
      <c r="H741">
        <v>2</v>
      </c>
      <c r="I741">
        <v>2</v>
      </c>
    </row>
    <row r="742" spans="1:9" x14ac:dyDescent="0.35">
      <c r="A742" t="str">
        <f t="shared" si="11"/>
        <v>afrractivation_hoursS1203022</v>
      </c>
      <c r="C742" t="s">
        <v>103</v>
      </c>
      <c r="D742" t="s">
        <v>115</v>
      </c>
      <c r="E742" t="s">
        <v>110</v>
      </c>
      <c r="F742">
        <v>8586</v>
      </c>
      <c r="G742">
        <v>2030</v>
      </c>
      <c r="H742">
        <v>2</v>
      </c>
      <c r="I742">
        <v>2</v>
      </c>
    </row>
    <row r="743" spans="1:9" x14ac:dyDescent="0.35">
      <c r="A743" t="str">
        <f t="shared" si="11"/>
        <v>networkturpe_power_costS1203122</v>
      </c>
      <c r="C743" t="s">
        <v>96</v>
      </c>
      <c r="D743" t="s">
        <v>97</v>
      </c>
      <c r="E743" t="s">
        <v>110</v>
      </c>
      <c r="F743">
        <v>5320.4241098638777</v>
      </c>
      <c r="G743">
        <v>2031</v>
      </c>
      <c r="H743">
        <v>2</v>
      </c>
      <c r="I743">
        <v>2</v>
      </c>
    </row>
    <row r="744" spans="1:9" x14ac:dyDescent="0.35">
      <c r="A744" t="str">
        <f t="shared" si="11"/>
        <v>networkturpe_energy_costS1203122</v>
      </c>
      <c r="C744" t="s">
        <v>96</v>
      </c>
      <c r="D744" t="s">
        <v>98</v>
      </c>
      <c r="E744" t="s">
        <v>110</v>
      </c>
      <c r="F744">
        <v>8991.6853944117756</v>
      </c>
      <c r="G744">
        <v>2031</v>
      </c>
      <c r="H744">
        <v>2</v>
      </c>
      <c r="I744">
        <v>2</v>
      </c>
    </row>
    <row r="745" spans="1:9" x14ac:dyDescent="0.35">
      <c r="A745" t="str">
        <f t="shared" si="11"/>
        <v>DAcostS1203122</v>
      </c>
      <c r="C745" t="s">
        <v>99</v>
      </c>
      <c r="D745" t="s">
        <v>100</v>
      </c>
      <c r="E745" t="s">
        <v>110</v>
      </c>
      <c r="F745">
        <v>27170.183784452289</v>
      </c>
      <c r="G745">
        <v>2031</v>
      </c>
      <c r="H745">
        <v>2</v>
      </c>
      <c r="I745">
        <v>2</v>
      </c>
    </row>
    <row r="746" spans="1:9" x14ac:dyDescent="0.35">
      <c r="A746" t="str">
        <f t="shared" si="11"/>
        <v>DAincomeS1203122</v>
      </c>
      <c r="B746" t="s">
        <v>95</v>
      </c>
      <c r="C746" t="s">
        <v>99</v>
      </c>
      <c r="D746" t="s">
        <v>101</v>
      </c>
      <c r="E746" t="s">
        <v>110</v>
      </c>
      <c r="F746">
        <v>50243.335211358914</v>
      </c>
      <c r="G746">
        <v>2031</v>
      </c>
      <c r="H746">
        <v>2</v>
      </c>
      <c r="I746">
        <v>2</v>
      </c>
    </row>
    <row r="747" spans="1:9" x14ac:dyDescent="0.35">
      <c r="A747" t="str">
        <f t="shared" si="11"/>
        <v>DAenergy_boughtS1203122</v>
      </c>
      <c r="B747" t="s">
        <v>95</v>
      </c>
      <c r="C747" t="s">
        <v>99</v>
      </c>
      <c r="D747" t="s">
        <v>111</v>
      </c>
      <c r="E747" t="s">
        <v>110</v>
      </c>
      <c r="F747">
        <v>580.33425074289505</v>
      </c>
      <c r="G747">
        <v>2031</v>
      </c>
      <c r="H747">
        <v>2</v>
      </c>
      <c r="I747">
        <v>2</v>
      </c>
    </row>
    <row r="748" spans="1:9" x14ac:dyDescent="0.35">
      <c r="A748" t="str">
        <f t="shared" si="11"/>
        <v>DAenergy_soldS1203122</v>
      </c>
      <c r="C748" t="s">
        <v>99</v>
      </c>
      <c r="D748" t="s">
        <v>112</v>
      </c>
      <c r="E748" t="s">
        <v>110</v>
      </c>
      <c r="F748">
        <v>463.30073847438382</v>
      </c>
      <c r="G748">
        <v>2031</v>
      </c>
      <c r="H748">
        <v>2</v>
      </c>
      <c r="I748">
        <v>2</v>
      </c>
    </row>
    <row r="749" spans="1:9" x14ac:dyDescent="0.35">
      <c r="A749" t="str">
        <f t="shared" si="11"/>
        <v>DAhours_boughtS1203122</v>
      </c>
      <c r="C749" t="s">
        <v>99</v>
      </c>
      <c r="D749" t="s">
        <v>113</v>
      </c>
      <c r="E749" t="s">
        <v>110</v>
      </c>
      <c r="F749">
        <v>1712</v>
      </c>
      <c r="G749">
        <v>2031</v>
      </c>
      <c r="H749">
        <v>2</v>
      </c>
      <c r="I749">
        <v>2</v>
      </c>
    </row>
    <row r="750" spans="1:9" x14ac:dyDescent="0.35">
      <c r="A750" t="str">
        <f t="shared" si="11"/>
        <v>DAhours_soldS1203122</v>
      </c>
      <c r="C750" t="s">
        <v>99</v>
      </c>
      <c r="D750" t="s">
        <v>114</v>
      </c>
      <c r="E750" t="s">
        <v>110</v>
      </c>
      <c r="F750">
        <v>418</v>
      </c>
      <c r="G750">
        <v>2031</v>
      </c>
      <c r="H750">
        <v>2</v>
      </c>
      <c r="I750">
        <v>2</v>
      </c>
    </row>
    <row r="751" spans="1:9" x14ac:dyDescent="0.35">
      <c r="A751" t="str">
        <f t="shared" si="11"/>
        <v>DAco2_emissionS1203122</v>
      </c>
      <c r="C751" t="s">
        <v>99</v>
      </c>
      <c r="D751" t="s">
        <v>204</v>
      </c>
      <c r="E751" t="s">
        <v>110</v>
      </c>
      <c r="F751">
        <v>40623.397552002658</v>
      </c>
      <c r="G751">
        <v>2031</v>
      </c>
      <c r="H751">
        <v>2</v>
      </c>
      <c r="I751">
        <v>2</v>
      </c>
    </row>
    <row r="752" spans="1:9" x14ac:dyDescent="0.35">
      <c r="A752" t="str">
        <f t="shared" si="11"/>
        <v>fcrincomeS1203122</v>
      </c>
      <c r="C752" t="s">
        <v>102</v>
      </c>
      <c r="D752" t="s">
        <v>101</v>
      </c>
      <c r="E752" t="s">
        <v>110</v>
      </c>
      <c r="F752">
        <v>0.39744991425895532</v>
      </c>
      <c r="G752">
        <v>2031</v>
      </c>
      <c r="H752">
        <v>2</v>
      </c>
      <c r="I752">
        <v>2</v>
      </c>
    </row>
    <row r="753" spans="1:9" x14ac:dyDescent="0.35">
      <c r="A753" t="str">
        <f t="shared" si="11"/>
        <v>fcractivation_hoursS1203122</v>
      </c>
      <c r="C753" t="s">
        <v>102</v>
      </c>
      <c r="D753" t="s">
        <v>115</v>
      </c>
      <c r="E753" t="s">
        <v>110</v>
      </c>
      <c r="F753">
        <v>4</v>
      </c>
      <c r="G753">
        <v>2031</v>
      </c>
      <c r="H753">
        <v>2</v>
      </c>
      <c r="I753">
        <v>2</v>
      </c>
    </row>
    <row r="754" spans="1:9" x14ac:dyDescent="0.35">
      <c r="A754" t="str">
        <f t="shared" si="11"/>
        <v>afrrincomeS1203122</v>
      </c>
      <c r="C754" t="s">
        <v>103</v>
      </c>
      <c r="D754" t="s">
        <v>101</v>
      </c>
      <c r="E754" t="s">
        <v>110</v>
      </c>
      <c r="F754">
        <v>53042.894085900152</v>
      </c>
      <c r="G754">
        <v>2031</v>
      </c>
      <c r="H754">
        <v>2</v>
      </c>
      <c r="I754">
        <v>2</v>
      </c>
    </row>
    <row r="755" spans="1:9" x14ac:dyDescent="0.35">
      <c r="A755" t="str">
        <f t="shared" si="11"/>
        <v>afrractivation_hoursS1203122</v>
      </c>
      <c r="C755" t="s">
        <v>103</v>
      </c>
      <c r="D755" t="s">
        <v>115</v>
      </c>
      <c r="E755" t="s">
        <v>110</v>
      </c>
      <c r="F755">
        <v>8557</v>
      </c>
      <c r="G755">
        <v>2031</v>
      </c>
      <c r="H755">
        <v>2</v>
      </c>
      <c r="I755">
        <v>2</v>
      </c>
    </row>
    <row r="756" spans="1:9" x14ac:dyDescent="0.35">
      <c r="A756" t="str">
        <f t="shared" si="11"/>
        <v>networkturpe_power_costS1203222</v>
      </c>
      <c r="C756" t="s">
        <v>96</v>
      </c>
      <c r="D756" t="s">
        <v>97</v>
      </c>
      <c r="E756" t="s">
        <v>110</v>
      </c>
      <c r="F756">
        <v>5169.3780835109756</v>
      </c>
      <c r="G756">
        <v>2032</v>
      </c>
      <c r="H756">
        <v>2</v>
      </c>
      <c r="I756">
        <v>2</v>
      </c>
    </row>
    <row r="757" spans="1:9" x14ac:dyDescent="0.35">
      <c r="A757" t="str">
        <f t="shared" si="11"/>
        <v>networkturpe_energy_costS1203222</v>
      </c>
      <c r="C757" t="s">
        <v>96</v>
      </c>
      <c r="D757" t="s">
        <v>98</v>
      </c>
      <c r="E757" t="s">
        <v>110</v>
      </c>
      <c r="F757">
        <v>8327.463183821581</v>
      </c>
      <c r="G757">
        <v>2032</v>
      </c>
      <c r="H757">
        <v>2</v>
      </c>
      <c r="I757">
        <v>2</v>
      </c>
    </row>
    <row r="758" spans="1:9" x14ac:dyDescent="0.35">
      <c r="A758" t="str">
        <f t="shared" si="11"/>
        <v>DAcostS1203222</v>
      </c>
      <c r="B758" t="s">
        <v>95</v>
      </c>
      <c r="C758" t="s">
        <v>99</v>
      </c>
      <c r="D758" t="s">
        <v>100</v>
      </c>
      <c r="E758" t="s">
        <v>110</v>
      </c>
      <c r="F758">
        <v>25993.37062254854</v>
      </c>
      <c r="G758">
        <v>2032</v>
      </c>
      <c r="H758">
        <v>2</v>
      </c>
      <c r="I758">
        <v>2</v>
      </c>
    </row>
    <row r="759" spans="1:9" x14ac:dyDescent="0.35">
      <c r="A759" t="str">
        <f t="shared" si="11"/>
        <v>DAincomeS1203222</v>
      </c>
      <c r="B759" t="s">
        <v>95</v>
      </c>
      <c r="C759" t="s">
        <v>99</v>
      </c>
      <c r="D759" t="s">
        <v>101</v>
      </c>
      <c r="E759" t="s">
        <v>110</v>
      </c>
      <c r="F759">
        <v>49124.620879055852</v>
      </c>
      <c r="G759">
        <v>2032</v>
      </c>
      <c r="H759">
        <v>2</v>
      </c>
      <c r="I759">
        <v>2</v>
      </c>
    </row>
    <row r="760" spans="1:9" x14ac:dyDescent="0.35">
      <c r="A760" t="str">
        <f t="shared" si="11"/>
        <v>DAenergy_boughtS1203222</v>
      </c>
      <c r="C760" t="s">
        <v>99</v>
      </c>
      <c r="D760" t="s">
        <v>111</v>
      </c>
      <c r="E760" t="s">
        <v>110</v>
      </c>
      <c r="F760">
        <v>560.69350557472387</v>
      </c>
      <c r="G760">
        <v>2032</v>
      </c>
      <c r="H760">
        <v>2</v>
      </c>
      <c r="I760">
        <v>2</v>
      </c>
    </row>
    <row r="761" spans="1:9" x14ac:dyDescent="0.35">
      <c r="A761" t="str">
        <f t="shared" si="11"/>
        <v>DAenergy_soldS1203222</v>
      </c>
      <c r="C761" t="s">
        <v>99</v>
      </c>
      <c r="D761" t="s">
        <v>112</v>
      </c>
      <c r="E761" t="s">
        <v>110</v>
      </c>
      <c r="F761">
        <v>447.69659841672808</v>
      </c>
      <c r="G761">
        <v>2032</v>
      </c>
      <c r="H761">
        <v>2</v>
      </c>
      <c r="I761">
        <v>2</v>
      </c>
    </row>
    <row r="762" spans="1:9" x14ac:dyDescent="0.35">
      <c r="A762" t="str">
        <f t="shared" si="11"/>
        <v>DAhours_boughtS1203222</v>
      </c>
      <c r="C762" t="s">
        <v>99</v>
      </c>
      <c r="D762" t="s">
        <v>113</v>
      </c>
      <c r="E762" t="s">
        <v>110</v>
      </c>
      <c r="F762">
        <v>1794</v>
      </c>
      <c r="G762">
        <v>2032</v>
      </c>
      <c r="H762">
        <v>2</v>
      </c>
      <c r="I762">
        <v>2</v>
      </c>
    </row>
    <row r="763" spans="1:9" x14ac:dyDescent="0.35">
      <c r="A763" t="str">
        <f t="shared" si="11"/>
        <v>DAhours_soldS1203222</v>
      </c>
      <c r="C763" t="s">
        <v>99</v>
      </c>
      <c r="D763" t="s">
        <v>114</v>
      </c>
      <c r="E763" t="s">
        <v>110</v>
      </c>
      <c r="F763">
        <v>420</v>
      </c>
      <c r="G763">
        <v>2032</v>
      </c>
      <c r="H763">
        <v>2</v>
      </c>
      <c r="I763">
        <v>2</v>
      </c>
    </row>
    <row r="764" spans="1:9" x14ac:dyDescent="0.35">
      <c r="A764" t="str">
        <f t="shared" si="11"/>
        <v>DAco2_emissionS1203222</v>
      </c>
      <c r="C764" t="s">
        <v>99</v>
      </c>
      <c r="D764" t="s">
        <v>204</v>
      </c>
      <c r="E764" t="s">
        <v>110</v>
      </c>
      <c r="F764">
        <v>39248.5453902304</v>
      </c>
      <c r="G764">
        <v>2032</v>
      </c>
      <c r="H764">
        <v>2</v>
      </c>
      <c r="I764">
        <v>2</v>
      </c>
    </row>
    <row r="765" spans="1:9" x14ac:dyDescent="0.35">
      <c r="A765" t="str">
        <f t="shared" si="11"/>
        <v>fcrincomeS1203222</v>
      </c>
      <c r="C765" t="s">
        <v>102</v>
      </c>
      <c r="D765" t="s">
        <v>101</v>
      </c>
      <c r="E765" t="s">
        <v>110</v>
      </c>
      <c r="F765">
        <v>11.08925564650856</v>
      </c>
      <c r="G765">
        <v>2032</v>
      </c>
      <c r="H765">
        <v>2</v>
      </c>
      <c r="I765">
        <v>2</v>
      </c>
    </row>
    <row r="766" spans="1:9" x14ac:dyDescent="0.35">
      <c r="A766" t="str">
        <f t="shared" si="11"/>
        <v>fcractivation_hoursS1203222</v>
      </c>
      <c r="C766" t="s">
        <v>102</v>
      </c>
      <c r="D766" t="s">
        <v>115</v>
      </c>
      <c r="E766" t="s">
        <v>110</v>
      </c>
      <c r="F766">
        <v>16</v>
      </c>
      <c r="G766">
        <v>2032</v>
      </c>
      <c r="H766">
        <v>2</v>
      </c>
      <c r="I766">
        <v>2</v>
      </c>
    </row>
    <row r="767" spans="1:9" x14ac:dyDescent="0.35">
      <c r="A767" t="str">
        <f t="shared" si="11"/>
        <v>afrrincomeS1203222</v>
      </c>
      <c r="C767" t="s">
        <v>103</v>
      </c>
      <c r="D767" t="s">
        <v>101</v>
      </c>
      <c r="E767" t="s">
        <v>110</v>
      </c>
      <c r="F767">
        <v>52547.314493248698</v>
      </c>
      <c r="G767">
        <v>2032</v>
      </c>
      <c r="H767">
        <v>2</v>
      </c>
      <c r="I767">
        <v>2</v>
      </c>
    </row>
    <row r="768" spans="1:9" x14ac:dyDescent="0.35">
      <c r="A768" t="str">
        <f t="shared" si="11"/>
        <v>afrractivation_hoursS1203222</v>
      </c>
      <c r="C768" t="s">
        <v>103</v>
      </c>
      <c r="D768" t="s">
        <v>115</v>
      </c>
      <c r="E768" t="s">
        <v>110</v>
      </c>
      <c r="F768">
        <v>8488</v>
      </c>
      <c r="G768">
        <v>2032</v>
      </c>
      <c r="H768">
        <v>2</v>
      </c>
      <c r="I768">
        <v>2</v>
      </c>
    </row>
    <row r="769" spans="1:9" x14ac:dyDescent="0.35">
      <c r="A769" t="str">
        <f t="shared" si="11"/>
        <v>networkturpe_power_costS1203322</v>
      </c>
      <c r="C769" t="s">
        <v>96</v>
      </c>
      <c r="D769" t="s">
        <v>97</v>
      </c>
      <c r="E769" t="s">
        <v>110</v>
      </c>
      <c r="F769">
        <v>4996.5542282524129</v>
      </c>
      <c r="G769">
        <v>2033</v>
      </c>
      <c r="H769">
        <v>2</v>
      </c>
      <c r="I769">
        <v>2</v>
      </c>
    </row>
    <row r="770" spans="1:9" x14ac:dyDescent="0.35">
      <c r="A770" t="str">
        <f t="shared" si="11"/>
        <v>networkturpe_energy_costS1203322</v>
      </c>
      <c r="B770" t="s">
        <v>95</v>
      </c>
      <c r="C770" t="s">
        <v>96</v>
      </c>
      <c r="D770" t="s">
        <v>98</v>
      </c>
      <c r="E770" t="s">
        <v>110</v>
      </c>
      <c r="F770">
        <v>7909.3759785490838</v>
      </c>
      <c r="G770">
        <v>2033</v>
      </c>
      <c r="H770">
        <v>2</v>
      </c>
      <c r="I770">
        <v>2</v>
      </c>
    </row>
    <row r="771" spans="1:9" x14ac:dyDescent="0.35">
      <c r="A771" t="str">
        <f t="shared" ref="A771:A834" si="12">C771&amp;D771&amp;E771&amp;G771&amp;H771&amp;I771</f>
        <v>DAcostS1203322</v>
      </c>
      <c r="B771" t="s">
        <v>95</v>
      </c>
      <c r="C771" t="s">
        <v>99</v>
      </c>
      <c r="D771" t="s">
        <v>100</v>
      </c>
      <c r="E771" t="s">
        <v>110</v>
      </c>
      <c r="F771">
        <v>24124.720089567109</v>
      </c>
      <c r="G771">
        <v>2033</v>
      </c>
      <c r="H771">
        <v>2</v>
      </c>
      <c r="I771">
        <v>2</v>
      </c>
    </row>
    <row r="772" spans="1:9" x14ac:dyDescent="0.35">
      <c r="A772" t="str">
        <f t="shared" si="12"/>
        <v>DAincomeS1203322</v>
      </c>
      <c r="C772" t="s">
        <v>99</v>
      </c>
      <c r="D772" t="s">
        <v>101</v>
      </c>
      <c r="E772" t="s">
        <v>110</v>
      </c>
      <c r="F772">
        <v>45721.091379147983</v>
      </c>
      <c r="G772">
        <v>2033</v>
      </c>
      <c r="H772">
        <v>2</v>
      </c>
      <c r="I772">
        <v>2</v>
      </c>
    </row>
    <row r="773" spans="1:9" x14ac:dyDescent="0.35">
      <c r="A773" t="str">
        <f t="shared" si="12"/>
        <v>DAenergy_boughtS1203322</v>
      </c>
      <c r="C773" t="s">
        <v>99</v>
      </c>
      <c r="D773" t="s">
        <v>111</v>
      </c>
      <c r="E773" t="s">
        <v>110</v>
      </c>
      <c r="F773">
        <v>529.75715474590186</v>
      </c>
      <c r="G773">
        <v>2033</v>
      </c>
      <c r="H773">
        <v>2</v>
      </c>
      <c r="I773">
        <v>2</v>
      </c>
    </row>
    <row r="774" spans="1:9" x14ac:dyDescent="0.35">
      <c r="A774" t="str">
        <f t="shared" si="12"/>
        <v>DAenergy_soldS1203322</v>
      </c>
      <c r="C774" t="s">
        <v>99</v>
      </c>
      <c r="D774" t="s">
        <v>112</v>
      </c>
      <c r="E774" t="s">
        <v>110</v>
      </c>
      <c r="F774">
        <v>422.76883138322893</v>
      </c>
      <c r="G774">
        <v>2033</v>
      </c>
      <c r="H774">
        <v>2</v>
      </c>
      <c r="I774">
        <v>2</v>
      </c>
    </row>
    <row r="775" spans="1:9" x14ac:dyDescent="0.35">
      <c r="A775" t="str">
        <f t="shared" si="12"/>
        <v>DAhours_boughtS1203322</v>
      </c>
      <c r="C775" t="s">
        <v>99</v>
      </c>
      <c r="D775" t="s">
        <v>113</v>
      </c>
      <c r="E775" t="s">
        <v>110</v>
      </c>
      <c r="F775">
        <v>1800</v>
      </c>
      <c r="G775">
        <v>2033</v>
      </c>
      <c r="H775">
        <v>2</v>
      </c>
      <c r="I775">
        <v>2</v>
      </c>
    </row>
    <row r="776" spans="1:9" x14ac:dyDescent="0.35">
      <c r="A776" t="str">
        <f t="shared" si="12"/>
        <v>DAhours_soldS1203322</v>
      </c>
      <c r="C776" t="s">
        <v>99</v>
      </c>
      <c r="D776" t="s">
        <v>114</v>
      </c>
      <c r="E776" t="s">
        <v>110</v>
      </c>
      <c r="F776">
        <v>413</v>
      </c>
      <c r="G776">
        <v>2033</v>
      </c>
      <c r="H776">
        <v>2</v>
      </c>
      <c r="I776">
        <v>2</v>
      </c>
    </row>
    <row r="777" spans="1:9" x14ac:dyDescent="0.35">
      <c r="A777" t="str">
        <f t="shared" si="12"/>
        <v>DAco2_emissionS1203322</v>
      </c>
      <c r="C777" t="s">
        <v>99</v>
      </c>
      <c r="D777" t="s">
        <v>204</v>
      </c>
      <c r="E777" t="s">
        <v>110</v>
      </c>
      <c r="F777">
        <v>37083.000832212987</v>
      </c>
      <c r="G777">
        <v>2033</v>
      </c>
      <c r="H777">
        <v>2</v>
      </c>
      <c r="I777">
        <v>2</v>
      </c>
    </row>
    <row r="778" spans="1:9" x14ac:dyDescent="0.35">
      <c r="A778" t="str">
        <f t="shared" si="12"/>
        <v>fcrincomeS1203322</v>
      </c>
      <c r="C778" t="s">
        <v>102</v>
      </c>
      <c r="D778" t="s">
        <v>101</v>
      </c>
      <c r="E778" t="s">
        <v>110</v>
      </c>
      <c r="F778">
        <v>5.0067482261098606</v>
      </c>
      <c r="G778">
        <v>2033</v>
      </c>
      <c r="H778">
        <v>2</v>
      </c>
      <c r="I778">
        <v>2</v>
      </c>
    </row>
    <row r="779" spans="1:9" x14ac:dyDescent="0.35">
      <c r="A779" t="str">
        <f t="shared" si="12"/>
        <v>fcractivation_hoursS1203322</v>
      </c>
      <c r="C779" t="s">
        <v>102</v>
      </c>
      <c r="D779" t="s">
        <v>115</v>
      </c>
      <c r="E779" t="s">
        <v>110</v>
      </c>
      <c r="F779">
        <v>12</v>
      </c>
      <c r="G779">
        <v>2033</v>
      </c>
      <c r="H779">
        <v>2</v>
      </c>
      <c r="I779">
        <v>2</v>
      </c>
    </row>
    <row r="780" spans="1:9" x14ac:dyDescent="0.35">
      <c r="A780" t="str">
        <f t="shared" si="12"/>
        <v>afrrincomeS1203322</v>
      </c>
      <c r="C780" t="s">
        <v>103</v>
      </c>
      <c r="D780" t="s">
        <v>101</v>
      </c>
      <c r="E780" t="s">
        <v>110</v>
      </c>
      <c r="F780">
        <v>54098.057135693183</v>
      </c>
      <c r="G780">
        <v>2033</v>
      </c>
      <c r="H780">
        <v>2</v>
      </c>
      <c r="I780">
        <v>2</v>
      </c>
    </row>
    <row r="781" spans="1:9" x14ac:dyDescent="0.35">
      <c r="A781" t="str">
        <f t="shared" si="12"/>
        <v>afrractivation_hoursS1203322</v>
      </c>
      <c r="C781" t="s">
        <v>103</v>
      </c>
      <c r="D781" t="s">
        <v>115</v>
      </c>
      <c r="E781" t="s">
        <v>110</v>
      </c>
      <c r="F781">
        <v>8528</v>
      </c>
      <c r="G781">
        <v>2033</v>
      </c>
      <c r="H781">
        <v>2</v>
      </c>
      <c r="I781">
        <v>2</v>
      </c>
    </row>
    <row r="782" spans="1:9" x14ac:dyDescent="0.35">
      <c r="A782" t="str">
        <f t="shared" si="12"/>
        <v>networkturpe_power_costS1203422</v>
      </c>
      <c r="B782" t="s">
        <v>95</v>
      </c>
      <c r="C782" t="s">
        <v>96</v>
      </c>
      <c r="D782" t="s">
        <v>97</v>
      </c>
      <c r="E782" t="s">
        <v>110</v>
      </c>
      <c r="F782">
        <v>4865.2306565119488</v>
      </c>
      <c r="G782">
        <v>2034</v>
      </c>
      <c r="H782">
        <v>2</v>
      </c>
      <c r="I782">
        <v>2</v>
      </c>
    </row>
    <row r="783" spans="1:9" x14ac:dyDescent="0.35">
      <c r="A783" t="str">
        <f t="shared" si="12"/>
        <v>networkturpe_energy_costS1203422</v>
      </c>
      <c r="B783" t="s">
        <v>95</v>
      </c>
      <c r="C783" t="s">
        <v>96</v>
      </c>
      <c r="D783" t="s">
        <v>98</v>
      </c>
      <c r="E783" t="s">
        <v>110</v>
      </c>
      <c r="F783">
        <v>8277.6837574211604</v>
      </c>
      <c r="G783">
        <v>2034</v>
      </c>
      <c r="H783">
        <v>2</v>
      </c>
      <c r="I783">
        <v>2</v>
      </c>
    </row>
    <row r="784" spans="1:9" x14ac:dyDescent="0.35">
      <c r="A784" t="str">
        <f t="shared" si="12"/>
        <v>DAcostS1203422</v>
      </c>
      <c r="C784" t="s">
        <v>99</v>
      </c>
      <c r="D784" t="s">
        <v>100</v>
      </c>
      <c r="E784" t="s">
        <v>110</v>
      </c>
      <c r="F784">
        <v>24584.839490360471</v>
      </c>
      <c r="G784">
        <v>2034</v>
      </c>
      <c r="H784">
        <v>2</v>
      </c>
      <c r="I784">
        <v>2</v>
      </c>
    </row>
    <row r="785" spans="1:9" x14ac:dyDescent="0.35">
      <c r="A785" t="str">
        <f t="shared" si="12"/>
        <v>DAincomeS1203422</v>
      </c>
      <c r="C785" t="s">
        <v>99</v>
      </c>
      <c r="D785" t="s">
        <v>101</v>
      </c>
      <c r="E785" t="s">
        <v>110</v>
      </c>
      <c r="F785">
        <v>46691.024155327417</v>
      </c>
      <c r="G785">
        <v>2034</v>
      </c>
      <c r="H785">
        <v>2</v>
      </c>
      <c r="I785">
        <v>2</v>
      </c>
    </row>
    <row r="786" spans="1:9" x14ac:dyDescent="0.35">
      <c r="A786" t="str">
        <f t="shared" si="12"/>
        <v>DAenergy_boughtS1203422</v>
      </c>
      <c r="C786" t="s">
        <v>99</v>
      </c>
      <c r="D786" t="s">
        <v>111</v>
      </c>
      <c r="E786" t="s">
        <v>110</v>
      </c>
      <c r="F786">
        <v>531.15816389616964</v>
      </c>
      <c r="G786">
        <v>2034</v>
      </c>
      <c r="H786">
        <v>2</v>
      </c>
      <c r="I786">
        <v>2</v>
      </c>
    </row>
    <row r="787" spans="1:9" x14ac:dyDescent="0.35">
      <c r="A787" t="str">
        <f t="shared" si="12"/>
        <v>DAenergy_soldS1203422</v>
      </c>
      <c r="C787" t="s">
        <v>99</v>
      </c>
      <c r="D787" t="s">
        <v>112</v>
      </c>
      <c r="E787" t="s">
        <v>110</v>
      </c>
      <c r="F787">
        <v>424.09520719367072</v>
      </c>
      <c r="G787">
        <v>2034</v>
      </c>
      <c r="H787">
        <v>2</v>
      </c>
      <c r="I787">
        <v>2</v>
      </c>
    </row>
    <row r="788" spans="1:9" x14ac:dyDescent="0.35">
      <c r="A788" t="str">
        <f t="shared" si="12"/>
        <v>DAhours_boughtS1203422</v>
      </c>
      <c r="C788" t="s">
        <v>99</v>
      </c>
      <c r="D788" t="s">
        <v>113</v>
      </c>
      <c r="E788" t="s">
        <v>110</v>
      </c>
      <c r="F788">
        <v>1907</v>
      </c>
      <c r="G788">
        <v>2034</v>
      </c>
      <c r="H788">
        <v>2</v>
      </c>
      <c r="I788">
        <v>2</v>
      </c>
    </row>
    <row r="789" spans="1:9" x14ac:dyDescent="0.35">
      <c r="A789" t="str">
        <f t="shared" si="12"/>
        <v>DAhours_soldS1203422</v>
      </c>
      <c r="C789" t="s">
        <v>99</v>
      </c>
      <c r="D789" t="s">
        <v>114</v>
      </c>
      <c r="E789" t="s">
        <v>110</v>
      </c>
      <c r="F789">
        <v>401</v>
      </c>
      <c r="G789">
        <v>2034</v>
      </c>
      <c r="H789">
        <v>2</v>
      </c>
      <c r="I789">
        <v>2</v>
      </c>
    </row>
    <row r="790" spans="1:9" x14ac:dyDescent="0.35">
      <c r="A790" t="str">
        <f t="shared" si="12"/>
        <v>DAco2_emissionS1203422</v>
      </c>
      <c r="C790" t="s">
        <v>99</v>
      </c>
      <c r="D790" t="s">
        <v>204</v>
      </c>
      <c r="E790" t="s">
        <v>110</v>
      </c>
      <c r="F790">
        <v>37181.071472732321</v>
      </c>
      <c r="G790">
        <v>2034</v>
      </c>
      <c r="H790">
        <v>2</v>
      </c>
      <c r="I790">
        <v>2</v>
      </c>
    </row>
    <row r="791" spans="1:9" x14ac:dyDescent="0.35">
      <c r="A791" t="str">
        <f t="shared" si="12"/>
        <v>fcrincomeS1203422</v>
      </c>
      <c r="C791" t="s">
        <v>102</v>
      </c>
      <c r="D791" t="s">
        <v>101</v>
      </c>
      <c r="E791" t="s">
        <v>110</v>
      </c>
      <c r="F791">
        <v>0.70661904250541352</v>
      </c>
      <c r="G791">
        <v>2034</v>
      </c>
      <c r="H791">
        <v>2</v>
      </c>
      <c r="I791">
        <v>2</v>
      </c>
    </row>
    <row r="792" spans="1:9" x14ac:dyDescent="0.35">
      <c r="A792" t="str">
        <f t="shared" si="12"/>
        <v>fcractivation_hoursS1203422</v>
      </c>
      <c r="C792" t="s">
        <v>102</v>
      </c>
      <c r="D792" t="s">
        <v>115</v>
      </c>
      <c r="E792" t="s">
        <v>110</v>
      </c>
      <c r="F792">
        <v>4</v>
      </c>
      <c r="G792">
        <v>2034</v>
      </c>
      <c r="H792">
        <v>2</v>
      </c>
      <c r="I792">
        <v>2</v>
      </c>
    </row>
    <row r="793" spans="1:9" x14ac:dyDescent="0.35">
      <c r="A793" t="str">
        <f t="shared" si="12"/>
        <v>afrrincomeS1203422</v>
      </c>
      <c r="C793" t="s">
        <v>103</v>
      </c>
      <c r="D793" t="s">
        <v>101</v>
      </c>
      <c r="E793" t="s">
        <v>110</v>
      </c>
      <c r="F793">
        <v>56979.425361987247</v>
      </c>
      <c r="G793">
        <v>2034</v>
      </c>
      <c r="H793">
        <v>2</v>
      </c>
      <c r="I793">
        <v>2</v>
      </c>
    </row>
    <row r="794" spans="1:9" x14ac:dyDescent="0.35">
      <c r="A794" t="str">
        <f t="shared" si="12"/>
        <v>afrractivation_hoursS1203422</v>
      </c>
      <c r="B794" t="s">
        <v>95</v>
      </c>
      <c r="C794" t="s">
        <v>103</v>
      </c>
      <c r="D794" t="s">
        <v>115</v>
      </c>
      <c r="E794" t="s">
        <v>110</v>
      </c>
      <c r="F794">
        <v>8571</v>
      </c>
      <c r="G794">
        <v>2034</v>
      </c>
      <c r="H794">
        <v>2</v>
      </c>
      <c r="I794">
        <v>2</v>
      </c>
    </row>
    <row r="795" spans="1:9" x14ac:dyDescent="0.35">
      <c r="A795" t="str">
        <f t="shared" si="12"/>
        <v>networkturpe_power_costS1203522</v>
      </c>
      <c r="B795" t="s">
        <v>95</v>
      </c>
      <c r="C795" t="s">
        <v>96</v>
      </c>
      <c r="D795" t="s">
        <v>97</v>
      </c>
      <c r="E795" t="s">
        <v>110</v>
      </c>
      <c r="F795">
        <v>4732.3926794102817</v>
      </c>
      <c r="G795">
        <v>2035</v>
      </c>
      <c r="H795">
        <v>2</v>
      </c>
      <c r="I795">
        <v>2</v>
      </c>
    </row>
    <row r="796" spans="1:9" x14ac:dyDescent="0.35">
      <c r="A796" t="str">
        <f t="shared" si="12"/>
        <v>networkturpe_energy_costS1203522</v>
      </c>
      <c r="C796" t="s">
        <v>96</v>
      </c>
      <c r="D796" t="s">
        <v>98</v>
      </c>
      <c r="E796" t="s">
        <v>110</v>
      </c>
      <c r="F796">
        <v>7973.5827998614041</v>
      </c>
      <c r="G796">
        <v>2035</v>
      </c>
      <c r="H796">
        <v>2</v>
      </c>
      <c r="I796">
        <v>2</v>
      </c>
    </row>
    <row r="797" spans="1:9" x14ac:dyDescent="0.35">
      <c r="A797" t="str">
        <f t="shared" si="12"/>
        <v>DAcostS1203522</v>
      </c>
      <c r="C797" t="s">
        <v>99</v>
      </c>
      <c r="D797" t="s">
        <v>100</v>
      </c>
      <c r="E797" t="s">
        <v>110</v>
      </c>
      <c r="F797">
        <v>22352.157781868911</v>
      </c>
      <c r="G797">
        <v>2035</v>
      </c>
      <c r="H797">
        <v>2</v>
      </c>
      <c r="I797">
        <v>2</v>
      </c>
    </row>
    <row r="798" spans="1:9" x14ac:dyDescent="0.35">
      <c r="A798" t="str">
        <f t="shared" si="12"/>
        <v>DAincomeS1203522</v>
      </c>
      <c r="C798" t="s">
        <v>99</v>
      </c>
      <c r="D798" t="s">
        <v>101</v>
      </c>
      <c r="E798" t="s">
        <v>110</v>
      </c>
      <c r="F798">
        <v>43450.422411391643</v>
      </c>
      <c r="G798">
        <v>2035</v>
      </c>
      <c r="H798">
        <v>2</v>
      </c>
      <c r="I798">
        <v>2</v>
      </c>
    </row>
    <row r="799" spans="1:9" x14ac:dyDescent="0.35">
      <c r="A799" t="str">
        <f t="shared" si="12"/>
        <v>DAenergy_boughtS1203522</v>
      </c>
      <c r="C799" t="s">
        <v>99</v>
      </c>
      <c r="D799" t="s">
        <v>111</v>
      </c>
      <c r="E799" t="s">
        <v>110</v>
      </c>
      <c r="F799">
        <v>509.60536300971472</v>
      </c>
      <c r="G799">
        <v>2035</v>
      </c>
      <c r="H799">
        <v>2</v>
      </c>
      <c r="I799">
        <v>2</v>
      </c>
    </row>
    <row r="800" spans="1:9" x14ac:dyDescent="0.35">
      <c r="A800" t="str">
        <f t="shared" si="12"/>
        <v>DAenergy_soldS1203522</v>
      </c>
      <c r="C800" t="s">
        <v>99</v>
      </c>
      <c r="D800" t="s">
        <v>112</v>
      </c>
      <c r="E800" t="s">
        <v>110</v>
      </c>
      <c r="F800">
        <v>406.79478639306461</v>
      </c>
      <c r="G800">
        <v>2035</v>
      </c>
      <c r="H800">
        <v>2</v>
      </c>
      <c r="I800">
        <v>2</v>
      </c>
    </row>
    <row r="801" spans="1:9" x14ac:dyDescent="0.35">
      <c r="A801" t="str">
        <f t="shared" si="12"/>
        <v>DAhours_boughtS1203522</v>
      </c>
      <c r="C801" t="s">
        <v>99</v>
      </c>
      <c r="D801" t="s">
        <v>113</v>
      </c>
      <c r="E801" t="s">
        <v>110</v>
      </c>
      <c r="F801">
        <v>1913</v>
      </c>
      <c r="G801">
        <v>2035</v>
      </c>
      <c r="H801">
        <v>2</v>
      </c>
      <c r="I801">
        <v>2</v>
      </c>
    </row>
    <row r="802" spans="1:9" x14ac:dyDescent="0.35">
      <c r="A802" t="str">
        <f t="shared" si="12"/>
        <v>DAhours_soldS1203522</v>
      </c>
      <c r="C802" t="s">
        <v>99</v>
      </c>
      <c r="D802" t="s">
        <v>114</v>
      </c>
      <c r="E802" t="s">
        <v>110</v>
      </c>
      <c r="F802">
        <v>404</v>
      </c>
      <c r="G802">
        <v>2035</v>
      </c>
      <c r="H802">
        <v>2</v>
      </c>
      <c r="I802">
        <v>2</v>
      </c>
    </row>
    <row r="803" spans="1:9" x14ac:dyDescent="0.35">
      <c r="A803" t="str">
        <f t="shared" si="12"/>
        <v>DAco2_emissionS1203522</v>
      </c>
      <c r="C803" t="s">
        <v>99</v>
      </c>
      <c r="D803" t="s">
        <v>204</v>
      </c>
      <c r="E803" t="s">
        <v>110</v>
      </c>
      <c r="F803">
        <v>35672.375410679859</v>
      </c>
      <c r="G803">
        <v>2035</v>
      </c>
      <c r="H803">
        <v>2</v>
      </c>
      <c r="I803">
        <v>2</v>
      </c>
    </row>
    <row r="804" spans="1:9" x14ac:dyDescent="0.35">
      <c r="A804" t="str">
        <f t="shared" si="12"/>
        <v>fcrincomeS1203522</v>
      </c>
      <c r="C804" t="s">
        <v>102</v>
      </c>
      <c r="D804" t="s">
        <v>101</v>
      </c>
      <c r="E804" t="s">
        <v>110</v>
      </c>
      <c r="F804">
        <v>0</v>
      </c>
      <c r="G804">
        <v>2035</v>
      </c>
      <c r="H804">
        <v>2</v>
      </c>
      <c r="I804">
        <v>2</v>
      </c>
    </row>
    <row r="805" spans="1:9" x14ac:dyDescent="0.35">
      <c r="A805" t="str">
        <f t="shared" si="12"/>
        <v>fcractivation_hoursS1203522</v>
      </c>
      <c r="C805" t="s">
        <v>102</v>
      </c>
      <c r="D805" t="s">
        <v>115</v>
      </c>
      <c r="E805" t="s">
        <v>110</v>
      </c>
      <c r="F805">
        <v>0</v>
      </c>
      <c r="G805">
        <v>2035</v>
      </c>
      <c r="H805">
        <v>2</v>
      </c>
      <c r="I805">
        <v>2</v>
      </c>
    </row>
    <row r="806" spans="1:9" x14ac:dyDescent="0.35">
      <c r="A806" t="str">
        <f t="shared" si="12"/>
        <v>afrrincomeS1203522</v>
      </c>
      <c r="B806" t="s">
        <v>95</v>
      </c>
      <c r="C806" t="s">
        <v>103</v>
      </c>
      <c r="D806" t="s">
        <v>101</v>
      </c>
      <c r="E806" t="s">
        <v>110</v>
      </c>
      <c r="F806">
        <v>56582.363021846133</v>
      </c>
      <c r="G806">
        <v>2035</v>
      </c>
      <c r="H806">
        <v>2</v>
      </c>
      <c r="I806">
        <v>2</v>
      </c>
    </row>
    <row r="807" spans="1:9" x14ac:dyDescent="0.35">
      <c r="A807" t="str">
        <f t="shared" si="12"/>
        <v>afrractivation_hoursS1203522</v>
      </c>
      <c r="B807" t="s">
        <v>95</v>
      </c>
      <c r="C807" t="s">
        <v>103</v>
      </c>
      <c r="D807" t="s">
        <v>115</v>
      </c>
      <c r="E807" t="s">
        <v>110</v>
      </c>
      <c r="F807">
        <v>8560</v>
      </c>
      <c r="G807">
        <v>2035</v>
      </c>
      <c r="H807">
        <v>2</v>
      </c>
      <c r="I807">
        <v>2</v>
      </c>
    </row>
    <row r="808" spans="1:9" x14ac:dyDescent="0.35">
      <c r="A808" t="str">
        <f t="shared" si="12"/>
        <v>networkturpe_power_costS1203622</v>
      </c>
      <c r="C808" t="s">
        <v>96</v>
      </c>
      <c r="D808" t="s">
        <v>97</v>
      </c>
      <c r="E808" t="s">
        <v>110</v>
      </c>
      <c r="F808">
        <v>4589.0011944694761</v>
      </c>
      <c r="G808">
        <v>2036</v>
      </c>
      <c r="H808">
        <v>2</v>
      </c>
      <c r="I808">
        <v>2</v>
      </c>
    </row>
    <row r="809" spans="1:9" x14ac:dyDescent="0.35">
      <c r="A809" t="str">
        <f t="shared" si="12"/>
        <v>networkturpe_energy_costS1203622</v>
      </c>
      <c r="C809" t="s">
        <v>96</v>
      </c>
      <c r="D809" t="s">
        <v>98</v>
      </c>
      <c r="E809" t="s">
        <v>110</v>
      </c>
      <c r="F809">
        <v>7729.5659448522329</v>
      </c>
      <c r="G809">
        <v>2036</v>
      </c>
      <c r="H809">
        <v>2</v>
      </c>
      <c r="I809">
        <v>2</v>
      </c>
    </row>
    <row r="810" spans="1:9" x14ac:dyDescent="0.35">
      <c r="A810" t="str">
        <f t="shared" si="12"/>
        <v>DAcostS1203622</v>
      </c>
      <c r="C810" t="s">
        <v>99</v>
      </c>
      <c r="D810" t="s">
        <v>100</v>
      </c>
      <c r="E810" t="s">
        <v>110</v>
      </c>
      <c r="F810">
        <v>22087.129720343211</v>
      </c>
      <c r="G810">
        <v>2036</v>
      </c>
      <c r="H810">
        <v>2</v>
      </c>
      <c r="I810">
        <v>2</v>
      </c>
    </row>
    <row r="811" spans="1:9" x14ac:dyDescent="0.35">
      <c r="A811" t="str">
        <f t="shared" si="12"/>
        <v>DAincomeS1203622</v>
      </c>
      <c r="C811" t="s">
        <v>99</v>
      </c>
      <c r="D811" t="s">
        <v>101</v>
      </c>
      <c r="E811" t="s">
        <v>110</v>
      </c>
      <c r="F811">
        <v>43142.884509544463</v>
      </c>
      <c r="G811">
        <v>2036</v>
      </c>
      <c r="H811">
        <v>2</v>
      </c>
      <c r="I811">
        <v>2</v>
      </c>
    </row>
    <row r="812" spans="1:9" x14ac:dyDescent="0.35">
      <c r="A812" t="str">
        <f t="shared" si="12"/>
        <v>DAenergy_boughtS1203622</v>
      </c>
      <c r="C812" t="s">
        <v>99</v>
      </c>
      <c r="D812" t="s">
        <v>111</v>
      </c>
      <c r="E812" t="s">
        <v>110</v>
      </c>
      <c r="F812">
        <v>493.13707864575531</v>
      </c>
      <c r="G812">
        <v>2036</v>
      </c>
      <c r="H812">
        <v>2</v>
      </c>
      <c r="I812">
        <v>2</v>
      </c>
    </row>
    <row r="813" spans="1:9" x14ac:dyDescent="0.35">
      <c r="A813" t="str">
        <f t="shared" si="12"/>
        <v>DAenergy_soldS1203622</v>
      </c>
      <c r="C813" t="s">
        <v>99</v>
      </c>
      <c r="D813" t="s">
        <v>112</v>
      </c>
      <c r="E813" t="s">
        <v>110</v>
      </c>
      <c r="F813">
        <v>393.66028398272312</v>
      </c>
      <c r="G813">
        <v>2036</v>
      </c>
      <c r="H813">
        <v>2</v>
      </c>
      <c r="I813">
        <v>2</v>
      </c>
    </row>
    <row r="814" spans="1:9" x14ac:dyDescent="0.35">
      <c r="A814" t="str">
        <f t="shared" si="12"/>
        <v>DAhours_boughtS1203622</v>
      </c>
      <c r="C814" t="s">
        <v>99</v>
      </c>
      <c r="D814" t="s">
        <v>113</v>
      </c>
      <c r="E814" t="s">
        <v>110</v>
      </c>
      <c r="F814">
        <v>1865</v>
      </c>
      <c r="G814">
        <v>2036</v>
      </c>
      <c r="H814">
        <v>2</v>
      </c>
      <c r="I814">
        <v>2</v>
      </c>
    </row>
    <row r="815" spans="1:9" x14ac:dyDescent="0.35">
      <c r="A815" t="str">
        <f t="shared" si="12"/>
        <v>DAhours_soldS1203622</v>
      </c>
      <c r="C815" t="s">
        <v>99</v>
      </c>
      <c r="D815" t="s">
        <v>114</v>
      </c>
      <c r="E815" t="s">
        <v>110</v>
      </c>
      <c r="F815">
        <v>415</v>
      </c>
      <c r="G815">
        <v>2036</v>
      </c>
      <c r="H815">
        <v>2</v>
      </c>
      <c r="I815">
        <v>2</v>
      </c>
    </row>
    <row r="816" spans="1:9" x14ac:dyDescent="0.35">
      <c r="A816" t="str">
        <f t="shared" si="12"/>
        <v>DAco2_emissionS1203622</v>
      </c>
      <c r="C816" t="s">
        <v>99</v>
      </c>
      <c r="D816" t="s">
        <v>204</v>
      </c>
      <c r="E816" t="s">
        <v>110</v>
      </c>
      <c r="F816">
        <v>34519.595505203048</v>
      </c>
      <c r="G816">
        <v>2036</v>
      </c>
      <c r="H816">
        <v>2</v>
      </c>
      <c r="I816">
        <v>2</v>
      </c>
    </row>
    <row r="817" spans="1:9" x14ac:dyDescent="0.35">
      <c r="A817" t="str">
        <f t="shared" si="12"/>
        <v>fcrincomeS1203622</v>
      </c>
      <c r="C817" t="s">
        <v>102</v>
      </c>
      <c r="D817" t="s">
        <v>101</v>
      </c>
      <c r="E817" t="s">
        <v>110</v>
      </c>
      <c r="F817">
        <v>1.3704629860125781</v>
      </c>
      <c r="G817">
        <v>2036</v>
      </c>
      <c r="H817">
        <v>2</v>
      </c>
      <c r="I817">
        <v>2</v>
      </c>
    </row>
    <row r="818" spans="1:9" x14ac:dyDescent="0.35">
      <c r="A818" t="str">
        <f t="shared" si="12"/>
        <v>fcractivation_hoursS1203622</v>
      </c>
      <c r="B818" t="s">
        <v>95</v>
      </c>
      <c r="C818" t="s">
        <v>102</v>
      </c>
      <c r="D818" t="s">
        <v>115</v>
      </c>
      <c r="E818" t="s">
        <v>110</v>
      </c>
      <c r="F818">
        <v>4</v>
      </c>
      <c r="G818">
        <v>2036</v>
      </c>
      <c r="H818">
        <v>2</v>
      </c>
      <c r="I818">
        <v>2</v>
      </c>
    </row>
    <row r="819" spans="1:9" x14ac:dyDescent="0.35">
      <c r="A819" t="str">
        <f t="shared" si="12"/>
        <v>afrrincomeS1203622</v>
      </c>
      <c r="B819" t="s">
        <v>95</v>
      </c>
      <c r="C819" t="s">
        <v>103</v>
      </c>
      <c r="D819" t="s">
        <v>101</v>
      </c>
      <c r="E819" t="s">
        <v>110</v>
      </c>
      <c r="F819">
        <v>53600.257421274378</v>
      </c>
      <c r="G819">
        <v>2036</v>
      </c>
      <c r="H819">
        <v>2</v>
      </c>
      <c r="I819">
        <v>2</v>
      </c>
    </row>
    <row r="820" spans="1:9" x14ac:dyDescent="0.35">
      <c r="A820" t="str">
        <f t="shared" si="12"/>
        <v>afrractivation_hoursS1203622</v>
      </c>
      <c r="C820" t="s">
        <v>103</v>
      </c>
      <c r="D820" t="s">
        <v>115</v>
      </c>
      <c r="E820" t="s">
        <v>110</v>
      </c>
      <c r="F820">
        <v>8499</v>
      </c>
      <c r="G820">
        <v>2036</v>
      </c>
      <c r="H820">
        <v>2</v>
      </c>
      <c r="I820">
        <v>2</v>
      </c>
    </row>
    <row r="821" spans="1:9" x14ac:dyDescent="0.35">
      <c r="A821" t="str">
        <f t="shared" si="12"/>
        <v>networkturpe_power_costS1203722</v>
      </c>
      <c r="C821" t="s">
        <v>96</v>
      </c>
      <c r="D821" t="s">
        <v>97</v>
      </c>
      <c r="E821" t="s">
        <v>110</v>
      </c>
      <c r="F821">
        <v>4445.9427930899283</v>
      </c>
      <c r="G821">
        <v>2037</v>
      </c>
      <c r="H821">
        <v>2</v>
      </c>
      <c r="I821">
        <v>2</v>
      </c>
    </row>
    <row r="822" spans="1:9" x14ac:dyDescent="0.35">
      <c r="A822" t="str">
        <f t="shared" si="12"/>
        <v>networkturpe_energy_costS1203722</v>
      </c>
      <c r="C822" t="s">
        <v>96</v>
      </c>
      <c r="D822" t="s">
        <v>98</v>
      </c>
      <c r="E822" t="s">
        <v>110</v>
      </c>
      <c r="F822">
        <v>6897.4451779830824</v>
      </c>
      <c r="G822">
        <v>2037</v>
      </c>
      <c r="H822">
        <v>2</v>
      </c>
      <c r="I822">
        <v>2</v>
      </c>
    </row>
    <row r="823" spans="1:9" x14ac:dyDescent="0.35">
      <c r="A823" t="str">
        <f t="shared" si="12"/>
        <v>DAcostS1203722</v>
      </c>
      <c r="C823" t="s">
        <v>99</v>
      </c>
      <c r="D823" t="s">
        <v>100</v>
      </c>
      <c r="E823" t="s">
        <v>110</v>
      </c>
      <c r="F823">
        <v>18880.95616017023</v>
      </c>
      <c r="G823">
        <v>2037</v>
      </c>
      <c r="H823">
        <v>2</v>
      </c>
      <c r="I823">
        <v>2</v>
      </c>
    </row>
    <row r="824" spans="1:9" x14ac:dyDescent="0.35">
      <c r="A824" t="str">
        <f t="shared" si="12"/>
        <v>DAincomeS1203722</v>
      </c>
      <c r="C824" t="s">
        <v>99</v>
      </c>
      <c r="D824" t="s">
        <v>101</v>
      </c>
      <c r="E824" t="s">
        <v>110</v>
      </c>
      <c r="F824">
        <v>37552.983617335529</v>
      </c>
      <c r="G824">
        <v>2037</v>
      </c>
      <c r="H824">
        <v>2</v>
      </c>
      <c r="I824">
        <v>2</v>
      </c>
    </row>
    <row r="825" spans="1:9" x14ac:dyDescent="0.35">
      <c r="A825" t="str">
        <f t="shared" si="12"/>
        <v>DAenergy_boughtS1203722</v>
      </c>
      <c r="C825" t="s">
        <v>99</v>
      </c>
      <c r="D825" t="s">
        <v>111</v>
      </c>
      <c r="E825" t="s">
        <v>110</v>
      </c>
      <c r="F825">
        <v>439.60580558092653</v>
      </c>
      <c r="G825">
        <v>2037</v>
      </c>
      <c r="H825">
        <v>2</v>
      </c>
      <c r="I825">
        <v>2</v>
      </c>
    </row>
    <row r="826" spans="1:9" x14ac:dyDescent="0.35">
      <c r="A826" t="str">
        <f t="shared" si="12"/>
        <v>DAenergy_soldS1203722</v>
      </c>
      <c r="C826" t="s">
        <v>99</v>
      </c>
      <c r="D826" t="s">
        <v>112</v>
      </c>
      <c r="E826" t="s">
        <v>110</v>
      </c>
      <c r="F826">
        <v>350.32562312855811</v>
      </c>
      <c r="G826">
        <v>2037</v>
      </c>
      <c r="H826">
        <v>2</v>
      </c>
      <c r="I826">
        <v>2</v>
      </c>
    </row>
    <row r="827" spans="1:9" x14ac:dyDescent="0.35">
      <c r="A827" t="str">
        <f t="shared" si="12"/>
        <v>DAhours_boughtS1203722</v>
      </c>
      <c r="C827" t="s">
        <v>99</v>
      </c>
      <c r="D827" t="s">
        <v>113</v>
      </c>
      <c r="E827" t="s">
        <v>110</v>
      </c>
      <c r="F827">
        <v>1893</v>
      </c>
      <c r="G827">
        <v>2037</v>
      </c>
      <c r="H827">
        <v>2</v>
      </c>
      <c r="I827">
        <v>2</v>
      </c>
    </row>
    <row r="828" spans="1:9" x14ac:dyDescent="0.35">
      <c r="A828" t="str">
        <f t="shared" si="12"/>
        <v>DAhours_soldS1203722</v>
      </c>
      <c r="C828" t="s">
        <v>99</v>
      </c>
      <c r="D828" t="s">
        <v>114</v>
      </c>
      <c r="E828" t="s">
        <v>110</v>
      </c>
      <c r="F828">
        <v>389</v>
      </c>
      <c r="G828">
        <v>2037</v>
      </c>
      <c r="H828">
        <v>2</v>
      </c>
      <c r="I828">
        <v>2</v>
      </c>
    </row>
    <row r="829" spans="1:9" x14ac:dyDescent="0.35">
      <c r="A829" t="str">
        <f t="shared" si="12"/>
        <v>DAco2_emissionS1203722</v>
      </c>
      <c r="C829" t="s">
        <v>99</v>
      </c>
      <c r="D829" t="s">
        <v>204</v>
      </c>
      <c r="E829" t="s">
        <v>110</v>
      </c>
      <c r="F829">
        <v>30772.406390665019</v>
      </c>
      <c r="G829">
        <v>2037</v>
      </c>
      <c r="H829">
        <v>2</v>
      </c>
      <c r="I829">
        <v>2</v>
      </c>
    </row>
    <row r="830" spans="1:9" x14ac:dyDescent="0.35">
      <c r="A830" t="str">
        <f t="shared" si="12"/>
        <v>fcrincomeS1203722</v>
      </c>
      <c r="B830" t="s">
        <v>95</v>
      </c>
      <c r="C830" t="s">
        <v>102</v>
      </c>
      <c r="D830" t="s">
        <v>101</v>
      </c>
      <c r="E830" t="s">
        <v>110</v>
      </c>
      <c r="F830">
        <v>1.3231422659102241</v>
      </c>
      <c r="G830">
        <v>2037</v>
      </c>
      <c r="H830">
        <v>2</v>
      </c>
      <c r="I830">
        <v>2</v>
      </c>
    </row>
    <row r="831" spans="1:9" x14ac:dyDescent="0.35">
      <c r="A831" t="str">
        <f t="shared" si="12"/>
        <v>fcractivation_hoursS1203722</v>
      </c>
      <c r="B831" t="s">
        <v>95</v>
      </c>
      <c r="C831" t="s">
        <v>102</v>
      </c>
      <c r="D831" t="s">
        <v>115</v>
      </c>
      <c r="E831" t="s">
        <v>110</v>
      </c>
      <c r="F831">
        <v>8</v>
      </c>
      <c r="G831">
        <v>2037</v>
      </c>
      <c r="H831">
        <v>2</v>
      </c>
      <c r="I831">
        <v>2</v>
      </c>
    </row>
    <row r="832" spans="1:9" x14ac:dyDescent="0.35">
      <c r="A832" t="str">
        <f t="shared" si="12"/>
        <v>afrrincomeS1203722</v>
      </c>
      <c r="C832" t="s">
        <v>103</v>
      </c>
      <c r="D832" t="s">
        <v>101</v>
      </c>
      <c r="E832" t="s">
        <v>110</v>
      </c>
      <c r="F832">
        <v>55723.50998141025</v>
      </c>
      <c r="G832">
        <v>2037</v>
      </c>
      <c r="H832">
        <v>2</v>
      </c>
      <c r="I832">
        <v>2</v>
      </c>
    </row>
    <row r="833" spans="1:9" x14ac:dyDescent="0.35">
      <c r="A833" t="str">
        <f t="shared" si="12"/>
        <v>afrractivation_hoursS1203722</v>
      </c>
      <c r="C833" t="s">
        <v>103</v>
      </c>
      <c r="D833" t="s">
        <v>115</v>
      </c>
      <c r="E833" t="s">
        <v>110</v>
      </c>
      <c r="F833">
        <v>8555</v>
      </c>
      <c r="G833">
        <v>2037</v>
      </c>
      <c r="H833">
        <v>2</v>
      </c>
      <c r="I833">
        <v>2</v>
      </c>
    </row>
    <row r="834" spans="1:9" x14ac:dyDescent="0.35">
      <c r="A834" t="str">
        <f t="shared" si="12"/>
        <v>networkturpe_power_costS1203822</v>
      </c>
      <c r="C834" t="s">
        <v>96</v>
      </c>
      <c r="D834" t="s">
        <v>97</v>
      </c>
      <c r="E834" t="s">
        <v>110</v>
      </c>
      <c r="F834">
        <v>4321.7081151793354</v>
      </c>
      <c r="G834">
        <v>2038</v>
      </c>
      <c r="H834">
        <v>2</v>
      </c>
      <c r="I834">
        <v>2</v>
      </c>
    </row>
    <row r="835" spans="1:9" x14ac:dyDescent="0.35">
      <c r="A835" t="str">
        <f t="shared" ref="A835:A898" si="13">C835&amp;D835&amp;E835&amp;G835&amp;H835&amp;I835</f>
        <v>networkturpe_energy_costS1203822</v>
      </c>
      <c r="C835" t="s">
        <v>96</v>
      </c>
      <c r="D835" t="s">
        <v>98</v>
      </c>
      <c r="E835" t="s">
        <v>110</v>
      </c>
      <c r="F835">
        <v>7090.3456399940733</v>
      </c>
      <c r="G835">
        <v>2038</v>
      </c>
      <c r="H835">
        <v>2</v>
      </c>
      <c r="I835">
        <v>2</v>
      </c>
    </row>
    <row r="836" spans="1:9" x14ac:dyDescent="0.35">
      <c r="A836" t="str">
        <f t="shared" si="13"/>
        <v>DAcostS1203822</v>
      </c>
      <c r="C836" t="s">
        <v>99</v>
      </c>
      <c r="D836" t="s">
        <v>100</v>
      </c>
      <c r="E836" t="s">
        <v>110</v>
      </c>
      <c r="F836">
        <v>18231.211481136321</v>
      </c>
      <c r="G836">
        <v>2038</v>
      </c>
      <c r="H836">
        <v>2</v>
      </c>
      <c r="I836">
        <v>2</v>
      </c>
    </row>
    <row r="837" spans="1:9" x14ac:dyDescent="0.35">
      <c r="A837" t="str">
        <f t="shared" si="13"/>
        <v>DAincomeS1203822</v>
      </c>
      <c r="C837" t="s">
        <v>99</v>
      </c>
      <c r="D837" t="s">
        <v>101</v>
      </c>
      <c r="E837" t="s">
        <v>110</v>
      </c>
      <c r="F837">
        <v>38056.989202281387</v>
      </c>
      <c r="G837">
        <v>2038</v>
      </c>
      <c r="H837">
        <v>2</v>
      </c>
      <c r="I837">
        <v>2</v>
      </c>
    </row>
    <row r="838" spans="1:9" x14ac:dyDescent="0.35">
      <c r="A838" t="str">
        <f t="shared" si="13"/>
        <v>DAenergy_boughtS1203822</v>
      </c>
      <c r="C838" t="s">
        <v>99</v>
      </c>
      <c r="D838" t="s">
        <v>111</v>
      </c>
      <c r="E838" t="s">
        <v>110</v>
      </c>
      <c r="F838">
        <v>443.66066129211418</v>
      </c>
      <c r="G838">
        <v>2038</v>
      </c>
      <c r="H838">
        <v>2</v>
      </c>
      <c r="I838">
        <v>2</v>
      </c>
    </row>
    <row r="839" spans="1:9" x14ac:dyDescent="0.35">
      <c r="A839" t="str">
        <f t="shared" si="13"/>
        <v>DAenergy_soldS1203822</v>
      </c>
      <c r="C839" t="s">
        <v>99</v>
      </c>
      <c r="D839" t="s">
        <v>112</v>
      </c>
      <c r="E839" t="s">
        <v>110</v>
      </c>
      <c r="F839">
        <v>353.77132506945361</v>
      </c>
      <c r="G839">
        <v>2038</v>
      </c>
      <c r="H839">
        <v>2</v>
      </c>
      <c r="I839">
        <v>2</v>
      </c>
    </row>
    <row r="840" spans="1:9" x14ac:dyDescent="0.35">
      <c r="A840" t="str">
        <f t="shared" si="13"/>
        <v>DAhours_boughtS1203822</v>
      </c>
      <c r="C840" t="s">
        <v>99</v>
      </c>
      <c r="D840" t="s">
        <v>113</v>
      </c>
      <c r="E840" t="s">
        <v>110</v>
      </c>
      <c r="F840">
        <v>2006</v>
      </c>
      <c r="G840">
        <v>2038</v>
      </c>
      <c r="H840">
        <v>2</v>
      </c>
      <c r="I840">
        <v>2</v>
      </c>
    </row>
    <row r="841" spans="1:9" x14ac:dyDescent="0.35">
      <c r="A841" t="str">
        <f t="shared" si="13"/>
        <v>DAhours_soldS1203822</v>
      </c>
      <c r="C841" t="s">
        <v>99</v>
      </c>
      <c r="D841" t="s">
        <v>114</v>
      </c>
      <c r="E841" t="s">
        <v>110</v>
      </c>
      <c r="F841">
        <v>391</v>
      </c>
      <c r="G841">
        <v>2038</v>
      </c>
      <c r="H841">
        <v>2</v>
      </c>
      <c r="I841">
        <v>2</v>
      </c>
    </row>
    <row r="842" spans="1:9" x14ac:dyDescent="0.35">
      <c r="A842" t="str">
        <f t="shared" si="13"/>
        <v>DAco2_emissionS1203822</v>
      </c>
      <c r="B842" t="s">
        <v>95</v>
      </c>
      <c r="C842" t="s">
        <v>99</v>
      </c>
      <c r="D842" t="s">
        <v>204</v>
      </c>
      <c r="E842" t="s">
        <v>110</v>
      </c>
      <c r="F842">
        <v>31056.246290448111</v>
      </c>
      <c r="G842">
        <v>2038</v>
      </c>
      <c r="H842">
        <v>2</v>
      </c>
      <c r="I842">
        <v>2</v>
      </c>
    </row>
    <row r="843" spans="1:9" x14ac:dyDescent="0.35">
      <c r="A843" t="str">
        <f t="shared" si="13"/>
        <v>fcrincomeS1203822</v>
      </c>
      <c r="B843" t="s">
        <v>95</v>
      </c>
      <c r="C843" t="s">
        <v>102</v>
      </c>
      <c r="D843" t="s">
        <v>101</v>
      </c>
      <c r="E843" t="s">
        <v>110</v>
      </c>
      <c r="F843">
        <v>0</v>
      </c>
      <c r="G843">
        <v>2038</v>
      </c>
      <c r="H843">
        <v>2</v>
      </c>
      <c r="I843">
        <v>2</v>
      </c>
    </row>
    <row r="844" spans="1:9" x14ac:dyDescent="0.35">
      <c r="A844" t="str">
        <f t="shared" si="13"/>
        <v>fcractivation_hoursS1203822</v>
      </c>
      <c r="C844" t="s">
        <v>102</v>
      </c>
      <c r="D844" t="s">
        <v>115</v>
      </c>
      <c r="E844" t="s">
        <v>110</v>
      </c>
      <c r="F844">
        <v>0</v>
      </c>
      <c r="G844">
        <v>2038</v>
      </c>
      <c r="H844">
        <v>2</v>
      </c>
      <c r="I844">
        <v>2</v>
      </c>
    </row>
    <row r="845" spans="1:9" x14ac:dyDescent="0.35">
      <c r="A845" t="str">
        <f t="shared" si="13"/>
        <v>afrrincomeS1203822</v>
      </c>
      <c r="C845" t="s">
        <v>103</v>
      </c>
      <c r="D845" t="s">
        <v>101</v>
      </c>
      <c r="E845" t="s">
        <v>110</v>
      </c>
      <c r="F845">
        <v>55828.482410812438</v>
      </c>
      <c r="G845">
        <v>2038</v>
      </c>
      <c r="H845">
        <v>2</v>
      </c>
      <c r="I845">
        <v>2</v>
      </c>
    </row>
    <row r="846" spans="1:9" x14ac:dyDescent="0.35">
      <c r="A846" t="str">
        <f t="shared" si="13"/>
        <v>afrractivation_hoursS1203822</v>
      </c>
      <c r="C846" t="s">
        <v>103</v>
      </c>
      <c r="D846" t="s">
        <v>115</v>
      </c>
      <c r="E846" t="s">
        <v>110</v>
      </c>
      <c r="F846">
        <v>8506</v>
      </c>
      <c r="G846">
        <v>2038</v>
      </c>
      <c r="H846">
        <v>2</v>
      </c>
      <c r="I846">
        <v>2</v>
      </c>
    </row>
    <row r="847" spans="1:9" x14ac:dyDescent="0.35">
      <c r="A847" t="str">
        <f t="shared" si="13"/>
        <v>networkturpe_power_costS1203922</v>
      </c>
      <c r="C847" t="s">
        <v>96</v>
      </c>
      <c r="D847" t="s">
        <v>97</v>
      </c>
      <c r="E847" t="s">
        <v>110</v>
      </c>
      <c r="F847">
        <v>4035.069414154972</v>
      </c>
      <c r="G847">
        <v>2039</v>
      </c>
      <c r="H847">
        <v>2</v>
      </c>
      <c r="I847">
        <v>2</v>
      </c>
    </row>
    <row r="848" spans="1:9" x14ac:dyDescent="0.35">
      <c r="A848" t="str">
        <f t="shared" si="13"/>
        <v>networkturpe_energy_costS1203922</v>
      </c>
      <c r="C848" t="s">
        <v>96</v>
      </c>
      <c r="D848" t="s">
        <v>98</v>
      </c>
      <c r="E848" t="s">
        <v>110</v>
      </c>
      <c r="F848">
        <v>5837.336549047438</v>
      </c>
      <c r="G848">
        <v>2039</v>
      </c>
      <c r="H848">
        <v>2</v>
      </c>
      <c r="I848">
        <v>2</v>
      </c>
    </row>
    <row r="849" spans="1:9" x14ac:dyDescent="0.35">
      <c r="A849" t="str">
        <f t="shared" si="13"/>
        <v>DAcostS1203922</v>
      </c>
      <c r="C849" t="s">
        <v>99</v>
      </c>
      <c r="D849" t="s">
        <v>100</v>
      </c>
      <c r="E849" t="s">
        <v>110</v>
      </c>
      <c r="F849">
        <v>15029.83862661425</v>
      </c>
      <c r="G849">
        <v>2039</v>
      </c>
      <c r="H849">
        <v>2</v>
      </c>
      <c r="I849">
        <v>2</v>
      </c>
    </row>
    <row r="850" spans="1:9" x14ac:dyDescent="0.35">
      <c r="A850" t="str">
        <f t="shared" si="13"/>
        <v>DAincomeS1203922</v>
      </c>
      <c r="C850" t="s">
        <v>99</v>
      </c>
      <c r="D850" t="s">
        <v>101</v>
      </c>
      <c r="E850" t="s">
        <v>110</v>
      </c>
      <c r="F850">
        <v>31688.422527189989</v>
      </c>
      <c r="G850">
        <v>2039</v>
      </c>
      <c r="H850">
        <v>2</v>
      </c>
      <c r="I850">
        <v>2</v>
      </c>
    </row>
    <row r="851" spans="1:9" x14ac:dyDescent="0.35">
      <c r="A851" t="str">
        <f t="shared" si="13"/>
        <v>DAenergy_boughtS1203922</v>
      </c>
      <c r="C851" t="s">
        <v>99</v>
      </c>
      <c r="D851" t="s">
        <v>111</v>
      </c>
      <c r="E851" t="s">
        <v>110</v>
      </c>
      <c r="F851">
        <v>373.43170849083577</v>
      </c>
      <c r="G851">
        <v>2039</v>
      </c>
      <c r="H851">
        <v>2</v>
      </c>
      <c r="I851">
        <v>2</v>
      </c>
    </row>
    <row r="852" spans="1:9" x14ac:dyDescent="0.35">
      <c r="A852" t="str">
        <f t="shared" si="13"/>
        <v>DAenergy_soldS1203922</v>
      </c>
      <c r="C852" t="s">
        <v>99</v>
      </c>
      <c r="D852" t="s">
        <v>112</v>
      </c>
      <c r="E852" t="s">
        <v>110</v>
      </c>
      <c r="F852">
        <v>297.03361124863108</v>
      </c>
      <c r="G852">
        <v>2039</v>
      </c>
      <c r="H852">
        <v>2</v>
      </c>
      <c r="I852">
        <v>2</v>
      </c>
    </row>
    <row r="853" spans="1:9" x14ac:dyDescent="0.35">
      <c r="A853" t="str">
        <f t="shared" si="13"/>
        <v>DAhours_boughtS1203922</v>
      </c>
      <c r="C853" t="s">
        <v>99</v>
      </c>
      <c r="D853" t="s">
        <v>113</v>
      </c>
      <c r="E853" t="s">
        <v>110</v>
      </c>
      <c r="F853">
        <v>1862</v>
      </c>
      <c r="G853">
        <v>2039</v>
      </c>
      <c r="H853">
        <v>2</v>
      </c>
      <c r="I853">
        <v>2</v>
      </c>
    </row>
    <row r="854" spans="1:9" x14ac:dyDescent="0.35">
      <c r="A854" t="str">
        <f t="shared" si="13"/>
        <v>DAhours_soldS1203922</v>
      </c>
      <c r="B854" t="s">
        <v>95</v>
      </c>
      <c r="C854" t="s">
        <v>99</v>
      </c>
      <c r="D854" t="s">
        <v>114</v>
      </c>
      <c r="E854" t="s">
        <v>110</v>
      </c>
      <c r="F854">
        <v>383</v>
      </c>
      <c r="G854">
        <v>2039</v>
      </c>
      <c r="H854">
        <v>2</v>
      </c>
      <c r="I854">
        <v>2</v>
      </c>
    </row>
    <row r="855" spans="1:9" x14ac:dyDescent="0.35">
      <c r="A855" t="str">
        <f t="shared" si="13"/>
        <v>DAco2_emissionS1203922</v>
      </c>
      <c r="B855" t="s">
        <v>95</v>
      </c>
      <c r="C855" t="s">
        <v>99</v>
      </c>
      <c r="D855" t="s">
        <v>204</v>
      </c>
      <c r="E855" t="s">
        <v>110</v>
      </c>
      <c r="F855">
        <v>26140.219594358648</v>
      </c>
      <c r="G855">
        <v>2039</v>
      </c>
      <c r="H855">
        <v>2</v>
      </c>
      <c r="I855">
        <v>2</v>
      </c>
    </row>
    <row r="856" spans="1:9" x14ac:dyDescent="0.35">
      <c r="A856" t="str">
        <f t="shared" si="13"/>
        <v>fcrincomeS1203922</v>
      </c>
      <c r="C856" t="s">
        <v>102</v>
      </c>
      <c r="D856" t="s">
        <v>101</v>
      </c>
      <c r="E856" t="s">
        <v>110</v>
      </c>
      <c r="F856">
        <v>1.301277867710954</v>
      </c>
      <c r="G856">
        <v>2039</v>
      </c>
      <c r="H856">
        <v>2</v>
      </c>
      <c r="I856">
        <v>2</v>
      </c>
    </row>
    <row r="857" spans="1:9" x14ac:dyDescent="0.35">
      <c r="A857" t="str">
        <f t="shared" si="13"/>
        <v>fcractivation_hoursS1203922</v>
      </c>
      <c r="C857" t="s">
        <v>102</v>
      </c>
      <c r="D857" t="s">
        <v>115</v>
      </c>
      <c r="E857" t="s">
        <v>110</v>
      </c>
      <c r="F857">
        <v>4</v>
      </c>
      <c r="G857">
        <v>2039</v>
      </c>
      <c r="H857">
        <v>2</v>
      </c>
      <c r="I857">
        <v>2</v>
      </c>
    </row>
    <row r="858" spans="1:9" x14ac:dyDescent="0.35">
      <c r="A858" t="str">
        <f t="shared" si="13"/>
        <v>afrrincomeS1203922</v>
      </c>
      <c r="C858" t="s">
        <v>103</v>
      </c>
      <c r="D858" t="s">
        <v>101</v>
      </c>
      <c r="E858" t="s">
        <v>110</v>
      </c>
      <c r="F858">
        <v>57948.353514170172</v>
      </c>
      <c r="G858">
        <v>2039</v>
      </c>
      <c r="H858">
        <v>2</v>
      </c>
      <c r="I858">
        <v>2</v>
      </c>
    </row>
    <row r="859" spans="1:9" x14ac:dyDescent="0.35">
      <c r="A859" t="str">
        <f t="shared" si="13"/>
        <v>afrractivation_hoursS1203922</v>
      </c>
      <c r="C859" t="s">
        <v>103</v>
      </c>
      <c r="D859" t="s">
        <v>115</v>
      </c>
      <c r="E859" t="s">
        <v>110</v>
      </c>
      <c r="F859">
        <v>8542</v>
      </c>
      <c r="G859">
        <v>2039</v>
      </c>
      <c r="H859">
        <v>2</v>
      </c>
      <c r="I859">
        <v>2</v>
      </c>
    </row>
    <row r="860" spans="1:9" x14ac:dyDescent="0.35">
      <c r="A860" t="str">
        <f t="shared" si="13"/>
        <v>networkturpe_power_costS1204022</v>
      </c>
      <c r="C860" t="s">
        <v>96</v>
      </c>
      <c r="D860" t="s">
        <v>97</v>
      </c>
      <c r="E860" t="s">
        <v>110</v>
      </c>
      <c r="F860">
        <v>4065.6350066358032</v>
      </c>
      <c r="G860">
        <v>2040</v>
      </c>
      <c r="H860">
        <v>2</v>
      </c>
      <c r="I860">
        <v>2</v>
      </c>
    </row>
    <row r="861" spans="1:9" x14ac:dyDescent="0.35">
      <c r="A861" t="str">
        <f t="shared" si="13"/>
        <v>networkturpe_energy_costS1204022</v>
      </c>
      <c r="C861" t="s">
        <v>96</v>
      </c>
      <c r="D861" t="s">
        <v>98</v>
      </c>
      <c r="E861" t="s">
        <v>110</v>
      </c>
      <c r="F861">
        <v>7387.6558907148219</v>
      </c>
      <c r="G861">
        <v>2040</v>
      </c>
      <c r="H861">
        <v>2</v>
      </c>
      <c r="I861">
        <v>2</v>
      </c>
    </row>
    <row r="862" spans="1:9" x14ac:dyDescent="0.35">
      <c r="A862" t="str">
        <f t="shared" si="13"/>
        <v>DAcostS1204022</v>
      </c>
      <c r="C862" t="s">
        <v>99</v>
      </c>
      <c r="D862" t="s">
        <v>100</v>
      </c>
      <c r="E862" t="s">
        <v>110</v>
      </c>
      <c r="F862">
        <v>17378.268723278019</v>
      </c>
      <c r="G862">
        <v>2040</v>
      </c>
      <c r="H862">
        <v>2</v>
      </c>
      <c r="I862">
        <v>2</v>
      </c>
    </row>
    <row r="863" spans="1:9" x14ac:dyDescent="0.35">
      <c r="A863" t="str">
        <f t="shared" si="13"/>
        <v>DAincomeS1204022</v>
      </c>
      <c r="C863" t="s">
        <v>99</v>
      </c>
      <c r="D863" t="s">
        <v>101</v>
      </c>
      <c r="E863" t="s">
        <v>110</v>
      </c>
      <c r="F863">
        <v>38498.144948908463</v>
      </c>
      <c r="G863">
        <v>2040</v>
      </c>
      <c r="H863">
        <v>2</v>
      </c>
      <c r="I863">
        <v>2</v>
      </c>
    </row>
    <row r="864" spans="1:9" x14ac:dyDescent="0.35">
      <c r="A864" t="str">
        <f t="shared" si="13"/>
        <v>DAenergy_boughtS1204022</v>
      </c>
      <c r="C864" t="s">
        <v>99</v>
      </c>
      <c r="D864" t="s">
        <v>111</v>
      </c>
      <c r="E864" t="s">
        <v>110</v>
      </c>
      <c r="F864">
        <v>451.23941887032458</v>
      </c>
      <c r="G864">
        <v>2040</v>
      </c>
      <c r="H864">
        <v>2</v>
      </c>
      <c r="I864">
        <v>2</v>
      </c>
    </row>
    <row r="865" spans="1:9" x14ac:dyDescent="0.35">
      <c r="A865" t="str">
        <f t="shared" si="13"/>
        <v>DAenergy_soldS1204022</v>
      </c>
      <c r="C865" t="s">
        <v>99</v>
      </c>
      <c r="D865" t="s">
        <v>112</v>
      </c>
      <c r="E865" t="s">
        <v>110</v>
      </c>
      <c r="F865">
        <v>360.14383211437399</v>
      </c>
      <c r="G865">
        <v>2040</v>
      </c>
      <c r="H865">
        <v>2</v>
      </c>
      <c r="I865">
        <v>2</v>
      </c>
    </row>
    <row r="866" spans="1:9" x14ac:dyDescent="0.35">
      <c r="A866" t="str">
        <f t="shared" si="13"/>
        <v>DAhours_boughtS1204022</v>
      </c>
      <c r="B866" t="s">
        <v>95</v>
      </c>
      <c r="C866" t="s">
        <v>99</v>
      </c>
      <c r="D866" t="s">
        <v>113</v>
      </c>
      <c r="E866" t="s">
        <v>110</v>
      </c>
      <c r="F866">
        <v>1982</v>
      </c>
      <c r="G866">
        <v>2040</v>
      </c>
      <c r="H866">
        <v>2</v>
      </c>
      <c r="I866">
        <v>2</v>
      </c>
    </row>
    <row r="867" spans="1:9" x14ac:dyDescent="0.35">
      <c r="A867" t="str">
        <f t="shared" si="13"/>
        <v>DAhours_soldS1204022</v>
      </c>
      <c r="B867" t="s">
        <v>95</v>
      </c>
      <c r="C867" t="s">
        <v>99</v>
      </c>
      <c r="D867" t="s">
        <v>114</v>
      </c>
      <c r="E867" t="s">
        <v>110</v>
      </c>
      <c r="F867">
        <v>411</v>
      </c>
      <c r="G867">
        <v>2040</v>
      </c>
      <c r="H867">
        <v>2</v>
      </c>
      <c r="I867">
        <v>2</v>
      </c>
    </row>
    <row r="868" spans="1:9" x14ac:dyDescent="0.35">
      <c r="A868" t="str">
        <f t="shared" si="13"/>
        <v>DAco2_emissionS1204022</v>
      </c>
      <c r="C868" t="s">
        <v>99</v>
      </c>
      <c r="D868" t="s">
        <v>204</v>
      </c>
      <c r="E868" t="s">
        <v>110</v>
      </c>
      <c r="F868">
        <v>31586.759320922589</v>
      </c>
      <c r="G868">
        <v>2040</v>
      </c>
      <c r="H868">
        <v>2</v>
      </c>
      <c r="I868">
        <v>2</v>
      </c>
    </row>
    <row r="869" spans="1:9" x14ac:dyDescent="0.35">
      <c r="A869" t="str">
        <f t="shared" si="13"/>
        <v>fcrincomeS1204022</v>
      </c>
      <c r="C869" t="s">
        <v>102</v>
      </c>
      <c r="D869" t="s">
        <v>101</v>
      </c>
      <c r="E869" t="s">
        <v>110</v>
      </c>
      <c r="F869">
        <v>9.7835392795968552</v>
      </c>
      <c r="G869">
        <v>2040</v>
      </c>
      <c r="H869">
        <v>2</v>
      </c>
      <c r="I869">
        <v>2</v>
      </c>
    </row>
    <row r="870" spans="1:9" x14ac:dyDescent="0.35">
      <c r="A870" t="str">
        <f t="shared" si="13"/>
        <v>fcractivation_hoursS1204022</v>
      </c>
      <c r="C870" t="s">
        <v>102</v>
      </c>
      <c r="D870" t="s">
        <v>115</v>
      </c>
      <c r="E870" t="s">
        <v>110</v>
      </c>
      <c r="F870">
        <v>20</v>
      </c>
      <c r="G870">
        <v>2040</v>
      </c>
      <c r="H870">
        <v>2</v>
      </c>
      <c r="I870">
        <v>2</v>
      </c>
    </row>
    <row r="871" spans="1:9" x14ac:dyDescent="0.35">
      <c r="A871" t="str">
        <f t="shared" si="13"/>
        <v>afrrincomeS1204022</v>
      </c>
      <c r="C871" t="s">
        <v>103</v>
      </c>
      <c r="D871" t="s">
        <v>101</v>
      </c>
      <c r="E871" t="s">
        <v>110</v>
      </c>
      <c r="F871">
        <v>41453.715172896773</v>
      </c>
      <c r="G871">
        <v>2040</v>
      </c>
      <c r="H871">
        <v>2</v>
      </c>
      <c r="I871">
        <v>2</v>
      </c>
    </row>
    <row r="872" spans="1:9" x14ac:dyDescent="0.35">
      <c r="A872" t="str">
        <f t="shared" si="13"/>
        <v>afrractivation_hoursS1204022</v>
      </c>
      <c r="C872" t="s">
        <v>103</v>
      </c>
      <c r="D872" t="s">
        <v>115</v>
      </c>
      <c r="E872" t="s">
        <v>110</v>
      </c>
      <c r="F872">
        <v>8309</v>
      </c>
      <c r="G872">
        <v>2040</v>
      </c>
      <c r="H872">
        <v>2</v>
      </c>
      <c r="I872">
        <v>2</v>
      </c>
    </row>
    <row r="873" spans="1:9" x14ac:dyDescent="0.35">
      <c r="A873" t="str">
        <f t="shared" si="13"/>
        <v>networkturpe_power_costS1204122</v>
      </c>
      <c r="C873" t="s">
        <v>96</v>
      </c>
      <c r="D873" t="s">
        <v>97</v>
      </c>
      <c r="E873" t="s">
        <v>110</v>
      </c>
      <c r="F873">
        <v>3956.347703663464</v>
      </c>
      <c r="G873">
        <v>2041</v>
      </c>
      <c r="H873">
        <v>2</v>
      </c>
      <c r="I873">
        <v>2</v>
      </c>
    </row>
    <row r="874" spans="1:9" x14ac:dyDescent="0.35">
      <c r="A874" t="str">
        <f t="shared" si="13"/>
        <v>networkturpe_energy_costS1204122</v>
      </c>
      <c r="C874" t="s">
        <v>96</v>
      </c>
      <c r="D874" t="s">
        <v>98</v>
      </c>
      <c r="E874" t="s">
        <v>110</v>
      </c>
      <c r="F874">
        <v>7902.5331767382413</v>
      </c>
      <c r="G874">
        <v>2041</v>
      </c>
      <c r="H874">
        <v>2</v>
      </c>
      <c r="I874">
        <v>2</v>
      </c>
    </row>
    <row r="875" spans="1:9" x14ac:dyDescent="0.35">
      <c r="A875" t="str">
        <f t="shared" si="13"/>
        <v>DAcostS1204122</v>
      </c>
      <c r="C875" t="s">
        <v>99</v>
      </c>
      <c r="D875" t="s">
        <v>100</v>
      </c>
      <c r="E875" t="s">
        <v>110</v>
      </c>
      <c r="F875">
        <v>18490.28661658756</v>
      </c>
      <c r="G875">
        <v>2041</v>
      </c>
      <c r="H875">
        <v>2</v>
      </c>
      <c r="I875">
        <v>2</v>
      </c>
    </row>
    <row r="876" spans="1:9" x14ac:dyDescent="0.35">
      <c r="A876" t="str">
        <f t="shared" si="13"/>
        <v>DAincomeS1204122</v>
      </c>
      <c r="C876" t="s">
        <v>99</v>
      </c>
      <c r="D876" t="s">
        <v>101</v>
      </c>
      <c r="E876" t="s">
        <v>110</v>
      </c>
      <c r="F876">
        <v>40443.329065341932</v>
      </c>
      <c r="G876">
        <v>2041</v>
      </c>
      <c r="H876">
        <v>2</v>
      </c>
      <c r="I876">
        <v>2</v>
      </c>
    </row>
    <row r="877" spans="1:9" x14ac:dyDescent="0.35">
      <c r="A877" t="str">
        <f t="shared" si="13"/>
        <v>DAenergy_boughtS1204122</v>
      </c>
      <c r="C877" t="s">
        <v>99</v>
      </c>
      <c r="D877" t="s">
        <v>111</v>
      </c>
      <c r="E877" t="s">
        <v>110</v>
      </c>
      <c r="F877">
        <v>475.31530882531882</v>
      </c>
      <c r="G877">
        <v>2041</v>
      </c>
      <c r="H877">
        <v>2</v>
      </c>
      <c r="I877">
        <v>2</v>
      </c>
    </row>
    <row r="878" spans="1:9" x14ac:dyDescent="0.35">
      <c r="A878" t="str">
        <f t="shared" si="13"/>
        <v>DAenergy_soldS1204122</v>
      </c>
      <c r="B878" t="s">
        <v>95</v>
      </c>
      <c r="C878" t="s">
        <v>99</v>
      </c>
      <c r="D878" t="s">
        <v>112</v>
      </c>
      <c r="E878" t="s">
        <v>110</v>
      </c>
      <c r="F878">
        <v>379.76782983904911</v>
      </c>
      <c r="G878">
        <v>2041</v>
      </c>
      <c r="H878">
        <v>2</v>
      </c>
      <c r="I878">
        <v>2</v>
      </c>
    </row>
    <row r="879" spans="1:9" x14ac:dyDescent="0.35">
      <c r="A879" t="str">
        <f t="shared" si="13"/>
        <v>DAhours_boughtS1204122</v>
      </c>
      <c r="B879" t="s">
        <v>95</v>
      </c>
      <c r="C879" t="s">
        <v>99</v>
      </c>
      <c r="D879" t="s">
        <v>113</v>
      </c>
      <c r="E879" t="s">
        <v>110</v>
      </c>
      <c r="F879">
        <v>1838</v>
      </c>
      <c r="G879">
        <v>2041</v>
      </c>
      <c r="H879">
        <v>2</v>
      </c>
      <c r="I879">
        <v>2</v>
      </c>
    </row>
    <row r="880" spans="1:9" x14ac:dyDescent="0.35">
      <c r="A880" t="str">
        <f t="shared" si="13"/>
        <v>DAhours_soldS1204122</v>
      </c>
      <c r="C880" t="s">
        <v>99</v>
      </c>
      <c r="D880" t="s">
        <v>114</v>
      </c>
      <c r="E880" t="s">
        <v>110</v>
      </c>
      <c r="F880">
        <v>452</v>
      </c>
      <c r="G880">
        <v>2041</v>
      </c>
      <c r="H880">
        <v>2</v>
      </c>
      <c r="I880">
        <v>2</v>
      </c>
    </row>
    <row r="881" spans="1:9" x14ac:dyDescent="0.35">
      <c r="A881" t="str">
        <f t="shared" si="13"/>
        <v>DAco2_emissionS1204122</v>
      </c>
      <c r="C881" t="s">
        <v>99</v>
      </c>
      <c r="D881" t="s">
        <v>204</v>
      </c>
      <c r="E881" t="s">
        <v>110</v>
      </c>
      <c r="F881">
        <v>33272.071617773217</v>
      </c>
      <c r="G881">
        <v>2041</v>
      </c>
      <c r="H881">
        <v>2</v>
      </c>
      <c r="I881">
        <v>2</v>
      </c>
    </row>
    <row r="882" spans="1:9" x14ac:dyDescent="0.35">
      <c r="A882" t="str">
        <f t="shared" si="13"/>
        <v>fcrincomeS1204122</v>
      </c>
      <c r="C882" t="s">
        <v>102</v>
      </c>
      <c r="D882" t="s">
        <v>101</v>
      </c>
      <c r="E882" t="s">
        <v>110</v>
      </c>
      <c r="F882">
        <v>11.27547817647968</v>
      </c>
      <c r="G882">
        <v>2041</v>
      </c>
      <c r="H882">
        <v>2</v>
      </c>
      <c r="I882">
        <v>2</v>
      </c>
    </row>
    <row r="883" spans="1:9" x14ac:dyDescent="0.35">
      <c r="A883" t="str">
        <f t="shared" si="13"/>
        <v>fcractivation_hoursS1204122</v>
      </c>
      <c r="C883" t="s">
        <v>102</v>
      </c>
      <c r="D883" t="s">
        <v>115</v>
      </c>
      <c r="E883" t="s">
        <v>110</v>
      </c>
      <c r="F883">
        <v>32</v>
      </c>
      <c r="G883">
        <v>2041</v>
      </c>
      <c r="H883">
        <v>2</v>
      </c>
      <c r="I883">
        <v>2</v>
      </c>
    </row>
    <row r="884" spans="1:9" x14ac:dyDescent="0.35">
      <c r="A884" t="str">
        <f t="shared" si="13"/>
        <v>afrrincomeS1204122</v>
      </c>
      <c r="C884" t="s">
        <v>103</v>
      </c>
      <c r="D884" t="s">
        <v>101</v>
      </c>
      <c r="E884" t="s">
        <v>110</v>
      </c>
      <c r="F884">
        <v>38619.76210889627</v>
      </c>
      <c r="G884">
        <v>2041</v>
      </c>
      <c r="H884">
        <v>2</v>
      </c>
      <c r="I884">
        <v>2</v>
      </c>
    </row>
    <row r="885" spans="1:9" x14ac:dyDescent="0.35">
      <c r="A885" t="str">
        <f t="shared" si="13"/>
        <v>afrractivation_hoursS1204122</v>
      </c>
      <c r="C885" t="s">
        <v>103</v>
      </c>
      <c r="D885" t="s">
        <v>115</v>
      </c>
      <c r="E885" t="s">
        <v>110</v>
      </c>
      <c r="F885">
        <v>8110</v>
      </c>
      <c r="G885">
        <v>2041</v>
      </c>
      <c r="H885">
        <v>2</v>
      </c>
      <c r="I885">
        <v>2</v>
      </c>
    </row>
    <row r="886" spans="1:9" x14ac:dyDescent="0.35">
      <c r="A886" t="str">
        <f t="shared" si="13"/>
        <v>networkturpe_power_costS1202531</v>
      </c>
      <c r="C886" t="s">
        <v>96</v>
      </c>
      <c r="D886" t="s">
        <v>97</v>
      </c>
      <c r="E886" t="s">
        <v>110</v>
      </c>
      <c r="F886">
        <v>4013.7822525650581</v>
      </c>
      <c r="G886">
        <v>2025</v>
      </c>
      <c r="H886">
        <v>3</v>
      </c>
      <c r="I886">
        <v>1</v>
      </c>
    </row>
    <row r="887" spans="1:9" x14ac:dyDescent="0.35">
      <c r="A887" t="str">
        <f t="shared" si="13"/>
        <v>networkturpe_energy_costS1202531</v>
      </c>
      <c r="C887" t="s">
        <v>96</v>
      </c>
      <c r="D887" t="s">
        <v>98</v>
      </c>
      <c r="E887" t="s">
        <v>110</v>
      </c>
      <c r="F887">
        <v>137.3311009439839</v>
      </c>
      <c r="G887">
        <v>2025</v>
      </c>
      <c r="H887">
        <v>3</v>
      </c>
      <c r="I887">
        <v>1</v>
      </c>
    </row>
    <row r="888" spans="1:9" x14ac:dyDescent="0.35">
      <c r="A888" t="str">
        <f t="shared" si="13"/>
        <v>DAcostS1202531</v>
      </c>
      <c r="C888" t="s">
        <v>99</v>
      </c>
      <c r="D888" t="s">
        <v>100</v>
      </c>
      <c r="E888" t="s">
        <v>110</v>
      </c>
      <c r="F888">
        <v>1264.2798026747209</v>
      </c>
      <c r="G888">
        <v>2025</v>
      </c>
      <c r="H888">
        <v>3</v>
      </c>
      <c r="I888">
        <v>1</v>
      </c>
    </row>
    <row r="889" spans="1:9" x14ac:dyDescent="0.35">
      <c r="A889" t="str">
        <f t="shared" si="13"/>
        <v>DAincomeS1202531</v>
      </c>
      <c r="C889" t="s">
        <v>99</v>
      </c>
      <c r="D889" t="s">
        <v>101</v>
      </c>
      <c r="E889" t="s">
        <v>110</v>
      </c>
      <c r="F889">
        <v>0</v>
      </c>
      <c r="G889">
        <v>2025</v>
      </c>
      <c r="H889">
        <v>3</v>
      </c>
      <c r="I889">
        <v>1</v>
      </c>
    </row>
    <row r="890" spans="1:9" x14ac:dyDescent="0.35">
      <c r="A890" t="str">
        <f t="shared" si="13"/>
        <v>DAenergy_boughtS1202531</v>
      </c>
      <c r="B890" t="s">
        <v>95</v>
      </c>
      <c r="C890" t="s">
        <v>99</v>
      </c>
      <c r="D890" t="s">
        <v>111</v>
      </c>
      <c r="E890" t="s">
        <v>110</v>
      </c>
      <c r="F890">
        <v>7.2997826430709569</v>
      </c>
      <c r="G890">
        <v>2025</v>
      </c>
      <c r="H890">
        <v>3</v>
      </c>
      <c r="I890">
        <v>1</v>
      </c>
    </row>
    <row r="891" spans="1:9" x14ac:dyDescent="0.35">
      <c r="A891" t="str">
        <f t="shared" si="13"/>
        <v>DAenergy_soldS1202531</v>
      </c>
      <c r="B891" t="s">
        <v>95</v>
      </c>
      <c r="C891" t="s">
        <v>99</v>
      </c>
      <c r="D891" t="s">
        <v>112</v>
      </c>
      <c r="E891" t="s">
        <v>110</v>
      </c>
      <c r="F891">
        <v>0</v>
      </c>
      <c r="G891">
        <v>2025</v>
      </c>
      <c r="H891">
        <v>3</v>
      </c>
      <c r="I891">
        <v>1</v>
      </c>
    </row>
    <row r="892" spans="1:9" x14ac:dyDescent="0.35">
      <c r="A892" t="str">
        <f t="shared" si="13"/>
        <v>DAhours_boughtS1202531</v>
      </c>
      <c r="C892" t="s">
        <v>99</v>
      </c>
      <c r="D892" t="s">
        <v>113</v>
      </c>
      <c r="E892" t="s">
        <v>110</v>
      </c>
      <c r="F892">
        <v>6237</v>
      </c>
      <c r="G892">
        <v>2025</v>
      </c>
      <c r="H892">
        <v>3</v>
      </c>
      <c r="I892">
        <v>1</v>
      </c>
    </row>
    <row r="893" spans="1:9" x14ac:dyDescent="0.35">
      <c r="A893" t="str">
        <f t="shared" si="13"/>
        <v>DAhours_soldS1202531</v>
      </c>
      <c r="C893" t="s">
        <v>99</v>
      </c>
      <c r="D893" t="s">
        <v>114</v>
      </c>
      <c r="E893" t="s">
        <v>110</v>
      </c>
      <c r="F893">
        <v>0</v>
      </c>
      <c r="G893">
        <v>2025</v>
      </c>
      <c r="H893">
        <v>3</v>
      </c>
      <c r="I893">
        <v>1</v>
      </c>
    </row>
    <row r="894" spans="1:9" x14ac:dyDescent="0.35">
      <c r="A894" t="str">
        <f t="shared" si="13"/>
        <v>DAco2_emissionS1202531</v>
      </c>
      <c r="C894" t="s">
        <v>99</v>
      </c>
      <c r="D894" t="s">
        <v>204</v>
      </c>
      <c r="E894" t="s">
        <v>110</v>
      </c>
      <c r="F894">
        <v>510.98478501496021</v>
      </c>
      <c r="G894">
        <v>2025</v>
      </c>
      <c r="H894">
        <v>3</v>
      </c>
      <c r="I894">
        <v>1</v>
      </c>
    </row>
    <row r="895" spans="1:9" x14ac:dyDescent="0.35">
      <c r="A895" t="str">
        <f t="shared" si="13"/>
        <v>fcrincomeS1202531</v>
      </c>
      <c r="C895" t="s">
        <v>102</v>
      </c>
      <c r="D895" t="s">
        <v>101</v>
      </c>
      <c r="E895" t="s">
        <v>110</v>
      </c>
      <c r="F895">
        <v>0</v>
      </c>
      <c r="G895">
        <v>2025</v>
      </c>
      <c r="H895">
        <v>3</v>
      </c>
      <c r="I895">
        <v>1</v>
      </c>
    </row>
    <row r="896" spans="1:9" x14ac:dyDescent="0.35">
      <c r="A896" t="str">
        <f t="shared" si="13"/>
        <v>fcractivation_hoursS1202531</v>
      </c>
      <c r="C896" t="s">
        <v>102</v>
      </c>
      <c r="D896" t="s">
        <v>115</v>
      </c>
      <c r="E896" t="s">
        <v>110</v>
      </c>
      <c r="F896">
        <v>0</v>
      </c>
      <c r="G896">
        <v>2025</v>
      </c>
      <c r="H896">
        <v>3</v>
      </c>
      <c r="I896">
        <v>1</v>
      </c>
    </row>
    <row r="897" spans="1:9" x14ac:dyDescent="0.35">
      <c r="A897" t="str">
        <f t="shared" si="13"/>
        <v>afrrincomeS1202531</v>
      </c>
      <c r="C897" t="s">
        <v>103</v>
      </c>
      <c r="D897" t="s">
        <v>101</v>
      </c>
      <c r="E897" t="s">
        <v>110</v>
      </c>
      <c r="F897">
        <v>154921.05689376919</v>
      </c>
      <c r="G897">
        <v>2025</v>
      </c>
      <c r="H897">
        <v>3</v>
      </c>
      <c r="I897">
        <v>1</v>
      </c>
    </row>
    <row r="898" spans="1:9" x14ac:dyDescent="0.35">
      <c r="A898" t="str">
        <f t="shared" si="13"/>
        <v>afrractivation_hoursS1202531</v>
      </c>
      <c r="C898" t="s">
        <v>103</v>
      </c>
      <c r="D898" t="s">
        <v>115</v>
      </c>
      <c r="E898" t="s">
        <v>110</v>
      </c>
      <c r="F898">
        <v>8760</v>
      </c>
      <c r="G898">
        <v>2025</v>
      </c>
      <c r="H898">
        <v>3</v>
      </c>
      <c r="I898">
        <v>1</v>
      </c>
    </row>
    <row r="899" spans="1:9" x14ac:dyDescent="0.35">
      <c r="A899" t="str">
        <f t="shared" ref="A899:A962" si="14">C899&amp;D899&amp;E899&amp;G899&amp;H899&amp;I899</f>
        <v>networkturpe_power_costS1202631</v>
      </c>
      <c r="C899" t="s">
        <v>96</v>
      </c>
      <c r="D899" t="s">
        <v>97</v>
      </c>
      <c r="E899" t="s">
        <v>110</v>
      </c>
      <c r="F899">
        <v>3912.6025512679062</v>
      </c>
      <c r="G899">
        <v>2026</v>
      </c>
      <c r="H899">
        <v>3</v>
      </c>
      <c r="I899">
        <v>1</v>
      </c>
    </row>
    <row r="900" spans="1:9" x14ac:dyDescent="0.35">
      <c r="A900" t="str">
        <f t="shared" si="14"/>
        <v>networkturpe_energy_costS1202631</v>
      </c>
      <c r="C900" t="s">
        <v>96</v>
      </c>
      <c r="D900" t="s">
        <v>98</v>
      </c>
      <c r="E900" t="s">
        <v>110</v>
      </c>
      <c r="F900">
        <v>134.19273374331669</v>
      </c>
      <c r="G900">
        <v>2026</v>
      </c>
      <c r="H900">
        <v>3</v>
      </c>
      <c r="I900">
        <v>1</v>
      </c>
    </row>
    <row r="901" spans="1:9" x14ac:dyDescent="0.35">
      <c r="A901" t="str">
        <f t="shared" si="14"/>
        <v>DAcostS1202631</v>
      </c>
      <c r="C901" t="s">
        <v>99</v>
      </c>
      <c r="D901" t="s">
        <v>100</v>
      </c>
      <c r="E901" t="s">
        <v>110</v>
      </c>
      <c r="F901">
        <v>1128.6739621947379</v>
      </c>
      <c r="G901">
        <v>2026</v>
      </c>
      <c r="H901">
        <v>3</v>
      </c>
      <c r="I901">
        <v>1</v>
      </c>
    </row>
    <row r="902" spans="1:9" x14ac:dyDescent="0.35">
      <c r="A902" t="str">
        <f t="shared" si="14"/>
        <v>DAincomeS1202631</v>
      </c>
      <c r="B902" t="s">
        <v>95</v>
      </c>
      <c r="C902" t="s">
        <v>99</v>
      </c>
      <c r="D902" t="s">
        <v>101</v>
      </c>
      <c r="E902" t="s">
        <v>110</v>
      </c>
      <c r="F902">
        <v>0</v>
      </c>
      <c r="G902">
        <v>2026</v>
      </c>
      <c r="H902">
        <v>3</v>
      </c>
      <c r="I902">
        <v>1</v>
      </c>
    </row>
    <row r="903" spans="1:9" x14ac:dyDescent="0.35">
      <c r="A903" t="str">
        <f t="shared" si="14"/>
        <v>DAenergy_boughtS1202631</v>
      </c>
      <c r="B903" t="s">
        <v>95</v>
      </c>
      <c r="C903" t="s">
        <v>99</v>
      </c>
      <c r="D903" t="s">
        <v>111</v>
      </c>
      <c r="E903" t="s">
        <v>110</v>
      </c>
      <c r="F903">
        <v>7.1170685181398436</v>
      </c>
      <c r="G903">
        <v>2026</v>
      </c>
      <c r="H903">
        <v>3</v>
      </c>
      <c r="I903">
        <v>1</v>
      </c>
    </row>
    <row r="904" spans="1:9" x14ac:dyDescent="0.35">
      <c r="A904" t="str">
        <f t="shared" si="14"/>
        <v>DAenergy_soldS1202631</v>
      </c>
      <c r="C904" t="s">
        <v>99</v>
      </c>
      <c r="D904" t="s">
        <v>112</v>
      </c>
      <c r="E904" t="s">
        <v>110</v>
      </c>
      <c r="F904">
        <v>0</v>
      </c>
      <c r="G904">
        <v>2026</v>
      </c>
      <c r="H904">
        <v>3</v>
      </c>
      <c r="I904">
        <v>1</v>
      </c>
    </row>
    <row r="905" spans="1:9" x14ac:dyDescent="0.35">
      <c r="A905" t="str">
        <f t="shared" si="14"/>
        <v>DAhours_boughtS1202631</v>
      </c>
      <c r="C905" t="s">
        <v>99</v>
      </c>
      <c r="D905" t="s">
        <v>113</v>
      </c>
      <c r="E905" t="s">
        <v>110</v>
      </c>
      <c r="F905">
        <v>6805</v>
      </c>
      <c r="G905">
        <v>2026</v>
      </c>
      <c r="H905">
        <v>3</v>
      </c>
      <c r="I905">
        <v>1</v>
      </c>
    </row>
    <row r="906" spans="1:9" x14ac:dyDescent="0.35">
      <c r="A906" t="str">
        <f t="shared" si="14"/>
        <v>DAhours_soldS1202631</v>
      </c>
      <c r="C906" t="s">
        <v>99</v>
      </c>
      <c r="D906" t="s">
        <v>114</v>
      </c>
      <c r="E906" t="s">
        <v>110</v>
      </c>
      <c r="F906">
        <v>0</v>
      </c>
      <c r="G906">
        <v>2026</v>
      </c>
      <c r="H906">
        <v>3</v>
      </c>
      <c r="I906">
        <v>1</v>
      </c>
    </row>
    <row r="907" spans="1:9" x14ac:dyDescent="0.35">
      <c r="A907" t="str">
        <f t="shared" si="14"/>
        <v>DAco2_emissionS1202631</v>
      </c>
      <c r="C907" t="s">
        <v>99</v>
      </c>
      <c r="D907" t="s">
        <v>204</v>
      </c>
      <c r="E907" t="s">
        <v>110</v>
      </c>
      <c r="F907">
        <v>498.19479626973822</v>
      </c>
      <c r="G907">
        <v>2026</v>
      </c>
      <c r="H907">
        <v>3</v>
      </c>
      <c r="I907">
        <v>1</v>
      </c>
    </row>
    <row r="908" spans="1:9" x14ac:dyDescent="0.35">
      <c r="A908" t="str">
        <f t="shared" si="14"/>
        <v>fcrincomeS1202631</v>
      </c>
      <c r="C908" t="s">
        <v>102</v>
      </c>
      <c r="D908" t="s">
        <v>101</v>
      </c>
      <c r="E908" t="s">
        <v>110</v>
      </c>
      <c r="F908">
        <v>0</v>
      </c>
      <c r="G908">
        <v>2026</v>
      </c>
      <c r="H908">
        <v>3</v>
      </c>
      <c r="I908">
        <v>1</v>
      </c>
    </row>
    <row r="909" spans="1:9" x14ac:dyDescent="0.35">
      <c r="A909" t="str">
        <f t="shared" si="14"/>
        <v>fcractivation_hoursS1202631</v>
      </c>
      <c r="C909" t="s">
        <v>102</v>
      </c>
      <c r="D909" t="s">
        <v>115</v>
      </c>
      <c r="E909" t="s">
        <v>110</v>
      </c>
      <c r="F909">
        <v>0</v>
      </c>
      <c r="G909">
        <v>2026</v>
      </c>
      <c r="H909">
        <v>3</v>
      </c>
      <c r="I909">
        <v>1</v>
      </c>
    </row>
    <row r="910" spans="1:9" x14ac:dyDescent="0.35">
      <c r="A910" t="str">
        <f t="shared" si="14"/>
        <v>afrrincomeS1202631</v>
      </c>
      <c r="C910" t="s">
        <v>103</v>
      </c>
      <c r="D910" t="s">
        <v>101</v>
      </c>
      <c r="E910" t="s">
        <v>110</v>
      </c>
      <c r="F910">
        <v>146914.7677493924</v>
      </c>
      <c r="G910">
        <v>2026</v>
      </c>
      <c r="H910">
        <v>3</v>
      </c>
      <c r="I910">
        <v>1</v>
      </c>
    </row>
    <row r="911" spans="1:9" x14ac:dyDescent="0.35">
      <c r="A911" t="str">
        <f t="shared" si="14"/>
        <v>afrractivation_hoursS1202631</v>
      </c>
      <c r="C911" t="s">
        <v>103</v>
      </c>
      <c r="D911" t="s">
        <v>115</v>
      </c>
      <c r="E911" t="s">
        <v>110</v>
      </c>
      <c r="F911">
        <v>8760</v>
      </c>
      <c r="G911">
        <v>2026</v>
      </c>
      <c r="H911">
        <v>3</v>
      </c>
      <c r="I911">
        <v>1</v>
      </c>
    </row>
    <row r="912" spans="1:9" x14ac:dyDescent="0.35">
      <c r="A912" t="str">
        <f t="shared" si="14"/>
        <v>networkturpe_power_costS1202731</v>
      </c>
      <c r="C912" t="s">
        <v>96</v>
      </c>
      <c r="D912" t="s">
        <v>97</v>
      </c>
      <c r="E912" t="s">
        <v>110</v>
      </c>
      <c r="F912">
        <v>3816.43654062014</v>
      </c>
      <c r="G912">
        <v>2027</v>
      </c>
      <c r="H912">
        <v>3</v>
      </c>
      <c r="I912">
        <v>1</v>
      </c>
    </row>
    <row r="913" spans="1:9" x14ac:dyDescent="0.35">
      <c r="A913" t="str">
        <f t="shared" si="14"/>
        <v>networkturpe_energy_costS1202731</v>
      </c>
      <c r="C913" t="s">
        <v>96</v>
      </c>
      <c r="D913" t="s">
        <v>98</v>
      </c>
      <c r="E913" t="s">
        <v>110</v>
      </c>
      <c r="F913">
        <v>129.90158719882501</v>
      </c>
      <c r="G913">
        <v>2027</v>
      </c>
      <c r="H913">
        <v>3</v>
      </c>
      <c r="I913">
        <v>1</v>
      </c>
    </row>
    <row r="914" spans="1:9" x14ac:dyDescent="0.35">
      <c r="A914" t="str">
        <f t="shared" si="14"/>
        <v>DAcostS1202731</v>
      </c>
      <c r="B914" t="s">
        <v>95</v>
      </c>
      <c r="C914" t="s">
        <v>99</v>
      </c>
      <c r="D914" t="s">
        <v>100</v>
      </c>
      <c r="E914" t="s">
        <v>110</v>
      </c>
      <c r="F914">
        <v>839.8544911145309</v>
      </c>
      <c r="G914">
        <v>2027</v>
      </c>
      <c r="H914">
        <v>3</v>
      </c>
      <c r="I914">
        <v>1</v>
      </c>
    </row>
    <row r="915" spans="1:9" x14ac:dyDescent="0.35">
      <c r="A915" t="str">
        <f t="shared" si="14"/>
        <v>DAincomeS1202731</v>
      </c>
      <c r="B915" t="s">
        <v>95</v>
      </c>
      <c r="C915" t="s">
        <v>99</v>
      </c>
      <c r="D915" t="s">
        <v>101</v>
      </c>
      <c r="E915" t="s">
        <v>110</v>
      </c>
      <c r="F915">
        <v>0</v>
      </c>
      <c r="G915">
        <v>2027</v>
      </c>
      <c r="H915">
        <v>3</v>
      </c>
      <c r="I915">
        <v>1</v>
      </c>
    </row>
    <row r="916" spans="1:9" x14ac:dyDescent="0.35">
      <c r="A916" t="str">
        <f t="shared" si="14"/>
        <v>DAenergy_boughtS1202731</v>
      </c>
      <c r="C916" t="s">
        <v>99</v>
      </c>
      <c r="D916" t="s">
        <v>111</v>
      </c>
      <c r="E916" t="s">
        <v>110</v>
      </c>
      <c r="F916">
        <v>6.9389075072560651</v>
      </c>
      <c r="G916">
        <v>2027</v>
      </c>
      <c r="H916">
        <v>3</v>
      </c>
      <c r="I916">
        <v>1</v>
      </c>
    </row>
    <row r="917" spans="1:9" x14ac:dyDescent="0.35">
      <c r="A917" t="str">
        <f t="shared" si="14"/>
        <v>DAenergy_soldS1202731</v>
      </c>
      <c r="C917" t="s">
        <v>99</v>
      </c>
      <c r="D917" t="s">
        <v>112</v>
      </c>
      <c r="E917" t="s">
        <v>110</v>
      </c>
      <c r="F917">
        <v>0</v>
      </c>
      <c r="G917">
        <v>2027</v>
      </c>
      <c r="H917">
        <v>3</v>
      </c>
      <c r="I917">
        <v>1</v>
      </c>
    </row>
    <row r="918" spans="1:9" x14ac:dyDescent="0.35">
      <c r="A918" t="str">
        <f t="shared" si="14"/>
        <v>DAhours_boughtS1202731</v>
      </c>
      <c r="C918" t="s">
        <v>99</v>
      </c>
      <c r="D918" t="s">
        <v>113</v>
      </c>
      <c r="E918" t="s">
        <v>110</v>
      </c>
      <c r="F918">
        <v>6000</v>
      </c>
      <c r="G918">
        <v>2027</v>
      </c>
      <c r="H918">
        <v>3</v>
      </c>
      <c r="I918">
        <v>1</v>
      </c>
    </row>
    <row r="919" spans="1:9" x14ac:dyDescent="0.35">
      <c r="A919" t="str">
        <f t="shared" si="14"/>
        <v>DAhours_soldS1202731</v>
      </c>
      <c r="C919" t="s">
        <v>99</v>
      </c>
      <c r="D919" t="s">
        <v>114</v>
      </c>
      <c r="E919" t="s">
        <v>110</v>
      </c>
      <c r="F919">
        <v>0</v>
      </c>
      <c r="G919">
        <v>2027</v>
      </c>
      <c r="H919">
        <v>3</v>
      </c>
      <c r="I919">
        <v>1</v>
      </c>
    </row>
    <row r="920" spans="1:9" x14ac:dyDescent="0.35">
      <c r="A920" t="str">
        <f t="shared" si="14"/>
        <v>DAco2_emissionS1202731</v>
      </c>
      <c r="C920" t="s">
        <v>99</v>
      </c>
      <c r="D920" t="s">
        <v>204</v>
      </c>
      <c r="E920" t="s">
        <v>110</v>
      </c>
      <c r="F920">
        <v>485.72352550791311</v>
      </c>
      <c r="G920">
        <v>2027</v>
      </c>
      <c r="H920">
        <v>3</v>
      </c>
      <c r="I920">
        <v>1</v>
      </c>
    </row>
    <row r="921" spans="1:9" x14ac:dyDescent="0.35">
      <c r="A921" t="str">
        <f t="shared" si="14"/>
        <v>fcrincomeS1202731</v>
      </c>
      <c r="C921" t="s">
        <v>102</v>
      </c>
      <c r="D921" t="s">
        <v>101</v>
      </c>
      <c r="E921" t="s">
        <v>110</v>
      </c>
      <c r="F921">
        <v>0</v>
      </c>
      <c r="G921">
        <v>2027</v>
      </c>
      <c r="H921">
        <v>3</v>
      </c>
      <c r="I921">
        <v>1</v>
      </c>
    </row>
    <row r="922" spans="1:9" x14ac:dyDescent="0.35">
      <c r="A922" t="str">
        <f t="shared" si="14"/>
        <v>fcractivation_hoursS1202731</v>
      </c>
      <c r="C922" t="s">
        <v>102</v>
      </c>
      <c r="D922" t="s">
        <v>115</v>
      </c>
      <c r="E922" t="s">
        <v>110</v>
      </c>
      <c r="F922">
        <v>0</v>
      </c>
      <c r="G922">
        <v>2027</v>
      </c>
      <c r="H922">
        <v>3</v>
      </c>
      <c r="I922">
        <v>1</v>
      </c>
    </row>
    <row r="923" spans="1:9" x14ac:dyDescent="0.35">
      <c r="A923" t="str">
        <f t="shared" si="14"/>
        <v>afrrincomeS1202731</v>
      </c>
      <c r="C923" t="s">
        <v>103</v>
      </c>
      <c r="D923" t="s">
        <v>101</v>
      </c>
      <c r="E923" t="s">
        <v>110</v>
      </c>
      <c r="F923">
        <v>124720.62596660769</v>
      </c>
      <c r="G923">
        <v>2027</v>
      </c>
      <c r="H923">
        <v>3</v>
      </c>
      <c r="I923">
        <v>1</v>
      </c>
    </row>
    <row r="924" spans="1:9" x14ac:dyDescent="0.35">
      <c r="A924" t="str">
        <f t="shared" si="14"/>
        <v>afrractivation_hoursS1202731</v>
      </c>
      <c r="C924" t="s">
        <v>103</v>
      </c>
      <c r="D924" t="s">
        <v>115</v>
      </c>
      <c r="E924" t="s">
        <v>110</v>
      </c>
      <c r="F924">
        <v>8760</v>
      </c>
      <c r="G924">
        <v>2027</v>
      </c>
      <c r="H924">
        <v>3</v>
      </c>
      <c r="I924">
        <v>1</v>
      </c>
    </row>
    <row r="925" spans="1:9" x14ac:dyDescent="0.35">
      <c r="A925" t="str">
        <f t="shared" si="14"/>
        <v>networkturpe_power_costS1202831</v>
      </c>
      <c r="C925" t="s">
        <v>96</v>
      </c>
      <c r="D925" t="s">
        <v>97</v>
      </c>
      <c r="E925" t="s">
        <v>110</v>
      </c>
      <c r="F925">
        <v>3721.19858787876</v>
      </c>
      <c r="G925">
        <v>2028</v>
      </c>
      <c r="H925">
        <v>3</v>
      </c>
      <c r="I925">
        <v>1</v>
      </c>
    </row>
    <row r="926" spans="1:9" x14ac:dyDescent="0.35">
      <c r="A926" t="str">
        <f t="shared" si="14"/>
        <v>networkturpe_energy_costS1202831</v>
      </c>
      <c r="B926" t="s">
        <v>95</v>
      </c>
      <c r="C926" t="s">
        <v>96</v>
      </c>
      <c r="D926" t="s">
        <v>98</v>
      </c>
      <c r="E926" t="s">
        <v>110</v>
      </c>
      <c r="F926">
        <v>126.84387887518329</v>
      </c>
      <c r="G926">
        <v>2028</v>
      </c>
      <c r="H926">
        <v>3</v>
      </c>
      <c r="I926">
        <v>1</v>
      </c>
    </row>
    <row r="927" spans="1:9" x14ac:dyDescent="0.35">
      <c r="A927" t="str">
        <f t="shared" si="14"/>
        <v>DAcostS1202831</v>
      </c>
      <c r="B927" t="s">
        <v>95</v>
      </c>
      <c r="C927" t="s">
        <v>99</v>
      </c>
      <c r="D927" t="s">
        <v>100</v>
      </c>
      <c r="E927" t="s">
        <v>110</v>
      </c>
      <c r="F927">
        <v>749.90198778293995</v>
      </c>
      <c r="G927">
        <v>2028</v>
      </c>
      <c r="H927">
        <v>3</v>
      </c>
      <c r="I927">
        <v>1</v>
      </c>
    </row>
    <row r="928" spans="1:9" x14ac:dyDescent="0.35">
      <c r="A928" t="str">
        <f t="shared" si="14"/>
        <v>DAincomeS1202831</v>
      </c>
      <c r="C928" t="s">
        <v>99</v>
      </c>
      <c r="D928" t="s">
        <v>101</v>
      </c>
      <c r="E928" t="s">
        <v>110</v>
      </c>
      <c r="F928">
        <v>2.0095476585392459E-4</v>
      </c>
      <c r="G928">
        <v>2028</v>
      </c>
      <c r="H928">
        <v>3</v>
      </c>
      <c r="I928">
        <v>1</v>
      </c>
    </row>
    <row r="929" spans="1:9" x14ac:dyDescent="0.35">
      <c r="A929" t="str">
        <f t="shared" si="14"/>
        <v>DAenergy_boughtS1202831</v>
      </c>
      <c r="C929" t="s">
        <v>99</v>
      </c>
      <c r="D929" t="s">
        <v>111</v>
      </c>
      <c r="E929" t="s">
        <v>110</v>
      </c>
      <c r="F929">
        <v>6.7654050297660397</v>
      </c>
      <c r="G929">
        <v>2028</v>
      </c>
      <c r="H929">
        <v>3</v>
      </c>
      <c r="I929">
        <v>1</v>
      </c>
    </row>
    <row r="930" spans="1:9" x14ac:dyDescent="0.35">
      <c r="A930" t="str">
        <f t="shared" si="14"/>
        <v>DAenergy_soldS1202831</v>
      </c>
      <c r="C930" t="s">
        <v>99</v>
      </c>
      <c r="D930" t="s">
        <v>112</v>
      </c>
      <c r="E930" t="s">
        <v>110</v>
      </c>
      <c r="F930">
        <v>1.545538394154278E-6</v>
      </c>
      <c r="G930">
        <v>2028</v>
      </c>
      <c r="H930">
        <v>3</v>
      </c>
      <c r="I930">
        <v>1</v>
      </c>
    </row>
    <row r="931" spans="1:9" x14ac:dyDescent="0.35">
      <c r="A931" t="str">
        <f t="shared" si="14"/>
        <v>DAhours_boughtS1202831</v>
      </c>
      <c r="C931" t="s">
        <v>99</v>
      </c>
      <c r="D931" t="s">
        <v>113</v>
      </c>
      <c r="E931" t="s">
        <v>110</v>
      </c>
      <c r="F931">
        <v>5908</v>
      </c>
      <c r="G931">
        <v>2028</v>
      </c>
      <c r="H931">
        <v>3</v>
      </c>
      <c r="I931">
        <v>1</v>
      </c>
    </row>
    <row r="932" spans="1:9" x14ac:dyDescent="0.35">
      <c r="A932" t="str">
        <f t="shared" si="14"/>
        <v>DAhours_soldS1202831</v>
      </c>
      <c r="C932" t="s">
        <v>99</v>
      </c>
      <c r="D932" t="s">
        <v>114</v>
      </c>
      <c r="E932" t="s">
        <v>110</v>
      </c>
      <c r="F932">
        <v>0</v>
      </c>
      <c r="G932">
        <v>2028</v>
      </c>
      <c r="H932">
        <v>3</v>
      </c>
      <c r="I932">
        <v>1</v>
      </c>
    </row>
    <row r="933" spans="1:9" x14ac:dyDescent="0.35">
      <c r="A933" t="str">
        <f t="shared" si="14"/>
        <v>DAco2_emissionS1202831</v>
      </c>
      <c r="C933" t="s">
        <v>99</v>
      </c>
      <c r="D933" t="s">
        <v>204</v>
      </c>
      <c r="E933" t="s">
        <v>110</v>
      </c>
      <c r="F933">
        <v>473.5783520836481</v>
      </c>
      <c r="G933">
        <v>2028</v>
      </c>
      <c r="H933">
        <v>3</v>
      </c>
      <c r="I933">
        <v>1</v>
      </c>
    </row>
    <row r="934" spans="1:9" x14ac:dyDescent="0.35">
      <c r="A934" t="str">
        <f t="shared" si="14"/>
        <v>fcrincomeS1202831</v>
      </c>
      <c r="C934" t="s">
        <v>102</v>
      </c>
      <c r="D934" t="s">
        <v>101</v>
      </c>
      <c r="E934" t="s">
        <v>110</v>
      </c>
      <c r="F934">
        <v>0</v>
      </c>
      <c r="G934">
        <v>2028</v>
      </c>
      <c r="H934">
        <v>3</v>
      </c>
      <c r="I934">
        <v>1</v>
      </c>
    </row>
    <row r="935" spans="1:9" x14ac:dyDescent="0.35">
      <c r="A935" t="str">
        <f t="shared" si="14"/>
        <v>fcractivation_hoursS1202831</v>
      </c>
      <c r="C935" t="s">
        <v>102</v>
      </c>
      <c r="D935" t="s">
        <v>115</v>
      </c>
      <c r="E935" t="s">
        <v>110</v>
      </c>
      <c r="F935">
        <v>0</v>
      </c>
      <c r="G935">
        <v>2028</v>
      </c>
      <c r="H935">
        <v>3</v>
      </c>
      <c r="I935">
        <v>1</v>
      </c>
    </row>
    <row r="936" spans="1:9" x14ac:dyDescent="0.35">
      <c r="A936" t="str">
        <f t="shared" si="14"/>
        <v>afrrincomeS1202831</v>
      </c>
      <c r="C936" t="s">
        <v>103</v>
      </c>
      <c r="D936" t="s">
        <v>101</v>
      </c>
      <c r="E936" t="s">
        <v>110</v>
      </c>
      <c r="F936">
        <v>122596.88843361889</v>
      </c>
      <c r="G936">
        <v>2028</v>
      </c>
      <c r="H936">
        <v>3</v>
      </c>
      <c r="I936">
        <v>1</v>
      </c>
    </row>
    <row r="937" spans="1:9" x14ac:dyDescent="0.35">
      <c r="A937" t="str">
        <f t="shared" si="14"/>
        <v>afrractivation_hoursS1202831</v>
      </c>
      <c r="C937" t="s">
        <v>103</v>
      </c>
      <c r="D937" t="s">
        <v>115</v>
      </c>
      <c r="E937" t="s">
        <v>110</v>
      </c>
      <c r="F937">
        <v>8760</v>
      </c>
      <c r="G937">
        <v>2028</v>
      </c>
      <c r="H937">
        <v>3</v>
      </c>
      <c r="I937">
        <v>1</v>
      </c>
    </row>
    <row r="938" spans="1:9" x14ac:dyDescent="0.35">
      <c r="A938" t="str">
        <f t="shared" si="14"/>
        <v>networkturpe_power_costS1202931</v>
      </c>
      <c r="B938" t="s">
        <v>95</v>
      </c>
      <c r="C938" t="s">
        <v>96</v>
      </c>
      <c r="D938" t="s">
        <v>97</v>
      </c>
      <c r="E938" t="s">
        <v>110</v>
      </c>
      <c r="F938">
        <v>3627.3955498399719</v>
      </c>
      <c r="G938">
        <v>2029</v>
      </c>
      <c r="H938">
        <v>3</v>
      </c>
      <c r="I938">
        <v>1</v>
      </c>
    </row>
    <row r="939" spans="1:9" x14ac:dyDescent="0.35">
      <c r="A939" t="str">
        <f t="shared" si="14"/>
        <v>networkturpe_energy_costS1202931</v>
      </c>
      <c r="B939" t="s">
        <v>95</v>
      </c>
      <c r="C939" t="s">
        <v>96</v>
      </c>
      <c r="D939" t="s">
        <v>98</v>
      </c>
      <c r="E939" t="s">
        <v>110</v>
      </c>
      <c r="F939">
        <v>137.99631586267009</v>
      </c>
      <c r="G939">
        <v>2029</v>
      </c>
      <c r="H939">
        <v>3</v>
      </c>
      <c r="I939">
        <v>1</v>
      </c>
    </row>
    <row r="940" spans="1:9" x14ac:dyDescent="0.35">
      <c r="A940" t="str">
        <f t="shared" si="14"/>
        <v>DAcostS1202931</v>
      </c>
      <c r="C940" t="s">
        <v>99</v>
      </c>
      <c r="D940" t="s">
        <v>100</v>
      </c>
      <c r="E940" t="s">
        <v>110</v>
      </c>
      <c r="F940">
        <v>680.99148868488533</v>
      </c>
      <c r="G940">
        <v>2029</v>
      </c>
      <c r="H940">
        <v>3</v>
      </c>
      <c r="I940">
        <v>1</v>
      </c>
    </row>
    <row r="941" spans="1:9" x14ac:dyDescent="0.35">
      <c r="A941" t="str">
        <f t="shared" si="14"/>
        <v>DAincomeS1202931</v>
      </c>
      <c r="C941" t="s">
        <v>99</v>
      </c>
      <c r="D941" t="s">
        <v>101</v>
      </c>
      <c r="E941" t="s">
        <v>110</v>
      </c>
      <c r="F941">
        <v>140.9566130609042</v>
      </c>
      <c r="G941">
        <v>2029</v>
      </c>
      <c r="H941">
        <v>3</v>
      </c>
      <c r="I941">
        <v>1</v>
      </c>
    </row>
    <row r="942" spans="1:9" x14ac:dyDescent="0.35">
      <c r="A942" t="str">
        <f t="shared" si="14"/>
        <v>DAenergy_boughtS1202931</v>
      </c>
      <c r="C942" t="s">
        <v>99</v>
      </c>
      <c r="D942" t="s">
        <v>111</v>
      </c>
      <c r="E942" t="s">
        <v>110</v>
      </c>
      <c r="F942">
        <v>7.9523189880184626</v>
      </c>
      <c r="G942">
        <v>2029</v>
      </c>
      <c r="H942">
        <v>3</v>
      </c>
      <c r="I942">
        <v>1</v>
      </c>
    </row>
    <row r="943" spans="1:9" x14ac:dyDescent="0.35">
      <c r="A943" t="str">
        <f t="shared" si="14"/>
        <v>DAenergy_soldS1202931</v>
      </c>
      <c r="C943" t="s">
        <v>99</v>
      </c>
      <c r="D943" t="s">
        <v>112</v>
      </c>
      <c r="E943" t="s">
        <v>110</v>
      </c>
      <c r="F943">
        <v>1.0995913336524239</v>
      </c>
      <c r="G943">
        <v>2029</v>
      </c>
      <c r="H943">
        <v>3</v>
      </c>
      <c r="I943">
        <v>1</v>
      </c>
    </row>
    <row r="944" spans="1:9" x14ac:dyDescent="0.35">
      <c r="A944" t="str">
        <f t="shared" si="14"/>
        <v>DAhours_boughtS1202931</v>
      </c>
      <c r="C944" t="s">
        <v>99</v>
      </c>
      <c r="D944" t="s">
        <v>113</v>
      </c>
      <c r="E944" t="s">
        <v>110</v>
      </c>
      <c r="F944">
        <v>6475</v>
      </c>
      <c r="G944">
        <v>2029</v>
      </c>
      <c r="H944">
        <v>3</v>
      </c>
      <c r="I944">
        <v>1</v>
      </c>
    </row>
    <row r="945" spans="1:9" x14ac:dyDescent="0.35">
      <c r="A945" t="str">
        <f t="shared" si="14"/>
        <v>DAhours_soldS1202931</v>
      </c>
      <c r="C945" t="s">
        <v>99</v>
      </c>
      <c r="D945" t="s">
        <v>114</v>
      </c>
      <c r="E945" t="s">
        <v>110</v>
      </c>
      <c r="F945">
        <v>1</v>
      </c>
      <c r="G945">
        <v>2029</v>
      </c>
      <c r="H945">
        <v>3</v>
      </c>
      <c r="I945">
        <v>1</v>
      </c>
    </row>
    <row r="946" spans="1:9" x14ac:dyDescent="0.35">
      <c r="A946" t="str">
        <f t="shared" si="14"/>
        <v>DAco2_emissionS1202931</v>
      </c>
      <c r="C946" t="s">
        <v>99</v>
      </c>
      <c r="D946" t="s">
        <v>204</v>
      </c>
      <c r="E946" t="s">
        <v>110</v>
      </c>
      <c r="F946">
        <v>556.66232916133129</v>
      </c>
      <c r="G946">
        <v>2029</v>
      </c>
      <c r="H946">
        <v>3</v>
      </c>
      <c r="I946">
        <v>1</v>
      </c>
    </row>
    <row r="947" spans="1:9" x14ac:dyDescent="0.35">
      <c r="A947" t="str">
        <f t="shared" si="14"/>
        <v>fcrincomeS1202931</v>
      </c>
      <c r="C947" t="s">
        <v>102</v>
      </c>
      <c r="D947" t="s">
        <v>101</v>
      </c>
      <c r="E947" t="s">
        <v>110</v>
      </c>
      <c r="F947">
        <v>0</v>
      </c>
      <c r="G947">
        <v>2029</v>
      </c>
      <c r="H947">
        <v>3</v>
      </c>
      <c r="I947">
        <v>1</v>
      </c>
    </row>
    <row r="948" spans="1:9" x14ac:dyDescent="0.35">
      <c r="A948" t="str">
        <f t="shared" si="14"/>
        <v>fcractivation_hoursS1202931</v>
      </c>
      <c r="C948" t="s">
        <v>102</v>
      </c>
      <c r="D948" t="s">
        <v>115</v>
      </c>
      <c r="E948" t="s">
        <v>110</v>
      </c>
      <c r="F948">
        <v>0</v>
      </c>
      <c r="G948">
        <v>2029</v>
      </c>
      <c r="H948">
        <v>3</v>
      </c>
      <c r="I948">
        <v>1</v>
      </c>
    </row>
    <row r="949" spans="1:9" x14ac:dyDescent="0.35">
      <c r="A949" t="str">
        <f t="shared" si="14"/>
        <v>afrrincomeS1202931</v>
      </c>
      <c r="C949" t="s">
        <v>103</v>
      </c>
      <c r="D949" t="s">
        <v>101</v>
      </c>
      <c r="E949" t="s">
        <v>110</v>
      </c>
      <c r="F949">
        <v>126446.8718508407</v>
      </c>
      <c r="G949">
        <v>2029</v>
      </c>
      <c r="H949">
        <v>3</v>
      </c>
      <c r="I949">
        <v>1</v>
      </c>
    </row>
    <row r="950" spans="1:9" x14ac:dyDescent="0.35">
      <c r="A950" t="str">
        <f t="shared" si="14"/>
        <v>afrractivation_hoursS1202931</v>
      </c>
      <c r="B950" t="s">
        <v>95</v>
      </c>
      <c r="C950" t="s">
        <v>103</v>
      </c>
      <c r="D950" t="s">
        <v>115</v>
      </c>
      <c r="E950" t="s">
        <v>110</v>
      </c>
      <c r="F950">
        <v>8758</v>
      </c>
      <c r="G950">
        <v>2029</v>
      </c>
      <c r="H950">
        <v>3</v>
      </c>
      <c r="I950">
        <v>1</v>
      </c>
    </row>
    <row r="951" spans="1:9" x14ac:dyDescent="0.35">
      <c r="A951" t="str">
        <f t="shared" si="14"/>
        <v>networkturpe_power_costS1203031</v>
      </c>
      <c r="B951" t="s">
        <v>95</v>
      </c>
      <c r="C951" t="s">
        <v>96</v>
      </c>
      <c r="D951" t="s">
        <v>97</v>
      </c>
      <c r="E951" t="s">
        <v>110</v>
      </c>
      <c r="F951">
        <v>3540.930471389016</v>
      </c>
      <c r="G951">
        <v>2030</v>
      </c>
      <c r="H951">
        <v>3</v>
      </c>
      <c r="I951">
        <v>1</v>
      </c>
    </row>
    <row r="952" spans="1:9" x14ac:dyDescent="0.35">
      <c r="A952" t="str">
        <f t="shared" si="14"/>
        <v>networkturpe_energy_costS1203031</v>
      </c>
      <c r="C952" t="s">
        <v>96</v>
      </c>
      <c r="D952" t="s">
        <v>98</v>
      </c>
      <c r="E952" t="s">
        <v>110</v>
      </c>
      <c r="F952">
        <v>414.08554950887668</v>
      </c>
      <c r="G952">
        <v>2030</v>
      </c>
      <c r="H952">
        <v>3</v>
      </c>
      <c r="I952">
        <v>1</v>
      </c>
    </row>
    <row r="953" spans="1:9" x14ac:dyDescent="0.35">
      <c r="A953" t="str">
        <f t="shared" si="14"/>
        <v>DAcostS1203031</v>
      </c>
      <c r="C953" t="s">
        <v>99</v>
      </c>
      <c r="D953" t="s">
        <v>100</v>
      </c>
      <c r="E953" t="s">
        <v>110</v>
      </c>
      <c r="F953">
        <v>1633.9607498404621</v>
      </c>
      <c r="G953">
        <v>2030</v>
      </c>
      <c r="H953">
        <v>3</v>
      </c>
      <c r="I953">
        <v>1</v>
      </c>
    </row>
    <row r="954" spans="1:9" x14ac:dyDescent="0.35">
      <c r="A954" t="str">
        <f t="shared" si="14"/>
        <v>DAincomeS1203031</v>
      </c>
      <c r="C954" t="s">
        <v>99</v>
      </c>
      <c r="D954" t="s">
        <v>101</v>
      </c>
      <c r="E954" t="s">
        <v>110</v>
      </c>
      <c r="F954">
        <v>2197.4149729203018</v>
      </c>
      <c r="G954">
        <v>2030</v>
      </c>
      <c r="H954">
        <v>3</v>
      </c>
      <c r="I954">
        <v>1</v>
      </c>
    </row>
    <row r="955" spans="1:9" x14ac:dyDescent="0.35">
      <c r="A955" t="str">
        <f t="shared" si="14"/>
        <v>DAenergy_boughtS1203031</v>
      </c>
      <c r="C955" t="s">
        <v>99</v>
      </c>
      <c r="D955" t="s">
        <v>111</v>
      </c>
      <c r="E955" t="s">
        <v>110</v>
      </c>
      <c r="F955">
        <v>28.758139206116589</v>
      </c>
      <c r="G955">
        <v>2030</v>
      </c>
      <c r="H955">
        <v>3</v>
      </c>
      <c r="I955">
        <v>1</v>
      </c>
    </row>
    <row r="956" spans="1:9" x14ac:dyDescent="0.35">
      <c r="A956" t="str">
        <f t="shared" si="14"/>
        <v>DAenergy_soldS1203031</v>
      </c>
      <c r="C956" t="s">
        <v>99</v>
      </c>
      <c r="D956" t="s">
        <v>112</v>
      </c>
      <c r="E956" t="s">
        <v>110</v>
      </c>
      <c r="F956">
        <v>18.08719550470914</v>
      </c>
      <c r="G956">
        <v>2030</v>
      </c>
      <c r="H956">
        <v>3</v>
      </c>
      <c r="I956">
        <v>1</v>
      </c>
    </row>
    <row r="957" spans="1:9" x14ac:dyDescent="0.35">
      <c r="A957" t="str">
        <f t="shared" si="14"/>
        <v>DAhours_boughtS1203031</v>
      </c>
      <c r="C957" t="s">
        <v>99</v>
      </c>
      <c r="D957" t="s">
        <v>113</v>
      </c>
      <c r="E957" t="s">
        <v>110</v>
      </c>
      <c r="F957">
        <v>4367</v>
      </c>
      <c r="G957">
        <v>2030</v>
      </c>
      <c r="H957">
        <v>3</v>
      </c>
      <c r="I957">
        <v>1</v>
      </c>
    </row>
    <row r="958" spans="1:9" x14ac:dyDescent="0.35">
      <c r="A958" t="str">
        <f t="shared" si="14"/>
        <v>DAhours_soldS1203031</v>
      </c>
      <c r="C958" t="s">
        <v>99</v>
      </c>
      <c r="D958" t="s">
        <v>114</v>
      </c>
      <c r="E958" t="s">
        <v>110</v>
      </c>
      <c r="F958">
        <v>38</v>
      </c>
      <c r="G958">
        <v>2030</v>
      </c>
      <c r="H958">
        <v>3</v>
      </c>
      <c r="I958">
        <v>1</v>
      </c>
    </row>
    <row r="959" spans="1:9" x14ac:dyDescent="0.35">
      <c r="A959" t="str">
        <f t="shared" si="14"/>
        <v>DAco2_emissionS1203031</v>
      </c>
      <c r="C959" t="s">
        <v>99</v>
      </c>
      <c r="D959" t="s">
        <v>204</v>
      </c>
      <c r="E959" t="s">
        <v>110</v>
      </c>
      <c r="F959">
        <v>2013.0697444281559</v>
      </c>
      <c r="G959">
        <v>2030</v>
      </c>
      <c r="H959">
        <v>3</v>
      </c>
      <c r="I959">
        <v>1</v>
      </c>
    </row>
    <row r="960" spans="1:9" x14ac:dyDescent="0.35">
      <c r="A960" t="str">
        <f t="shared" si="14"/>
        <v>fcrincomeS1203031</v>
      </c>
      <c r="C960" t="s">
        <v>102</v>
      </c>
      <c r="D960" t="s">
        <v>101</v>
      </c>
      <c r="E960" t="s">
        <v>110</v>
      </c>
      <c r="F960">
        <v>2.4840031406104929E-2</v>
      </c>
      <c r="G960">
        <v>2030</v>
      </c>
      <c r="H960">
        <v>3</v>
      </c>
      <c r="I960">
        <v>1</v>
      </c>
    </row>
    <row r="961" spans="1:9" x14ac:dyDescent="0.35">
      <c r="A961" t="str">
        <f t="shared" si="14"/>
        <v>fcractivation_hoursS1203031</v>
      </c>
      <c r="C961" t="s">
        <v>102</v>
      </c>
      <c r="D961" t="s">
        <v>115</v>
      </c>
      <c r="E961" t="s">
        <v>110</v>
      </c>
      <c r="F961">
        <v>4</v>
      </c>
      <c r="G961">
        <v>2030</v>
      </c>
      <c r="H961">
        <v>3</v>
      </c>
      <c r="I961">
        <v>1</v>
      </c>
    </row>
    <row r="962" spans="1:9" x14ac:dyDescent="0.35">
      <c r="A962" t="str">
        <f t="shared" si="14"/>
        <v>afrrincomeS1203031</v>
      </c>
      <c r="B962" t="s">
        <v>95</v>
      </c>
      <c r="C962" t="s">
        <v>103</v>
      </c>
      <c r="D962" t="s">
        <v>101</v>
      </c>
      <c r="E962" t="s">
        <v>110</v>
      </c>
      <c r="F962">
        <v>74871.784915181066</v>
      </c>
      <c r="G962">
        <v>2030</v>
      </c>
      <c r="H962">
        <v>3</v>
      </c>
      <c r="I962">
        <v>1</v>
      </c>
    </row>
    <row r="963" spans="1:9" x14ac:dyDescent="0.35">
      <c r="A963" t="str">
        <f t="shared" ref="A963:A1026" si="15">C963&amp;D963&amp;E963&amp;G963&amp;H963&amp;I963</f>
        <v>afrractivation_hoursS1203031</v>
      </c>
      <c r="B963" t="s">
        <v>95</v>
      </c>
      <c r="C963" t="s">
        <v>103</v>
      </c>
      <c r="D963" t="s">
        <v>115</v>
      </c>
      <c r="E963" t="s">
        <v>110</v>
      </c>
      <c r="F963">
        <v>8723</v>
      </c>
      <c r="G963">
        <v>2030</v>
      </c>
      <c r="H963">
        <v>3</v>
      </c>
      <c r="I963">
        <v>1</v>
      </c>
    </row>
    <row r="964" spans="1:9" x14ac:dyDescent="0.35">
      <c r="A964" t="str">
        <f t="shared" si="15"/>
        <v>networkturpe_power_costS1203131</v>
      </c>
      <c r="C964" t="s">
        <v>96</v>
      </c>
      <c r="D964" t="s">
        <v>97</v>
      </c>
      <c r="E964" t="s">
        <v>110</v>
      </c>
      <c r="F964">
        <v>3452.373224963193</v>
      </c>
      <c r="G964">
        <v>2031</v>
      </c>
      <c r="H964">
        <v>3</v>
      </c>
      <c r="I964">
        <v>1</v>
      </c>
    </row>
    <row r="965" spans="1:9" x14ac:dyDescent="0.35">
      <c r="A965" t="str">
        <f t="shared" si="15"/>
        <v>networkturpe_energy_costS1203131</v>
      </c>
      <c r="C965" t="s">
        <v>96</v>
      </c>
      <c r="D965" t="s">
        <v>98</v>
      </c>
      <c r="E965" t="s">
        <v>110</v>
      </c>
      <c r="F965">
        <v>596.72563611479268</v>
      </c>
      <c r="G965">
        <v>2031</v>
      </c>
      <c r="H965">
        <v>3</v>
      </c>
      <c r="I965">
        <v>1</v>
      </c>
    </row>
    <row r="966" spans="1:9" x14ac:dyDescent="0.35">
      <c r="A966" t="str">
        <f t="shared" si="15"/>
        <v>DAcostS1203131</v>
      </c>
      <c r="C966" t="s">
        <v>99</v>
      </c>
      <c r="D966" t="s">
        <v>100</v>
      </c>
      <c r="E966" t="s">
        <v>110</v>
      </c>
      <c r="F966">
        <v>1792.174005250861</v>
      </c>
      <c r="G966">
        <v>2031</v>
      </c>
      <c r="H966">
        <v>3</v>
      </c>
      <c r="I966">
        <v>1</v>
      </c>
    </row>
    <row r="967" spans="1:9" x14ac:dyDescent="0.35">
      <c r="A967" t="str">
        <f t="shared" si="15"/>
        <v>DAincomeS1203131</v>
      </c>
      <c r="C967" t="s">
        <v>99</v>
      </c>
      <c r="D967" t="s">
        <v>101</v>
      </c>
      <c r="E967" t="s">
        <v>110</v>
      </c>
      <c r="F967">
        <v>3148.4301712640781</v>
      </c>
      <c r="G967">
        <v>2031</v>
      </c>
      <c r="H967">
        <v>3</v>
      </c>
      <c r="I967">
        <v>1</v>
      </c>
    </row>
    <row r="968" spans="1:9" x14ac:dyDescent="0.35">
      <c r="A968" t="str">
        <f t="shared" si="15"/>
        <v>DAenergy_boughtS1203131</v>
      </c>
      <c r="C968" t="s">
        <v>99</v>
      </c>
      <c r="D968" t="s">
        <v>111</v>
      </c>
      <c r="E968" t="s">
        <v>110</v>
      </c>
      <c r="F968">
        <v>41.80130681934935</v>
      </c>
      <c r="G968">
        <v>2031</v>
      </c>
      <c r="H968">
        <v>3</v>
      </c>
      <c r="I968">
        <v>1</v>
      </c>
    </row>
    <row r="969" spans="1:9" x14ac:dyDescent="0.35">
      <c r="A969" t="str">
        <f t="shared" si="15"/>
        <v>DAenergy_soldS1203131</v>
      </c>
      <c r="C969" t="s">
        <v>99</v>
      </c>
      <c r="D969" t="s">
        <v>112</v>
      </c>
      <c r="E969" t="s">
        <v>110</v>
      </c>
      <c r="F969">
        <v>28.789814243689079</v>
      </c>
      <c r="G969">
        <v>2031</v>
      </c>
      <c r="H969">
        <v>3</v>
      </c>
      <c r="I969">
        <v>1</v>
      </c>
    </row>
    <row r="970" spans="1:9" x14ac:dyDescent="0.35">
      <c r="A970" t="str">
        <f t="shared" si="15"/>
        <v>DAhours_boughtS1203131</v>
      </c>
      <c r="C970" t="s">
        <v>99</v>
      </c>
      <c r="D970" t="s">
        <v>113</v>
      </c>
      <c r="E970" t="s">
        <v>110</v>
      </c>
      <c r="F970">
        <v>4485</v>
      </c>
      <c r="G970">
        <v>2031</v>
      </c>
      <c r="H970">
        <v>3</v>
      </c>
      <c r="I970">
        <v>1</v>
      </c>
    </row>
    <row r="971" spans="1:9" x14ac:dyDescent="0.35">
      <c r="A971" t="str">
        <f t="shared" si="15"/>
        <v>DAhours_soldS1203131</v>
      </c>
      <c r="C971" t="s">
        <v>99</v>
      </c>
      <c r="D971" t="s">
        <v>114</v>
      </c>
      <c r="E971" t="s">
        <v>110</v>
      </c>
      <c r="F971">
        <v>69</v>
      </c>
      <c r="G971">
        <v>2031</v>
      </c>
      <c r="H971">
        <v>3</v>
      </c>
      <c r="I971">
        <v>1</v>
      </c>
    </row>
    <row r="972" spans="1:9" x14ac:dyDescent="0.35">
      <c r="A972" t="str">
        <f t="shared" si="15"/>
        <v>DAco2_emissionS1203131</v>
      </c>
      <c r="C972" t="s">
        <v>99</v>
      </c>
      <c r="D972" t="s">
        <v>204</v>
      </c>
      <c r="E972" t="s">
        <v>110</v>
      </c>
      <c r="F972">
        <v>2926.091477354521</v>
      </c>
      <c r="G972">
        <v>2031</v>
      </c>
      <c r="H972">
        <v>3</v>
      </c>
      <c r="I972">
        <v>1</v>
      </c>
    </row>
    <row r="973" spans="1:9" x14ac:dyDescent="0.35">
      <c r="A973" t="str">
        <f t="shared" si="15"/>
        <v>fcrincomeS1203131</v>
      </c>
      <c r="C973" t="s">
        <v>102</v>
      </c>
      <c r="D973" t="s">
        <v>101</v>
      </c>
      <c r="E973" t="s">
        <v>110</v>
      </c>
      <c r="F973">
        <v>9.8732007774484602E-3</v>
      </c>
      <c r="G973">
        <v>2031</v>
      </c>
      <c r="H973">
        <v>3</v>
      </c>
      <c r="I973">
        <v>1</v>
      </c>
    </row>
    <row r="974" spans="1:9" x14ac:dyDescent="0.35">
      <c r="A974" t="str">
        <f t="shared" si="15"/>
        <v>fcractivation_hoursS1203131</v>
      </c>
      <c r="B974" t="s">
        <v>95</v>
      </c>
      <c r="C974" t="s">
        <v>102</v>
      </c>
      <c r="D974" t="s">
        <v>115</v>
      </c>
      <c r="E974" t="s">
        <v>110</v>
      </c>
      <c r="F974">
        <v>4</v>
      </c>
      <c r="G974">
        <v>2031</v>
      </c>
      <c r="H974">
        <v>3</v>
      </c>
      <c r="I974">
        <v>1</v>
      </c>
    </row>
    <row r="975" spans="1:9" x14ac:dyDescent="0.35">
      <c r="A975" t="str">
        <f t="shared" si="15"/>
        <v>afrrincomeS1203131</v>
      </c>
      <c r="B975" t="s">
        <v>95</v>
      </c>
      <c r="C975" t="s">
        <v>103</v>
      </c>
      <c r="D975" t="s">
        <v>101</v>
      </c>
      <c r="E975" t="s">
        <v>110</v>
      </c>
      <c r="F975">
        <v>73153.813922423651</v>
      </c>
      <c r="G975">
        <v>2031</v>
      </c>
      <c r="H975">
        <v>3</v>
      </c>
      <c r="I975">
        <v>1</v>
      </c>
    </row>
    <row r="976" spans="1:9" x14ac:dyDescent="0.35">
      <c r="A976" t="str">
        <f t="shared" si="15"/>
        <v>afrractivation_hoursS1203131</v>
      </c>
      <c r="C976" t="s">
        <v>103</v>
      </c>
      <c r="D976" t="s">
        <v>115</v>
      </c>
      <c r="E976" t="s">
        <v>110</v>
      </c>
      <c r="F976">
        <v>8701</v>
      </c>
      <c r="G976">
        <v>2031</v>
      </c>
      <c r="H976">
        <v>3</v>
      </c>
      <c r="I976">
        <v>1</v>
      </c>
    </row>
    <row r="977" spans="1:9" x14ac:dyDescent="0.35">
      <c r="A977" t="str">
        <f t="shared" si="15"/>
        <v>networkturpe_power_costS1203231</v>
      </c>
      <c r="C977" t="s">
        <v>96</v>
      </c>
      <c r="D977" t="s">
        <v>97</v>
      </c>
      <c r="E977" t="s">
        <v>110</v>
      </c>
      <c r="F977">
        <v>3370.6158336076392</v>
      </c>
      <c r="G977">
        <v>2032</v>
      </c>
      <c r="H977">
        <v>3</v>
      </c>
      <c r="I977">
        <v>1</v>
      </c>
    </row>
    <row r="978" spans="1:9" x14ac:dyDescent="0.35">
      <c r="A978" t="str">
        <f t="shared" si="15"/>
        <v>networkturpe_energy_costS1203231</v>
      </c>
      <c r="C978" t="s">
        <v>96</v>
      </c>
      <c r="D978" t="s">
        <v>98</v>
      </c>
      <c r="E978" t="s">
        <v>110</v>
      </c>
      <c r="F978">
        <v>915.84781128604993</v>
      </c>
      <c r="G978">
        <v>2032</v>
      </c>
      <c r="H978">
        <v>3</v>
      </c>
      <c r="I978">
        <v>1</v>
      </c>
    </row>
    <row r="979" spans="1:9" x14ac:dyDescent="0.35">
      <c r="A979" t="str">
        <f t="shared" si="15"/>
        <v>DAcostS1203231</v>
      </c>
      <c r="C979" t="s">
        <v>99</v>
      </c>
      <c r="D979" t="s">
        <v>100</v>
      </c>
      <c r="E979" t="s">
        <v>110</v>
      </c>
      <c r="F979">
        <v>3116.5549362558322</v>
      </c>
      <c r="G979">
        <v>2032</v>
      </c>
      <c r="H979">
        <v>3</v>
      </c>
      <c r="I979">
        <v>1</v>
      </c>
    </row>
    <row r="980" spans="1:9" x14ac:dyDescent="0.35">
      <c r="A980" t="str">
        <f t="shared" si="15"/>
        <v>DAincomeS1203231</v>
      </c>
      <c r="C980" t="s">
        <v>99</v>
      </c>
      <c r="D980" t="s">
        <v>101</v>
      </c>
      <c r="E980" t="s">
        <v>110</v>
      </c>
      <c r="F980">
        <v>5816.3646184364688</v>
      </c>
      <c r="G980">
        <v>2032</v>
      </c>
      <c r="H980">
        <v>3</v>
      </c>
      <c r="I980">
        <v>1</v>
      </c>
    </row>
    <row r="981" spans="1:9" x14ac:dyDescent="0.35">
      <c r="A981" t="str">
        <f t="shared" si="15"/>
        <v>DAenergy_boughtS1203231</v>
      </c>
      <c r="C981" t="s">
        <v>99</v>
      </c>
      <c r="D981" t="s">
        <v>111</v>
      </c>
      <c r="E981" t="s">
        <v>110</v>
      </c>
      <c r="F981">
        <v>71.022295083093994</v>
      </c>
      <c r="G981">
        <v>2032</v>
      </c>
      <c r="H981">
        <v>3</v>
      </c>
      <c r="I981">
        <v>1</v>
      </c>
    </row>
    <row r="982" spans="1:9" x14ac:dyDescent="0.35">
      <c r="A982" t="str">
        <f t="shared" si="15"/>
        <v>DAenergy_soldS1203231</v>
      </c>
      <c r="C982" t="s">
        <v>99</v>
      </c>
      <c r="D982" t="s">
        <v>112</v>
      </c>
      <c r="E982" t="s">
        <v>110</v>
      </c>
      <c r="F982">
        <v>52.602494891208252</v>
      </c>
      <c r="G982">
        <v>2032</v>
      </c>
      <c r="H982">
        <v>3</v>
      </c>
      <c r="I982">
        <v>1</v>
      </c>
    </row>
    <row r="983" spans="1:9" x14ac:dyDescent="0.35">
      <c r="A983" t="str">
        <f t="shared" si="15"/>
        <v>DAhours_boughtS1203231</v>
      </c>
      <c r="C983" t="s">
        <v>99</v>
      </c>
      <c r="D983" t="s">
        <v>113</v>
      </c>
      <c r="E983" t="s">
        <v>110</v>
      </c>
      <c r="F983">
        <v>4298</v>
      </c>
      <c r="G983">
        <v>2032</v>
      </c>
      <c r="H983">
        <v>3</v>
      </c>
      <c r="I983">
        <v>1</v>
      </c>
    </row>
    <row r="984" spans="1:9" x14ac:dyDescent="0.35">
      <c r="A984" t="str">
        <f t="shared" si="15"/>
        <v>DAhours_soldS1203231</v>
      </c>
      <c r="C984" t="s">
        <v>99</v>
      </c>
      <c r="D984" t="s">
        <v>114</v>
      </c>
      <c r="E984" t="s">
        <v>110</v>
      </c>
      <c r="F984">
        <v>95</v>
      </c>
      <c r="G984">
        <v>2032</v>
      </c>
      <c r="H984">
        <v>3</v>
      </c>
      <c r="I984">
        <v>1</v>
      </c>
    </row>
    <row r="985" spans="1:9" x14ac:dyDescent="0.35">
      <c r="A985" t="str">
        <f t="shared" si="15"/>
        <v>DAco2_emissionS1203231</v>
      </c>
      <c r="C985" t="s">
        <v>99</v>
      </c>
      <c r="D985" t="s">
        <v>204</v>
      </c>
      <c r="E985" t="s">
        <v>110</v>
      </c>
      <c r="F985">
        <v>4971.5606558166864</v>
      </c>
      <c r="G985">
        <v>2032</v>
      </c>
      <c r="H985">
        <v>3</v>
      </c>
      <c r="I985">
        <v>1</v>
      </c>
    </row>
    <row r="986" spans="1:9" x14ac:dyDescent="0.35">
      <c r="A986" t="str">
        <f t="shared" si="15"/>
        <v>fcrincomeS1203231</v>
      </c>
      <c r="B986" t="s">
        <v>95</v>
      </c>
      <c r="C986" t="s">
        <v>102</v>
      </c>
      <c r="D986" t="s">
        <v>101</v>
      </c>
      <c r="E986" t="s">
        <v>110</v>
      </c>
      <c r="F986">
        <v>9.9118774653914415E-2</v>
      </c>
      <c r="G986">
        <v>2032</v>
      </c>
      <c r="H986">
        <v>3</v>
      </c>
      <c r="I986">
        <v>1</v>
      </c>
    </row>
    <row r="987" spans="1:9" x14ac:dyDescent="0.35">
      <c r="A987" t="str">
        <f t="shared" si="15"/>
        <v>fcractivation_hoursS1203231</v>
      </c>
      <c r="B987" t="s">
        <v>95</v>
      </c>
      <c r="C987" t="s">
        <v>102</v>
      </c>
      <c r="D987" t="s">
        <v>115</v>
      </c>
      <c r="E987" t="s">
        <v>110</v>
      </c>
      <c r="F987">
        <v>20</v>
      </c>
      <c r="G987">
        <v>2032</v>
      </c>
      <c r="H987">
        <v>3</v>
      </c>
      <c r="I987">
        <v>1</v>
      </c>
    </row>
    <row r="988" spans="1:9" x14ac:dyDescent="0.35">
      <c r="A988" t="str">
        <f t="shared" si="15"/>
        <v>afrrincomeS1203231</v>
      </c>
      <c r="C988" t="s">
        <v>103</v>
      </c>
      <c r="D988" t="s">
        <v>101</v>
      </c>
      <c r="E988" t="s">
        <v>110</v>
      </c>
      <c r="F988">
        <v>70247.406734700824</v>
      </c>
      <c r="G988">
        <v>2032</v>
      </c>
      <c r="H988">
        <v>3</v>
      </c>
      <c r="I988">
        <v>1</v>
      </c>
    </row>
    <row r="989" spans="1:9" x14ac:dyDescent="0.35">
      <c r="A989" t="str">
        <f t="shared" si="15"/>
        <v>afrractivation_hoursS1203231</v>
      </c>
      <c r="C989" t="s">
        <v>103</v>
      </c>
      <c r="D989" t="s">
        <v>115</v>
      </c>
      <c r="E989" t="s">
        <v>110</v>
      </c>
      <c r="F989">
        <v>8625</v>
      </c>
      <c r="G989">
        <v>2032</v>
      </c>
      <c r="H989">
        <v>3</v>
      </c>
      <c r="I989">
        <v>1</v>
      </c>
    </row>
    <row r="990" spans="1:9" x14ac:dyDescent="0.35">
      <c r="A990" t="str">
        <f t="shared" si="15"/>
        <v>networkturpe_power_costS1203331</v>
      </c>
      <c r="C990" t="s">
        <v>96</v>
      </c>
      <c r="D990" t="s">
        <v>97</v>
      </c>
      <c r="E990" t="s">
        <v>110</v>
      </c>
      <c r="F990">
        <v>3283.2356521683769</v>
      </c>
      <c r="G990">
        <v>2033</v>
      </c>
      <c r="H990">
        <v>3</v>
      </c>
      <c r="I990">
        <v>1</v>
      </c>
    </row>
    <row r="991" spans="1:9" x14ac:dyDescent="0.35">
      <c r="A991" t="str">
        <f t="shared" si="15"/>
        <v>networkturpe_energy_costS1203331</v>
      </c>
      <c r="C991" t="s">
        <v>96</v>
      </c>
      <c r="D991" t="s">
        <v>98</v>
      </c>
      <c r="E991" t="s">
        <v>110</v>
      </c>
      <c r="F991">
        <v>646.65858622705696</v>
      </c>
      <c r="G991">
        <v>2033</v>
      </c>
      <c r="H991">
        <v>3</v>
      </c>
      <c r="I991">
        <v>1</v>
      </c>
    </row>
    <row r="992" spans="1:9" x14ac:dyDescent="0.35">
      <c r="A992" t="str">
        <f t="shared" si="15"/>
        <v>DAcostS1203331</v>
      </c>
      <c r="C992" t="s">
        <v>99</v>
      </c>
      <c r="D992" t="s">
        <v>100</v>
      </c>
      <c r="E992" t="s">
        <v>110</v>
      </c>
      <c r="F992">
        <v>2189.443382350817</v>
      </c>
      <c r="G992">
        <v>2033</v>
      </c>
      <c r="H992">
        <v>3</v>
      </c>
      <c r="I992">
        <v>1</v>
      </c>
    </row>
    <row r="993" spans="1:9" x14ac:dyDescent="0.35">
      <c r="A993" t="str">
        <f t="shared" si="15"/>
        <v>DAincomeS1203331</v>
      </c>
      <c r="C993" t="s">
        <v>99</v>
      </c>
      <c r="D993" t="s">
        <v>101</v>
      </c>
      <c r="E993" t="s">
        <v>110</v>
      </c>
      <c r="F993">
        <v>3965.6242825361201</v>
      </c>
      <c r="G993">
        <v>2033</v>
      </c>
      <c r="H993">
        <v>3</v>
      </c>
      <c r="I993">
        <v>1</v>
      </c>
    </row>
    <row r="994" spans="1:9" x14ac:dyDescent="0.35">
      <c r="A994" t="str">
        <f t="shared" si="15"/>
        <v>DAenergy_boughtS1203331</v>
      </c>
      <c r="C994" t="s">
        <v>99</v>
      </c>
      <c r="D994" t="s">
        <v>111</v>
      </c>
      <c r="E994" t="s">
        <v>110</v>
      </c>
      <c r="F994">
        <v>50.898623727160697</v>
      </c>
      <c r="G994">
        <v>2033</v>
      </c>
      <c r="H994">
        <v>3</v>
      </c>
      <c r="I994">
        <v>1</v>
      </c>
    </row>
    <row r="995" spans="1:9" x14ac:dyDescent="0.35">
      <c r="A995" t="str">
        <f t="shared" si="15"/>
        <v>DAenergy_soldS1203331</v>
      </c>
      <c r="C995" t="s">
        <v>99</v>
      </c>
      <c r="D995" t="s">
        <v>112</v>
      </c>
      <c r="E995" t="s">
        <v>110</v>
      </c>
      <c r="F995">
        <v>36.434683798349873</v>
      </c>
      <c r="G995">
        <v>2033</v>
      </c>
      <c r="H995">
        <v>3</v>
      </c>
      <c r="I995">
        <v>1</v>
      </c>
    </row>
    <row r="996" spans="1:9" x14ac:dyDescent="0.35">
      <c r="A996" t="str">
        <f t="shared" si="15"/>
        <v>DAhours_boughtS1203331</v>
      </c>
      <c r="C996" t="s">
        <v>99</v>
      </c>
      <c r="D996" t="s">
        <v>113</v>
      </c>
      <c r="E996" t="s">
        <v>110</v>
      </c>
      <c r="F996">
        <v>4491</v>
      </c>
      <c r="G996">
        <v>2033</v>
      </c>
      <c r="H996">
        <v>3</v>
      </c>
      <c r="I996">
        <v>1</v>
      </c>
    </row>
    <row r="997" spans="1:9" x14ac:dyDescent="0.35">
      <c r="A997" t="str">
        <f t="shared" si="15"/>
        <v>DAhours_soldS1203331</v>
      </c>
      <c r="C997" t="s">
        <v>99</v>
      </c>
      <c r="D997" t="s">
        <v>114</v>
      </c>
      <c r="E997" t="s">
        <v>110</v>
      </c>
      <c r="F997">
        <v>72</v>
      </c>
      <c r="G997">
        <v>2033</v>
      </c>
      <c r="H997">
        <v>3</v>
      </c>
      <c r="I997">
        <v>1</v>
      </c>
    </row>
    <row r="998" spans="1:9" x14ac:dyDescent="0.35">
      <c r="A998" t="str">
        <f t="shared" si="15"/>
        <v>DAco2_emissionS1203331</v>
      </c>
      <c r="B998" t="s">
        <v>95</v>
      </c>
      <c r="C998" t="s">
        <v>99</v>
      </c>
      <c r="D998" t="s">
        <v>204</v>
      </c>
      <c r="E998" t="s">
        <v>110</v>
      </c>
      <c r="F998">
        <v>3562.90366090104</v>
      </c>
      <c r="G998">
        <v>2033</v>
      </c>
      <c r="H998">
        <v>3</v>
      </c>
      <c r="I998">
        <v>1</v>
      </c>
    </row>
    <row r="999" spans="1:9" x14ac:dyDescent="0.35">
      <c r="A999" t="str">
        <f t="shared" si="15"/>
        <v>fcrincomeS1203331</v>
      </c>
      <c r="B999" t="s">
        <v>95</v>
      </c>
      <c r="C999" t="s">
        <v>102</v>
      </c>
      <c r="D999" t="s">
        <v>101</v>
      </c>
      <c r="E999" t="s">
        <v>110</v>
      </c>
      <c r="F999">
        <v>2.5092486430198058E-2</v>
      </c>
      <c r="G999">
        <v>2033</v>
      </c>
      <c r="H999">
        <v>3</v>
      </c>
      <c r="I999">
        <v>1</v>
      </c>
    </row>
    <row r="1000" spans="1:9" x14ac:dyDescent="0.35">
      <c r="A1000" t="str">
        <f t="shared" si="15"/>
        <v>fcractivation_hoursS1203331</v>
      </c>
      <c r="C1000" t="s">
        <v>102</v>
      </c>
      <c r="D1000" t="s">
        <v>115</v>
      </c>
      <c r="E1000" t="s">
        <v>110</v>
      </c>
      <c r="F1000">
        <v>8</v>
      </c>
      <c r="G1000">
        <v>2033</v>
      </c>
      <c r="H1000">
        <v>3</v>
      </c>
      <c r="I1000">
        <v>1</v>
      </c>
    </row>
    <row r="1001" spans="1:9" x14ac:dyDescent="0.35">
      <c r="A1001" t="str">
        <f t="shared" si="15"/>
        <v>afrrincomeS1203331</v>
      </c>
      <c r="C1001" t="s">
        <v>103</v>
      </c>
      <c r="D1001" t="s">
        <v>101</v>
      </c>
      <c r="E1001" t="s">
        <v>110</v>
      </c>
      <c r="F1001">
        <v>70683.067857395406</v>
      </c>
      <c r="G1001">
        <v>2033</v>
      </c>
      <c r="H1001">
        <v>3</v>
      </c>
      <c r="I1001">
        <v>1</v>
      </c>
    </row>
    <row r="1002" spans="1:9" x14ac:dyDescent="0.35">
      <c r="A1002" t="str">
        <f t="shared" si="15"/>
        <v>afrractivation_hoursS1203331</v>
      </c>
      <c r="C1002" t="s">
        <v>103</v>
      </c>
      <c r="D1002" t="s">
        <v>115</v>
      </c>
      <c r="E1002" t="s">
        <v>110</v>
      </c>
      <c r="F1002">
        <v>8648</v>
      </c>
      <c r="G1002">
        <v>2033</v>
      </c>
      <c r="H1002">
        <v>3</v>
      </c>
      <c r="I1002">
        <v>1</v>
      </c>
    </row>
    <row r="1003" spans="1:9" x14ac:dyDescent="0.35">
      <c r="A1003" t="str">
        <f t="shared" si="15"/>
        <v>networkturpe_power_costS1203431</v>
      </c>
      <c r="C1003" t="s">
        <v>96</v>
      </c>
      <c r="D1003" t="s">
        <v>97</v>
      </c>
      <c r="E1003" t="s">
        <v>110</v>
      </c>
      <c r="F1003">
        <v>3200.9689422762472</v>
      </c>
      <c r="G1003">
        <v>2034</v>
      </c>
      <c r="H1003">
        <v>3</v>
      </c>
      <c r="I1003">
        <v>1</v>
      </c>
    </row>
    <row r="1004" spans="1:9" x14ac:dyDescent="0.35">
      <c r="A1004" t="str">
        <f t="shared" si="15"/>
        <v>networkturpe_energy_costS1203431</v>
      </c>
      <c r="C1004" t="s">
        <v>96</v>
      </c>
      <c r="D1004" t="s">
        <v>98</v>
      </c>
      <c r="E1004" t="s">
        <v>110</v>
      </c>
      <c r="F1004">
        <v>708.78689366445917</v>
      </c>
      <c r="G1004">
        <v>2034</v>
      </c>
      <c r="H1004">
        <v>3</v>
      </c>
      <c r="I1004">
        <v>1</v>
      </c>
    </row>
    <row r="1005" spans="1:9" x14ac:dyDescent="0.35">
      <c r="A1005" t="str">
        <f t="shared" si="15"/>
        <v>DAcostS1203431</v>
      </c>
      <c r="C1005" t="s">
        <v>99</v>
      </c>
      <c r="D1005" t="s">
        <v>100</v>
      </c>
      <c r="E1005" t="s">
        <v>110</v>
      </c>
      <c r="F1005">
        <v>2288.7358521058291</v>
      </c>
      <c r="G1005">
        <v>2034</v>
      </c>
      <c r="H1005">
        <v>3</v>
      </c>
      <c r="I1005">
        <v>1</v>
      </c>
    </row>
    <row r="1006" spans="1:9" x14ac:dyDescent="0.35">
      <c r="A1006" t="str">
        <f t="shared" si="15"/>
        <v>DAincomeS1203431</v>
      </c>
      <c r="C1006" t="s">
        <v>99</v>
      </c>
      <c r="D1006" t="s">
        <v>101</v>
      </c>
      <c r="E1006" t="s">
        <v>110</v>
      </c>
      <c r="F1006">
        <v>4124.7572826406831</v>
      </c>
      <c r="G1006">
        <v>2034</v>
      </c>
      <c r="H1006">
        <v>3</v>
      </c>
      <c r="I1006">
        <v>1</v>
      </c>
    </row>
    <row r="1007" spans="1:9" x14ac:dyDescent="0.35">
      <c r="A1007" t="str">
        <f t="shared" si="15"/>
        <v>DAenergy_boughtS1203431</v>
      </c>
      <c r="C1007" t="s">
        <v>99</v>
      </c>
      <c r="D1007" t="s">
        <v>111</v>
      </c>
      <c r="E1007" t="s">
        <v>110</v>
      </c>
      <c r="F1007">
        <v>51.656636974768858</v>
      </c>
      <c r="G1007">
        <v>2034</v>
      </c>
      <c r="H1007">
        <v>3</v>
      </c>
      <c r="I1007">
        <v>1</v>
      </c>
    </row>
    <row r="1008" spans="1:9" x14ac:dyDescent="0.35">
      <c r="A1008" t="str">
        <f t="shared" si="15"/>
        <v>DAenergy_soldS1203431</v>
      </c>
      <c r="C1008" t="s">
        <v>99</v>
      </c>
      <c r="D1008" t="s">
        <v>112</v>
      </c>
      <c r="E1008" t="s">
        <v>110</v>
      </c>
      <c r="F1008">
        <v>37.159039371905628</v>
      </c>
      <c r="G1008">
        <v>2034</v>
      </c>
      <c r="H1008">
        <v>3</v>
      </c>
      <c r="I1008">
        <v>1</v>
      </c>
    </row>
    <row r="1009" spans="1:9" x14ac:dyDescent="0.35">
      <c r="A1009" t="str">
        <f t="shared" si="15"/>
        <v>DAhours_boughtS1203431</v>
      </c>
      <c r="C1009" t="s">
        <v>99</v>
      </c>
      <c r="D1009" t="s">
        <v>113</v>
      </c>
      <c r="E1009" t="s">
        <v>110</v>
      </c>
      <c r="F1009">
        <v>4563</v>
      </c>
      <c r="G1009">
        <v>2034</v>
      </c>
      <c r="H1009">
        <v>3</v>
      </c>
      <c r="I1009">
        <v>1</v>
      </c>
    </row>
    <row r="1010" spans="1:9" x14ac:dyDescent="0.35">
      <c r="A1010" t="str">
        <f t="shared" si="15"/>
        <v>DAhours_soldS1203431</v>
      </c>
      <c r="B1010" t="s">
        <v>95</v>
      </c>
      <c r="C1010" t="s">
        <v>99</v>
      </c>
      <c r="D1010" t="s">
        <v>114</v>
      </c>
      <c r="E1010" t="s">
        <v>110</v>
      </c>
      <c r="F1010">
        <v>76</v>
      </c>
      <c r="G1010">
        <v>2034</v>
      </c>
      <c r="H1010">
        <v>3</v>
      </c>
      <c r="I1010">
        <v>1</v>
      </c>
    </row>
    <row r="1011" spans="1:9" x14ac:dyDescent="0.35">
      <c r="A1011" t="str">
        <f t="shared" si="15"/>
        <v>DAco2_emissionS1203431</v>
      </c>
      <c r="B1011" t="s">
        <v>95</v>
      </c>
      <c r="C1011" t="s">
        <v>99</v>
      </c>
      <c r="D1011" t="s">
        <v>204</v>
      </c>
      <c r="E1011" t="s">
        <v>110</v>
      </c>
      <c r="F1011">
        <v>3615.964588233684</v>
      </c>
      <c r="G1011">
        <v>2034</v>
      </c>
      <c r="H1011">
        <v>3</v>
      </c>
      <c r="I1011">
        <v>1</v>
      </c>
    </row>
    <row r="1012" spans="1:9" x14ac:dyDescent="0.35">
      <c r="A1012" t="str">
        <f t="shared" si="15"/>
        <v>fcrincomeS1203431</v>
      </c>
      <c r="C1012" t="s">
        <v>102</v>
      </c>
      <c r="D1012" t="s">
        <v>101</v>
      </c>
      <c r="E1012" t="s">
        <v>110</v>
      </c>
      <c r="F1012">
        <v>2.107470838047458E-2</v>
      </c>
      <c r="G1012">
        <v>2034</v>
      </c>
      <c r="H1012">
        <v>3</v>
      </c>
      <c r="I1012">
        <v>1</v>
      </c>
    </row>
    <row r="1013" spans="1:9" x14ac:dyDescent="0.35">
      <c r="A1013" t="str">
        <f t="shared" si="15"/>
        <v>fcractivation_hoursS1203431</v>
      </c>
      <c r="C1013" t="s">
        <v>102</v>
      </c>
      <c r="D1013" t="s">
        <v>115</v>
      </c>
      <c r="E1013" t="s">
        <v>110</v>
      </c>
      <c r="F1013">
        <v>4</v>
      </c>
      <c r="G1013">
        <v>2034</v>
      </c>
      <c r="H1013">
        <v>3</v>
      </c>
      <c r="I1013">
        <v>1</v>
      </c>
    </row>
    <row r="1014" spans="1:9" x14ac:dyDescent="0.35">
      <c r="A1014" t="str">
        <f t="shared" si="15"/>
        <v>afrrincomeS1203431</v>
      </c>
      <c r="C1014" t="s">
        <v>103</v>
      </c>
      <c r="D1014" t="s">
        <v>101</v>
      </c>
      <c r="E1014" t="s">
        <v>110</v>
      </c>
      <c r="F1014">
        <v>72458.074064137414</v>
      </c>
      <c r="G1014">
        <v>2034</v>
      </c>
      <c r="H1014">
        <v>3</v>
      </c>
      <c r="I1014">
        <v>1</v>
      </c>
    </row>
    <row r="1015" spans="1:9" x14ac:dyDescent="0.35">
      <c r="A1015" t="str">
        <f t="shared" si="15"/>
        <v>afrractivation_hoursS1203431</v>
      </c>
      <c r="C1015" t="s">
        <v>103</v>
      </c>
      <c r="D1015" t="s">
        <v>115</v>
      </c>
      <c r="E1015" t="s">
        <v>110</v>
      </c>
      <c r="F1015">
        <v>8659</v>
      </c>
      <c r="G1015">
        <v>2034</v>
      </c>
      <c r="H1015">
        <v>3</v>
      </c>
      <c r="I1015">
        <v>1</v>
      </c>
    </row>
    <row r="1016" spans="1:9" x14ac:dyDescent="0.35">
      <c r="A1016" t="str">
        <f t="shared" si="15"/>
        <v>networkturpe_power_costS1203531</v>
      </c>
      <c r="C1016" t="s">
        <v>96</v>
      </c>
      <c r="D1016" t="s">
        <v>97</v>
      </c>
      <c r="E1016" t="s">
        <v>110</v>
      </c>
      <c r="F1016">
        <v>3120.869316108598</v>
      </c>
      <c r="G1016">
        <v>2035</v>
      </c>
      <c r="H1016">
        <v>3</v>
      </c>
      <c r="I1016">
        <v>1</v>
      </c>
    </row>
    <row r="1017" spans="1:9" x14ac:dyDescent="0.35">
      <c r="A1017" t="str">
        <f t="shared" si="15"/>
        <v>networkturpe_energy_costS1203531</v>
      </c>
      <c r="C1017" t="s">
        <v>96</v>
      </c>
      <c r="D1017" t="s">
        <v>98</v>
      </c>
      <c r="E1017" t="s">
        <v>110</v>
      </c>
      <c r="F1017">
        <v>616.11414961755577</v>
      </c>
      <c r="G1017">
        <v>2035</v>
      </c>
      <c r="H1017">
        <v>3</v>
      </c>
      <c r="I1017">
        <v>1</v>
      </c>
    </row>
    <row r="1018" spans="1:9" x14ac:dyDescent="0.35">
      <c r="A1018" t="str">
        <f t="shared" si="15"/>
        <v>DAcostS1203531</v>
      </c>
      <c r="C1018" t="s">
        <v>99</v>
      </c>
      <c r="D1018" t="s">
        <v>100</v>
      </c>
      <c r="E1018" t="s">
        <v>110</v>
      </c>
      <c r="F1018">
        <v>1853.9705149139411</v>
      </c>
      <c r="G1018">
        <v>2035</v>
      </c>
      <c r="H1018">
        <v>3</v>
      </c>
      <c r="I1018">
        <v>1</v>
      </c>
    </row>
    <row r="1019" spans="1:9" x14ac:dyDescent="0.35">
      <c r="A1019" t="str">
        <f t="shared" si="15"/>
        <v>DAincomeS1203531</v>
      </c>
      <c r="C1019" t="s">
        <v>99</v>
      </c>
      <c r="D1019" t="s">
        <v>101</v>
      </c>
      <c r="E1019" t="s">
        <v>110</v>
      </c>
      <c r="F1019">
        <v>3503.6787141857199</v>
      </c>
      <c r="G1019">
        <v>2035</v>
      </c>
      <c r="H1019">
        <v>3</v>
      </c>
      <c r="I1019">
        <v>1</v>
      </c>
    </row>
    <row r="1020" spans="1:9" x14ac:dyDescent="0.35">
      <c r="A1020" t="str">
        <f t="shared" si="15"/>
        <v>DAenergy_boughtS1203531</v>
      </c>
      <c r="C1020" t="s">
        <v>99</v>
      </c>
      <c r="D1020" t="s">
        <v>111</v>
      </c>
      <c r="E1020" t="s">
        <v>110</v>
      </c>
      <c r="F1020">
        <v>44.198422066356038</v>
      </c>
      <c r="G1020">
        <v>2035</v>
      </c>
      <c r="H1020">
        <v>3</v>
      </c>
      <c r="I1020">
        <v>1</v>
      </c>
    </row>
    <row r="1021" spans="1:9" x14ac:dyDescent="0.35">
      <c r="A1021" t="str">
        <f t="shared" si="15"/>
        <v>DAenergy_soldS1203531</v>
      </c>
      <c r="C1021" t="s">
        <v>99</v>
      </c>
      <c r="D1021" t="s">
        <v>112</v>
      </c>
      <c r="E1021" t="s">
        <v>110</v>
      </c>
      <c r="F1021">
        <v>31.22487851521263</v>
      </c>
      <c r="G1021">
        <v>2035</v>
      </c>
      <c r="H1021">
        <v>3</v>
      </c>
      <c r="I1021">
        <v>1</v>
      </c>
    </row>
    <row r="1022" spans="1:9" x14ac:dyDescent="0.35">
      <c r="A1022" t="str">
        <f t="shared" si="15"/>
        <v>DAhours_boughtS1203531</v>
      </c>
      <c r="B1022" t="s">
        <v>95</v>
      </c>
      <c r="C1022" t="s">
        <v>99</v>
      </c>
      <c r="D1022" t="s">
        <v>113</v>
      </c>
      <c r="E1022" t="s">
        <v>110</v>
      </c>
      <c r="F1022">
        <v>4624</v>
      </c>
      <c r="G1022">
        <v>2035</v>
      </c>
      <c r="H1022">
        <v>3</v>
      </c>
      <c r="I1022">
        <v>1</v>
      </c>
    </row>
    <row r="1023" spans="1:9" x14ac:dyDescent="0.35">
      <c r="A1023" t="str">
        <f t="shared" si="15"/>
        <v>DAhours_soldS1203531</v>
      </c>
      <c r="B1023" t="s">
        <v>95</v>
      </c>
      <c r="C1023" t="s">
        <v>99</v>
      </c>
      <c r="D1023" t="s">
        <v>114</v>
      </c>
      <c r="E1023" t="s">
        <v>110</v>
      </c>
      <c r="F1023">
        <v>73</v>
      </c>
      <c r="G1023">
        <v>2035</v>
      </c>
      <c r="H1023">
        <v>3</v>
      </c>
      <c r="I1023">
        <v>1</v>
      </c>
    </row>
    <row r="1024" spans="1:9" x14ac:dyDescent="0.35">
      <c r="A1024" t="str">
        <f t="shared" si="15"/>
        <v>DAco2_emissionS1203531</v>
      </c>
      <c r="C1024" t="s">
        <v>99</v>
      </c>
      <c r="D1024" t="s">
        <v>204</v>
      </c>
      <c r="E1024" t="s">
        <v>110</v>
      </c>
      <c r="F1024">
        <v>3093.8895446450042</v>
      </c>
      <c r="G1024">
        <v>2035</v>
      </c>
      <c r="H1024">
        <v>3</v>
      </c>
      <c r="I1024">
        <v>1</v>
      </c>
    </row>
    <row r="1025" spans="1:9" x14ac:dyDescent="0.35">
      <c r="A1025" t="str">
        <f t="shared" si="15"/>
        <v>fcrincomeS1203531</v>
      </c>
      <c r="C1025" t="s">
        <v>102</v>
      </c>
      <c r="D1025" t="s">
        <v>101</v>
      </c>
      <c r="E1025" t="s">
        <v>110</v>
      </c>
      <c r="F1025">
        <v>0</v>
      </c>
      <c r="G1025">
        <v>2035</v>
      </c>
      <c r="H1025">
        <v>3</v>
      </c>
      <c r="I1025">
        <v>1</v>
      </c>
    </row>
    <row r="1026" spans="1:9" x14ac:dyDescent="0.35">
      <c r="A1026" t="str">
        <f t="shared" si="15"/>
        <v>fcractivation_hoursS1203531</v>
      </c>
      <c r="C1026" t="s">
        <v>102</v>
      </c>
      <c r="D1026" t="s">
        <v>115</v>
      </c>
      <c r="E1026" t="s">
        <v>110</v>
      </c>
      <c r="F1026">
        <v>0</v>
      </c>
      <c r="G1026">
        <v>2035</v>
      </c>
      <c r="H1026">
        <v>3</v>
      </c>
      <c r="I1026">
        <v>1</v>
      </c>
    </row>
    <row r="1027" spans="1:9" x14ac:dyDescent="0.35">
      <c r="A1027" t="str">
        <f t="shared" ref="A1027:A1090" si="16">C1027&amp;D1027&amp;E1027&amp;G1027&amp;H1027&amp;I1027</f>
        <v>afrrincomeS1203531</v>
      </c>
      <c r="C1027" t="s">
        <v>103</v>
      </c>
      <c r="D1027" t="s">
        <v>101</v>
      </c>
      <c r="E1027" t="s">
        <v>110</v>
      </c>
      <c r="F1027">
        <v>70164.897317041556</v>
      </c>
      <c r="G1027">
        <v>2035</v>
      </c>
      <c r="H1027">
        <v>3</v>
      </c>
      <c r="I1027">
        <v>1</v>
      </c>
    </row>
    <row r="1028" spans="1:9" x14ac:dyDescent="0.35">
      <c r="A1028" t="str">
        <f t="shared" si="16"/>
        <v>afrractivation_hoursS1203531</v>
      </c>
      <c r="C1028" t="s">
        <v>103</v>
      </c>
      <c r="D1028" t="s">
        <v>115</v>
      </c>
      <c r="E1028" t="s">
        <v>110</v>
      </c>
      <c r="F1028">
        <v>8669</v>
      </c>
      <c r="G1028">
        <v>2035</v>
      </c>
      <c r="H1028">
        <v>3</v>
      </c>
      <c r="I1028">
        <v>1</v>
      </c>
    </row>
    <row r="1029" spans="1:9" x14ac:dyDescent="0.35">
      <c r="A1029" t="str">
        <f t="shared" si="16"/>
        <v>networkturpe_power_costS1203631</v>
      </c>
      <c r="C1029" t="s">
        <v>96</v>
      </c>
      <c r="D1029" t="s">
        <v>97</v>
      </c>
      <c r="E1029" t="s">
        <v>110</v>
      </c>
      <c r="F1029">
        <v>3047.6180734861841</v>
      </c>
      <c r="G1029">
        <v>2036</v>
      </c>
      <c r="H1029">
        <v>3</v>
      </c>
      <c r="I1029">
        <v>1</v>
      </c>
    </row>
    <row r="1030" spans="1:9" x14ac:dyDescent="0.35">
      <c r="A1030" t="str">
        <f t="shared" si="16"/>
        <v>networkturpe_energy_costS1203631</v>
      </c>
      <c r="C1030" t="s">
        <v>96</v>
      </c>
      <c r="D1030" t="s">
        <v>98</v>
      </c>
      <c r="E1030" t="s">
        <v>110</v>
      </c>
      <c r="F1030">
        <v>867.22516908958289</v>
      </c>
      <c r="G1030">
        <v>2036</v>
      </c>
      <c r="H1030">
        <v>3</v>
      </c>
      <c r="I1030">
        <v>1</v>
      </c>
    </row>
    <row r="1031" spans="1:9" x14ac:dyDescent="0.35">
      <c r="A1031" t="str">
        <f t="shared" si="16"/>
        <v>DAcostS1203631</v>
      </c>
      <c r="C1031" t="s">
        <v>99</v>
      </c>
      <c r="D1031" t="s">
        <v>100</v>
      </c>
      <c r="E1031" t="s">
        <v>110</v>
      </c>
      <c r="F1031">
        <v>2490.6131514823128</v>
      </c>
      <c r="G1031">
        <v>2036</v>
      </c>
      <c r="H1031">
        <v>3</v>
      </c>
      <c r="I1031">
        <v>1</v>
      </c>
    </row>
    <row r="1032" spans="1:9" x14ac:dyDescent="0.35">
      <c r="A1032" t="str">
        <f t="shared" si="16"/>
        <v>DAincomeS1203631</v>
      </c>
      <c r="C1032" t="s">
        <v>99</v>
      </c>
      <c r="D1032" t="s">
        <v>101</v>
      </c>
      <c r="E1032" t="s">
        <v>110</v>
      </c>
      <c r="F1032">
        <v>4770.9046960410196</v>
      </c>
      <c r="G1032">
        <v>2036</v>
      </c>
      <c r="H1032">
        <v>3</v>
      </c>
      <c r="I1032">
        <v>1</v>
      </c>
    </row>
    <row r="1033" spans="1:9" x14ac:dyDescent="0.35">
      <c r="A1033" t="str">
        <f t="shared" si="16"/>
        <v>DAenergy_boughtS1203631</v>
      </c>
      <c r="C1033" t="s">
        <v>99</v>
      </c>
      <c r="D1033" t="s">
        <v>111</v>
      </c>
      <c r="E1033" t="s">
        <v>110</v>
      </c>
      <c r="F1033">
        <v>58.310304804044883</v>
      </c>
      <c r="G1033">
        <v>2036</v>
      </c>
      <c r="H1033">
        <v>3</v>
      </c>
      <c r="I1033">
        <v>1</v>
      </c>
    </row>
    <row r="1034" spans="1:9" x14ac:dyDescent="0.35">
      <c r="A1034" t="str">
        <f t="shared" si="16"/>
        <v>DAenergy_soldS1203631</v>
      </c>
      <c r="B1034" t="s">
        <v>95</v>
      </c>
      <c r="C1034" t="s">
        <v>99</v>
      </c>
      <c r="D1034" t="s">
        <v>112</v>
      </c>
      <c r="E1034" t="s">
        <v>110</v>
      </c>
      <c r="F1034">
        <v>42.754645939757232</v>
      </c>
      <c r="G1034">
        <v>2036</v>
      </c>
      <c r="H1034">
        <v>3</v>
      </c>
      <c r="I1034">
        <v>1</v>
      </c>
    </row>
    <row r="1035" spans="1:9" x14ac:dyDescent="0.35">
      <c r="A1035" t="str">
        <f t="shared" si="16"/>
        <v>DAhours_boughtS1203631</v>
      </c>
      <c r="B1035" t="s">
        <v>95</v>
      </c>
      <c r="C1035" t="s">
        <v>99</v>
      </c>
      <c r="D1035" t="s">
        <v>113</v>
      </c>
      <c r="E1035" t="s">
        <v>110</v>
      </c>
      <c r="F1035">
        <v>4221</v>
      </c>
      <c r="G1035">
        <v>2036</v>
      </c>
      <c r="H1035">
        <v>3</v>
      </c>
      <c r="I1035">
        <v>1</v>
      </c>
    </row>
    <row r="1036" spans="1:9" x14ac:dyDescent="0.35">
      <c r="A1036" t="str">
        <f t="shared" si="16"/>
        <v>DAhours_soldS1203631</v>
      </c>
      <c r="C1036" t="s">
        <v>99</v>
      </c>
      <c r="D1036" t="s">
        <v>114</v>
      </c>
      <c r="E1036" t="s">
        <v>110</v>
      </c>
      <c r="F1036">
        <v>111</v>
      </c>
      <c r="G1036">
        <v>2036</v>
      </c>
      <c r="H1036">
        <v>3</v>
      </c>
      <c r="I1036">
        <v>1</v>
      </c>
    </row>
    <row r="1037" spans="1:9" x14ac:dyDescent="0.35">
      <c r="A1037" t="str">
        <f t="shared" si="16"/>
        <v>DAco2_emissionS1203631</v>
      </c>
      <c r="C1037" t="s">
        <v>99</v>
      </c>
      <c r="D1037" t="s">
        <v>204</v>
      </c>
      <c r="E1037" t="s">
        <v>110</v>
      </c>
      <c r="F1037">
        <v>4081.7213362830171</v>
      </c>
      <c r="G1037">
        <v>2036</v>
      </c>
      <c r="H1037">
        <v>3</v>
      </c>
      <c r="I1037">
        <v>1</v>
      </c>
    </row>
    <row r="1038" spans="1:9" x14ac:dyDescent="0.35">
      <c r="A1038" t="str">
        <f t="shared" si="16"/>
        <v>fcrincomeS1203631</v>
      </c>
      <c r="C1038" t="s">
        <v>102</v>
      </c>
      <c r="D1038" t="s">
        <v>101</v>
      </c>
      <c r="E1038" t="s">
        <v>110</v>
      </c>
      <c r="F1038">
        <v>0</v>
      </c>
      <c r="G1038">
        <v>2036</v>
      </c>
      <c r="H1038">
        <v>3</v>
      </c>
      <c r="I1038">
        <v>1</v>
      </c>
    </row>
    <row r="1039" spans="1:9" x14ac:dyDescent="0.35">
      <c r="A1039" t="str">
        <f t="shared" si="16"/>
        <v>fcractivation_hoursS1203631</v>
      </c>
      <c r="C1039" t="s">
        <v>102</v>
      </c>
      <c r="D1039" t="s">
        <v>115</v>
      </c>
      <c r="E1039" t="s">
        <v>110</v>
      </c>
      <c r="F1039">
        <v>0</v>
      </c>
      <c r="G1039">
        <v>2036</v>
      </c>
      <c r="H1039">
        <v>3</v>
      </c>
      <c r="I1039">
        <v>1</v>
      </c>
    </row>
    <row r="1040" spans="1:9" x14ac:dyDescent="0.35">
      <c r="A1040" t="str">
        <f t="shared" si="16"/>
        <v>afrrincomeS1203631</v>
      </c>
      <c r="C1040" t="s">
        <v>103</v>
      </c>
      <c r="D1040" t="s">
        <v>101</v>
      </c>
      <c r="E1040" t="s">
        <v>110</v>
      </c>
      <c r="F1040">
        <v>65015.79686311783</v>
      </c>
      <c r="G1040">
        <v>2036</v>
      </c>
      <c r="H1040">
        <v>3</v>
      </c>
      <c r="I1040">
        <v>1</v>
      </c>
    </row>
    <row r="1041" spans="1:9" x14ac:dyDescent="0.35">
      <c r="A1041" t="str">
        <f t="shared" si="16"/>
        <v>afrractivation_hoursS1203631</v>
      </c>
      <c r="C1041" t="s">
        <v>103</v>
      </c>
      <c r="D1041" t="s">
        <v>115</v>
      </c>
      <c r="E1041" t="s">
        <v>110</v>
      </c>
      <c r="F1041">
        <v>8638</v>
      </c>
      <c r="G1041">
        <v>2036</v>
      </c>
      <c r="H1041">
        <v>3</v>
      </c>
      <c r="I1041">
        <v>1</v>
      </c>
    </row>
    <row r="1042" spans="1:9" x14ac:dyDescent="0.35">
      <c r="A1042" t="str">
        <f t="shared" si="16"/>
        <v>networkturpe_power_costS1203731</v>
      </c>
      <c r="C1042" t="s">
        <v>96</v>
      </c>
      <c r="D1042" t="s">
        <v>97</v>
      </c>
      <c r="E1042" t="s">
        <v>110</v>
      </c>
      <c r="F1042">
        <v>2966.496632085999</v>
      </c>
      <c r="G1042">
        <v>2037</v>
      </c>
      <c r="H1042">
        <v>3</v>
      </c>
      <c r="I1042">
        <v>1</v>
      </c>
    </row>
    <row r="1043" spans="1:9" x14ac:dyDescent="0.35">
      <c r="A1043" t="str">
        <f t="shared" si="16"/>
        <v>networkturpe_energy_costS1203731</v>
      </c>
      <c r="C1043" t="s">
        <v>96</v>
      </c>
      <c r="D1043" t="s">
        <v>98</v>
      </c>
      <c r="E1043" t="s">
        <v>110</v>
      </c>
      <c r="F1043">
        <v>635.12951646347733</v>
      </c>
      <c r="G1043">
        <v>2037</v>
      </c>
      <c r="H1043">
        <v>3</v>
      </c>
      <c r="I1043">
        <v>1</v>
      </c>
    </row>
    <row r="1044" spans="1:9" x14ac:dyDescent="0.35">
      <c r="A1044" t="str">
        <f t="shared" si="16"/>
        <v>DAcostS1203731</v>
      </c>
      <c r="C1044" t="s">
        <v>99</v>
      </c>
      <c r="D1044" t="s">
        <v>100</v>
      </c>
      <c r="E1044" t="s">
        <v>110</v>
      </c>
      <c r="F1044">
        <v>1950.517502126557</v>
      </c>
      <c r="G1044">
        <v>2037</v>
      </c>
      <c r="H1044">
        <v>3</v>
      </c>
      <c r="I1044">
        <v>1</v>
      </c>
    </row>
    <row r="1045" spans="1:9" x14ac:dyDescent="0.35">
      <c r="A1045" t="str">
        <f t="shared" si="16"/>
        <v>DAincomeS1203731</v>
      </c>
      <c r="C1045" t="s">
        <v>99</v>
      </c>
      <c r="D1045" t="s">
        <v>101</v>
      </c>
      <c r="E1045" t="s">
        <v>110</v>
      </c>
      <c r="F1045">
        <v>3548.4820647909219</v>
      </c>
      <c r="G1045">
        <v>2037</v>
      </c>
      <c r="H1045">
        <v>3</v>
      </c>
      <c r="I1045">
        <v>1</v>
      </c>
    </row>
    <row r="1046" spans="1:9" x14ac:dyDescent="0.35">
      <c r="A1046" t="str">
        <f t="shared" si="16"/>
        <v>DAenergy_boughtS1203731</v>
      </c>
      <c r="B1046" t="s">
        <v>95</v>
      </c>
      <c r="C1046" t="s">
        <v>99</v>
      </c>
      <c r="D1046" t="s">
        <v>111</v>
      </c>
      <c r="E1046" t="s">
        <v>110</v>
      </c>
      <c r="F1046">
        <v>45.229344652028097</v>
      </c>
      <c r="G1046">
        <v>2037</v>
      </c>
      <c r="H1046">
        <v>3</v>
      </c>
      <c r="I1046">
        <v>1</v>
      </c>
    </row>
    <row r="1047" spans="1:9" x14ac:dyDescent="0.35">
      <c r="A1047" t="str">
        <f t="shared" si="16"/>
        <v>DAenergy_soldS1203731</v>
      </c>
      <c r="B1047" t="s">
        <v>95</v>
      </c>
      <c r="C1047" t="s">
        <v>99</v>
      </c>
      <c r="D1047" t="s">
        <v>112</v>
      </c>
      <c r="E1047" t="s">
        <v>110</v>
      </c>
      <c r="F1047">
        <v>32.272869572105932</v>
      </c>
      <c r="G1047">
        <v>2037</v>
      </c>
      <c r="H1047">
        <v>3</v>
      </c>
      <c r="I1047">
        <v>1</v>
      </c>
    </row>
    <row r="1048" spans="1:9" x14ac:dyDescent="0.35">
      <c r="A1048" t="str">
        <f t="shared" si="16"/>
        <v>DAhours_boughtS1203731</v>
      </c>
      <c r="C1048" t="s">
        <v>99</v>
      </c>
      <c r="D1048" t="s">
        <v>113</v>
      </c>
      <c r="E1048" t="s">
        <v>110</v>
      </c>
      <c r="F1048">
        <v>4737</v>
      </c>
      <c r="G1048">
        <v>2037</v>
      </c>
      <c r="H1048">
        <v>3</v>
      </c>
      <c r="I1048">
        <v>1</v>
      </c>
    </row>
    <row r="1049" spans="1:9" x14ac:dyDescent="0.35">
      <c r="A1049" t="str">
        <f t="shared" si="16"/>
        <v>DAhours_soldS1203731</v>
      </c>
      <c r="C1049" t="s">
        <v>99</v>
      </c>
      <c r="D1049" t="s">
        <v>114</v>
      </c>
      <c r="E1049" t="s">
        <v>110</v>
      </c>
      <c r="F1049">
        <v>89</v>
      </c>
      <c r="G1049">
        <v>2037</v>
      </c>
      <c r="H1049">
        <v>3</v>
      </c>
      <c r="I1049">
        <v>1</v>
      </c>
    </row>
    <row r="1050" spans="1:9" x14ac:dyDescent="0.35">
      <c r="A1050" t="str">
        <f t="shared" si="16"/>
        <v>DAco2_emissionS1203731</v>
      </c>
      <c r="C1050" t="s">
        <v>99</v>
      </c>
      <c r="D1050" t="s">
        <v>204</v>
      </c>
      <c r="E1050" t="s">
        <v>110</v>
      </c>
      <c r="F1050">
        <v>3166.0541256418742</v>
      </c>
      <c r="G1050">
        <v>2037</v>
      </c>
      <c r="H1050">
        <v>3</v>
      </c>
      <c r="I1050">
        <v>1</v>
      </c>
    </row>
    <row r="1051" spans="1:9" x14ac:dyDescent="0.35">
      <c r="A1051" t="str">
        <f t="shared" si="16"/>
        <v>fcrincomeS1203731</v>
      </c>
      <c r="C1051" t="s">
        <v>102</v>
      </c>
      <c r="D1051" t="s">
        <v>101</v>
      </c>
      <c r="E1051" t="s">
        <v>110</v>
      </c>
      <c r="F1051">
        <v>2.458883657617161E-2</v>
      </c>
      <c r="G1051">
        <v>2037</v>
      </c>
      <c r="H1051">
        <v>3</v>
      </c>
      <c r="I1051">
        <v>1</v>
      </c>
    </row>
    <row r="1052" spans="1:9" x14ac:dyDescent="0.35">
      <c r="A1052" t="str">
        <f t="shared" si="16"/>
        <v>fcractivation_hoursS1203731</v>
      </c>
      <c r="C1052" t="s">
        <v>102</v>
      </c>
      <c r="D1052" t="s">
        <v>115</v>
      </c>
      <c r="E1052" t="s">
        <v>110</v>
      </c>
      <c r="F1052">
        <v>4</v>
      </c>
      <c r="G1052">
        <v>2037</v>
      </c>
      <c r="H1052">
        <v>3</v>
      </c>
      <c r="I1052">
        <v>1</v>
      </c>
    </row>
    <row r="1053" spans="1:9" x14ac:dyDescent="0.35">
      <c r="A1053" t="str">
        <f t="shared" si="16"/>
        <v>afrrincomeS1203731</v>
      </c>
      <c r="C1053" t="s">
        <v>103</v>
      </c>
      <c r="D1053" t="s">
        <v>101</v>
      </c>
      <c r="E1053" t="s">
        <v>110</v>
      </c>
      <c r="F1053">
        <v>65443.226413744771</v>
      </c>
      <c r="G1053">
        <v>2037</v>
      </c>
      <c r="H1053">
        <v>3</v>
      </c>
      <c r="I1053">
        <v>1</v>
      </c>
    </row>
    <row r="1054" spans="1:9" x14ac:dyDescent="0.35">
      <c r="A1054" t="str">
        <f t="shared" si="16"/>
        <v>afrractivation_hoursS1203731</v>
      </c>
      <c r="C1054" t="s">
        <v>103</v>
      </c>
      <c r="D1054" t="s">
        <v>115</v>
      </c>
      <c r="E1054" t="s">
        <v>110</v>
      </c>
      <c r="F1054">
        <v>8668</v>
      </c>
      <c r="G1054">
        <v>2037</v>
      </c>
      <c r="H1054">
        <v>3</v>
      </c>
      <c r="I1054">
        <v>1</v>
      </c>
    </row>
    <row r="1055" spans="1:9" x14ac:dyDescent="0.35">
      <c r="A1055" t="str">
        <f t="shared" si="16"/>
        <v>networkturpe_power_costS1203831</v>
      </c>
      <c r="C1055" t="s">
        <v>96</v>
      </c>
      <c r="D1055" t="s">
        <v>97</v>
      </c>
      <c r="E1055" t="s">
        <v>110</v>
      </c>
      <c r="F1055">
        <v>2899.5554309126319</v>
      </c>
      <c r="G1055">
        <v>2038</v>
      </c>
      <c r="H1055">
        <v>3</v>
      </c>
      <c r="I1055">
        <v>1</v>
      </c>
    </row>
    <row r="1056" spans="1:9" x14ac:dyDescent="0.35">
      <c r="A1056" t="str">
        <f t="shared" si="16"/>
        <v>networkturpe_energy_costS1203831</v>
      </c>
      <c r="C1056" t="s">
        <v>96</v>
      </c>
      <c r="D1056" t="s">
        <v>98</v>
      </c>
      <c r="E1056" t="s">
        <v>110</v>
      </c>
      <c r="F1056">
        <v>1095.084632848012</v>
      </c>
      <c r="G1056">
        <v>2038</v>
      </c>
      <c r="H1056">
        <v>3</v>
      </c>
      <c r="I1056">
        <v>1</v>
      </c>
    </row>
    <row r="1057" spans="1:9" x14ac:dyDescent="0.35">
      <c r="A1057" t="str">
        <f t="shared" si="16"/>
        <v>DAcostS1203831</v>
      </c>
      <c r="C1057" t="s">
        <v>99</v>
      </c>
      <c r="D1057" t="s">
        <v>100</v>
      </c>
      <c r="E1057" t="s">
        <v>110</v>
      </c>
      <c r="F1057">
        <v>2830.2654334675608</v>
      </c>
      <c r="G1057">
        <v>2038</v>
      </c>
      <c r="H1057">
        <v>3</v>
      </c>
      <c r="I1057">
        <v>1</v>
      </c>
    </row>
    <row r="1058" spans="1:9" x14ac:dyDescent="0.35">
      <c r="A1058" t="str">
        <f t="shared" si="16"/>
        <v>DAincomeS1203831</v>
      </c>
      <c r="B1058" t="s">
        <v>95</v>
      </c>
      <c r="C1058" t="s">
        <v>99</v>
      </c>
      <c r="D1058" t="s">
        <v>101</v>
      </c>
      <c r="E1058" t="s">
        <v>110</v>
      </c>
      <c r="F1058">
        <v>5913.7180323842022</v>
      </c>
      <c r="G1058">
        <v>2038</v>
      </c>
      <c r="H1058">
        <v>3</v>
      </c>
      <c r="I1058">
        <v>1</v>
      </c>
    </row>
    <row r="1059" spans="1:9" x14ac:dyDescent="0.35">
      <c r="A1059" t="str">
        <f t="shared" si="16"/>
        <v>DAenergy_boughtS1203831</v>
      </c>
      <c r="B1059" t="s">
        <v>95</v>
      </c>
      <c r="C1059" t="s">
        <v>99</v>
      </c>
      <c r="D1059" t="s">
        <v>111</v>
      </c>
      <c r="E1059" t="s">
        <v>110</v>
      </c>
      <c r="F1059">
        <v>71.200966902640246</v>
      </c>
      <c r="G1059">
        <v>2038</v>
      </c>
      <c r="H1059">
        <v>3</v>
      </c>
      <c r="I1059">
        <v>1</v>
      </c>
    </row>
    <row r="1060" spans="1:9" x14ac:dyDescent="0.35">
      <c r="A1060" t="str">
        <f t="shared" si="16"/>
        <v>DAenergy_soldS1203831</v>
      </c>
      <c r="C1060" t="s">
        <v>99</v>
      </c>
      <c r="D1060" t="s">
        <v>112</v>
      </c>
      <c r="E1060" t="s">
        <v>110</v>
      </c>
      <c r="F1060">
        <v>53.403114431235117</v>
      </c>
      <c r="G1060">
        <v>2038</v>
      </c>
      <c r="H1060">
        <v>3</v>
      </c>
      <c r="I1060">
        <v>1</v>
      </c>
    </row>
    <row r="1061" spans="1:9" x14ac:dyDescent="0.35">
      <c r="A1061" t="str">
        <f t="shared" si="16"/>
        <v>DAhours_boughtS1203831</v>
      </c>
      <c r="C1061" t="s">
        <v>99</v>
      </c>
      <c r="D1061" t="s">
        <v>113</v>
      </c>
      <c r="E1061" t="s">
        <v>110</v>
      </c>
      <c r="F1061">
        <v>4507</v>
      </c>
      <c r="G1061">
        <v>2038</v>
      </c>
      <c r="H1061">
        <v>3</v>
      </c>
      <c r="I1061">
        <v>1</v>
      </c>
    </row>
    <row r="1062" spans="1:9" x14ac:dyDescent="0.35">
      <c r="A1062" t="str">
        <f t="shared" si="16"/>
        <v>DAhours_soldS1203831</v>
      </c>
      <c r="C1062" t="s">
        <v>99</v>
      </c>
      <c r="D1062" t="s">
        <v>114</v>
      </c>
      <c r="E1062" t="s">
        <v>110</v>
      </c>
      <c r="F1062">
        <v>126</v>
      </c>
      <c r="G1062">
        <v>2038</v>
      </c>
      <c r="H1062">
        <v>3</v>
      </c>
      <c r="I1062">
        <v>1</v>
      </c>
    </row>
    <row r="1063" spans="1:9" x14ac:dyDescent="0.35">
      <c r="A1063" t="str">
        <f t="shared" si="16"/>
        <v>DAco2_emissionS1203831</v>
      </c>
      <c r="C1063" t="s">
        <v>99</v>
      </c>
      <c r="D1063" t="s">
        <v>204</v>
      </c>
      <c r="E1063" t="s">
        <v>110</v>
      </c>
      <c r="F1063">
        <v>4984.0676831845312</v>
      </c>
      <c r="G1063">
        <v>2038</v>
      </c>
      <c r="H1063">
        <v>3</v>
      </c>
      <c r="I1063">
        <v>1</v>
      </c>
    </row>
    <row r="1064" spans="1:9" x14ac:dyDescent="0.35">
      <c r="A1064" t="str">
        <f t="shared" si="16"/>
        <v>fcrincomeS1203831</v>
      </c>
      <c r="C1064" t="s">
        <v>102</v>
      </c>
      <c r="D1064" t="s">
        <v>101</v>
      </c>
      <c r="E1064" t="s">
        <v>110</v>
      </c>
      <c r="F1064">
        <v>6.2502581734125147E-7</v>
      </c>
      <c r="G1064">
        <v>2038</v>
      </c>
      <c r="H1064">
        <v>3</v>
      </c>
      <c r="I1064">
        <v>1</v>
      </c>
    </row>
    <row r="1065" spans="1:9" x14ac:dyDescent="0.35">
      <c r="A1065" t="str">
        <f t="shared" si="16"/>
        <v>fcractivation_hoursS1203831</v>
      </c>
      <c r="C1065" t="s">
        <v>102</v>
      </c>
      <c r="D1065" t="s">
        <v>115</v>
      </c>
      <c r="E1065" t="s">
        <v>110</v>
      </c>
      <c r="F1065">
        <v>0</v>
      </c>
      <c r="G1065">
        <v>2038</v>
      </c>
      <c r="H1065">
        <v>3</v>
      </c>
      <c r="I1065">
        <v>1</v>
      </c>
    </row>
    <row r="1066" spans="1:9" x14ac:dyDescent="0.35">
      <c r="A1066" t="str">
        <f t="shared" si="16"/>
        <v>afrrincomeS1203831</v>
      </c>
      <c r="C1066" t="s">
        <v>103</v>
      </c>
      <c r="D1066" t="s">
        <v>101</v>
      </c>
      <c r="E1066" t="s">
        <v>110</v>
      </c>
      <c r="F1066">
        <v>63596.856752855849</v>
      </c>
      <c r="G1066">
        <v>2038</v>
      </c>
      <c r="H1066">
        <v>3</v>
      </c>
      <c r="I1066">
        <v>1</v>
      </c>
    </row>
    <row r="1067" spans="1:9" x14ac:dyDescent="0.35">
      <c r="A1067" t="str">
        <f t="shared" si="16"/>
        <v>afrractivation_hoursS1203831</v>
      </c>
      <c r="C1067" t="s">
        <v>103</v>
      </c>
      <c r="D1067" t="s">
        <v>115</v>
      </c>
      <c r="E1067" t="s">
        <v>110</v>
      </c>
      <c r="F1067">
        <v>8604</v>
      </c>
      <c r="G1067">
        <v>2038</v>
      </c>
      <c r="H1067">
        <v>3</v>
      </c>
      <c r="I1067">
        <v>1</v>
      </c>
    </row>
    <row r="1068" spans="1:9" x14ac:dyDescent="0.35">
      <c r="A1068" t="str">
        <f t="shared" si="16"/>
        <v>networkturpe_power_costS1203931</v>
      </c>
      <c r="C1068" t="s">
        <v>96</v>
      </c>
      <c r="D1068" t="s">
        <v>97</v>
      </c>
      <c r="E1068" t="s">
        <v>110</v>
      </c>
      <c r="F1068">
        <v>2822.8812743063459</v>
      </c>
      <c r="G1068">
        <v>2039</v>
      </c>
      <c r="H1068">
        <v>3</v>
      </c>
      <c r="I1068">
        <v>1</v>
      </c>
    </row>
    <row r="1069" spans="1:9" x14ac:dyDescent="0.35">
      <c r="A1069" t="str">
        <f t="shared" si="16"/>
        <v>networkturpe_energy_costS1203931</v>
      </c>
      <c r="C1069" t="s">
        <v>96</v>
      </c>
      <c r="D1069" t="s">
        <v>98</v>
      </c>
      <c r="E1069" t="s">
        <v>110</v>
      </c>
      <c r="F1069">
        <v>878.23194190752383</v>
      </c>
      <c r="G1069">
        <v>2039</v>
      </c>
      <c r="H1069">
        <v>3</v>
      </c>
      <c r="I1069">
        <v>1</v>
      </c>
    </row>
    <row r="1070" spans="1:9" x14ac:dyDescent="0.35">
      <c r="A1070" t="str">
        <f t="shared" si="16"/>
        <v>DAcostS1203931</v>
      </c>
      <c r="B1070" t="s">
        <v>95</v>
      </c>
      <c r="C1070" t="s">
        <v>99</v>
      </c>
      <c r="D1070" t="s">
        <v>100</v>
      </c>
      <c r="E1070" t="s">
        <v>110</v>
      </c>
      <c r="F1070">
        <v>2421.8083359056618</v>
      </c>
      <c r="G1070">
        <v>2039</v>
      </c>
      <c r="H1070">
        <v>3</v>
      </c>
      <c r="I1070">
        <v>1</v>
      </c>
    </row>
    <row r="1071" spans="1:9" x14ac:dyDescent="0.35">
      <c r="A1071" t="str">
        <f t="shared" si="16"/>
        <v>DAincomeS1203931</v>
      </c>
      <c r="B1071" t="s">
        <v>95</v>
      </c>
      <c r="C1071" t="s">
        <v>99</v>
      </c>
      <c r="D1071" t="s">
        <v>101</v>
      </c>
      <c r="E1071" t="s">
        <v>110</v>
      </c>
      <c r="F1071">
        <v>4887.2552917228049</v>
      </c>
      <c r="G1071">
        <v>2039</v>
      </c>
      <c r="H1071">
        <v>3</v>
      </c>
      <c r="I1071">
        <v>1</v>
      </c>
    </row>
    <row r="1072" spans="1:9" x14ac:dyDescent="0.35">
      <c r="A1072" t="str">
        <f t="shared" si="16"/>
        <v>DAenergy_boughtS1203931</v>
      </c>
      <c r="C1072" t="s">
        <v>99</v>
      </c>
      <c r="D1072" t="s">
        <v>111</v>
      </c>
      <c r="E1072" t="s">
        <v>110</v>
      </c>
      <c r="F1072">
        <v>59.009134199659051</v>
      </c>
      <c r="G1072">
        <v>2039</v>
      </c>
      <c r="H1072">
        <v>3</v>
      </c>
      <c r="I1072">
        <v>1</v>
      </c>
    </row>
    <row r="1073" spans="1:9" x14ac:dyDescent="0.35">
      <c r="A1073" t="str">
        <f t="shared" si="16"/>
        <v>DAenergy_soldS1203931</v>
      </c>
      <c r="C1073" t="s">
        <v>99</v>
      </c>
      <c r="D1073" t="s">
        <v>112</v>
      </c>
      <c r="E1073" t="s">
        <v>110</v>
      </c>
      <c r="F1073">
        <v>43.634886943237419</v>
      </c>
      <c r="G1073">
        <v>2039</v>
      </c>
      <c r="H1073">
        <v>3</v>
      </c>
      <c r="I1073">
        <v>1</v>
      </c>
    </row>
    <row r="1074" spans="1:9" x14ac:dyDescent="0.35">
      <c r="A1074" t="str">
        <f t="shared" si="16"/>
        <v>DAhours_boughtS1203931</v>
      </c>
      <c r="C1074" t="s">
        <v>99</v>
      </c>
      <c r="D1074" t="s">
        <v>113</v>
      </c>
      <c r="E1074" t="s">
        <v>110</v>
      </c>
      <c r="F1074">
        <v>4850</v>
      </c>
      <c r="G1074">
        <v>2039</v>
      </c>
      <c r="H1074">
        <v>3</v>
      </c>
      <c r="I1074">
        <v>1</v>
      </c>
    </row>
    <row r="1075" spans="1:9" x14ac:dyDescent="0.35">
      <c r="A1075" t="str">
        <f t="shared" si="16"/>
        <v>DAhours_soldS1203931</v>
      </c>
      <c r="C1075" t="s">
        <v>99</v>
      </c>
      <c r="D1075" t="s">
        <v>114</v>
      </c>
      <c r="E1075" t="s">
        <v>110</v>
      </c>
      <c r="F1075">
        <v>103</v>
      </c>
      <c r="G1075">
        <v>2039</v>
      </c>
      <c r="H1075">
        <v>3</v>
      </c>
      <c r="I1075">
        <v>1</v>
      </c>
    </row>
    <row r="1076" spans="1:9" x14ac:dyDescent="0.35">
      <c r="A1076" t="str">
        <f t="shared" si="16"/>
        <v>DAco2_emissionS1203931</v>
      </c>
      <c r="C1076" t="s">
        <v>99</v>
      </c>
      <c r="D1076" t="s">
        <v>204</v>
      </c>
      <c r="E1076" t="s">
        <v>110</v>
      </c>
      <c r="F1076">
        <v>4130.6393939761529</v>
      </c>
      <c r="G1076">
        <v>2039</v>
      </c>
      <c r="H1076">
        <v>3</v>
      </c>
      <c r="I1076">
        <v>1</v>
      </c>
    </row>
    <row r="1077" spans="1:9" x14ac:dyDescent="0.35">
      <c r="A1077" t="str">
        <f t="shared" si="16"/>
        <v>fcrincomeS1203931</v>
      </c>
      <c r="C1077" t="s">
        <v>102</v>
      </c>
      <c r="D1077" t="s">
        <v>101</v>
      </c>
      <c r="E1077" t="s">
        <v>110</v>
      </c>
      <c r="F1077">
        <v>0</v>
      </c>
      <c r="G1077">
        <v>2039</v>
      </c>
      <c r="H1077">
        <v>3</v>
      </c>
      <c r="I1077">
        <v>1</v>
      </c>
    </row>
    <row r="1078" spans="1:9" x14ac:dyDescent="0.35">
      <c r="A1078" t="str">
        <f t="shared" si="16"/>
        <v>fcractivation_hoursS1203931</v>
      </c>
      <c r="C1078" t="s">
        <v>102</v>
      </c>
      <c r="D1078" t="s">
        <v>115</v>
      </c>
      <c r="E1078" t="s">
        <v>110</v>
      </c>
      <c r="F1078">
        <v>0</v>
      </c>
      <c r="G1078">
        <v>2039</v>
      </c>
      <c r="H1078">
        <v>3</v>
      </c>
      <c r="I1078">
        <v>1</v>
      </c>
    </row>
    <row r="1079" spans="1:9" x14ac:dyDescent="0.35">
      <c r="A1079" t="str">
        <f t="shared" si="16"/>
        <v>afrrincomeS1203931</v>
      </c>
      <c r="C1079" t="s">
        <v>103</v>
      </c>
      <c r="D1079" t="s">
        <v>101</v>
      </c>
      <c r="E1079" t="s">
        <v>110</v>
      </c>
      <c r="F1079">
        <v>63926.382581432503</v>
      </c>
      <c r="G1079">
        <v>2039</v>
      </c>
      <c r="H1079">
        <v>3</v>
      </c>
      <c r="I1079">
        <v>1</v>
      </c>
    </row>
    <row r="1080" spans="1:9" x14ac:dyDescent="0.35">
      <c r="A1080" t="str">
        <f t="shared" si="16"/>
        <v>afrractivation_hoursS1203931</v>
      </c>
      <c r="C1080" t="s">
        <v>103</v>
      </c>
      <c r="D1080" t="s">
        <v>115</v>
      </c>
      <c r="E1080" t="s">
        <v>110</v>
      </c>
      <c r="F1080">
        <v>8620</v>
      </c>
      <c r="G1080">
        <v>2039</v>
      </c>
      <c r="H1080">
        <v>3</v>
      </c>
      <c r="I1080">
        <v>1</v>
      </c>
    </row>
    <row r="1081" spans="1:9" x14ac:dyDescent="0.35">
      <c r="A1081" t="str">
        <f t="shared" si="16"/>
        <v>networkturpe_power_costS1204031</v>
      </c>
      <c r="C1081" t="s">
        <v>96</v>
      </c>
      <c r="D1081" t="s">
        <v>97</v>
      </c>
      <c r="E1081" t="s">
        <v>110</v>
      </c>
      <c r="F1081">
        <v>2834.179013649813</v>
      </c>
      <c r="G1081">
        <v>2040</v>
      </c>
      <c r="H1081">
        <v>3</v>
      </c>
      <c r="I1081">
        <v>1</v>
      </c>
    </row>
    <row r="1082" spans="1:9" x14ac:dyDescent="0.35">
      <c r="A1082" t="str">
        <f t="shared" si="16"/>
        <v>networkturpe_energy_costS1204031</v>
      </c>
      <c r="B1082" t="s">
        <v>95</v>
      </c>
      <c r="C1082" t="s">
        <v>96</v>
      </c>
      <c r="D1082" t="s">
        <v>98</v>
      </c>
      <c r="E1082" t="s">
        <v>110</v>
      </c>
      <c r="F1082">
        <v>2228.0259819428829</v>
      </c>
      <c r="G1082">
        <v>2040</v>
      </c>
      <c r="H1082">
        <v>3</v>
      </c>
      <c r="I1082">
        <v>1</v>
      </c>
    </row>
    <row r="1083" spans="1:9" x14ac:dyDescent="0.35">
      <c r="A1083" t="str">
        <f t="shared" si="16"/>
        <v>DAcostS1204031</v>
      </c>
      <c r="B1083" t="s">
        <v>95</v>
      </c>
      <c r="C1083" t="s">
        <v>99</v>
      </c>
      <c r="D1083" t="s">
        <v>100</v>
      </c>
      <c r="E1083" t="s">
        <v>110</v>
      </c>
      <c r="F1083">
        <v>5540.3557022175892</v>
      </c>
      <c r="G1083">
        <v>2040</v>
      </c>
      <c r="H1083">
        <v>3</v>
      </c>
      <c r="I1083">
        <v>1</v>
      </c>
    </row>
    <row r="1084" spans="1:9" x14ac:dyDescent="0.35">
      <c r="A1084" t="str">
        <f t="shared" si="16"/>
        <v>DAincomeS1204031</v>
      </c>
      <c r="C1084" t="s">
        <v>99</v>
      </c>
      <c r="D1084" t="s">
        <v>101</v>
      </c>
      <c r="E1084" t="s">
        <v>110</v>
      </c>
      <c r="F1084">
        <v>12285.87037841553</v>
      </c>
      <c r="G1084">
        <v>2040</v>
      </c>
      <c r="H1084">
        <v>3</v>
      </c>
      <c r="I1084">
        <v>1</v>
      </c>
    </row>
    <row r="1085" spans="1:9" x14ac:dyDescent="0.35">
      <c r="A1085" t="str">
        <f t="shared" si="16"/>
        <v>DAenergy_boughtS1204031</v>
      </c>
      <c r="C1085" t="s">
        <v>99</v>
      </c>
      <c r="D1085" t="s">
        <v>111</v>
      </c>
      <c r="E1085" t="s">
        <v>110</v>
      </c>
      <c r="F1085">
        <v>142.99304906276839</v>
      </c>
      <c r="G1085">
        <v>2040</v>
      </c>
      <c r="H1085">
        <v>3</v>
      </c>
      <c r="I1085">
        <v>1</v>
      </c>
    </row>
    <row r="1086" spans="1:9" x14ac:dyDescent="0.35">
      <c r="A1086" t="str">
        <f t="shared" si="16"/>
        <v>DAenergy_soldS1204031</v>
      </c>
      <c r="C1086" t="s">
        <v>99</v>
      </c>
      <c r="D1086" t="s">
        <v>112</v>
      </c>
      <c r="E1086" t="s">
        <v>110</v>
      </c>
      <c r="F1086">
        <v>111.6739692639795</v>
      </c>
      <c r="G1086">
        <v>2040</v>
      </c>
      <c r="H1086">
        <v>3</v>
      </c>
      <c r="I1086">
        <v>1</v>
      </c>
    </row>
    <row r="1087" spans="1:9" x14ac:dyDescent="0.35">
      <c r="A1087" t="str">
        <f t="shared" si="16"/>
        <v>DAhours_boughtS1204031</v>
      </c>
      <c r="C1087" t="s">
        <v>99</v>
      </c>
      <c r="D1087" t="s">
        <v>113</v>
      </c>
      <c r="E1087" t="s">
        <v>110</v>
      </c>
      <c r="F1087">
        <v>3704</v>
      </c>
      <c r="G1087">
        <v>2040</v>
      </c>
      <c r="H1087">
        <v>3</v>
      </c>
      <c r="I1087">
        <v>1</v>
      </c>
    </row>
    <row r="1088" spans="1:9" x14ac:dyDescent="0.35">
      <c r="A1088" t="str">
        <f t="shared" si="16"/>
        <v>DAhours_soldS1204031</v>
      </c>
      <c r="C1088" t="s">
        <v>99</v>
      </c>
      <c r="D1088" t="s">
        <v>114</v>
      </c>
      <c r="E1088" t="s">
        <v>110</v>
      </c>
      <c r="F1088">
        <v>223</v>
      </c>
      <c r="G1088">
        <v>2040</v>
      </c>
      <c r="H1088">
        <v>3</v>
      </c>
      <c r="I1088">
        <v>1</v>
      </c>
    </row>
    <row r="1089" spans="1:9" x14ac:dyDescent="0.35">
      <c r="A1089" t="str">
        <f t="shared" si="16"/>
        <v>DAco2_emissionS1204031</v>
      </c>
      <c r="C1089" t="s">
        <v>99</v>
      </c>
      <c r="D1089" t="s">
        <v>204</v>
      </c>
      <c r="E1089" t="s">
        <v>110</v>
      </c>
      <c r="F1089">
        <v>10009.513434393461</v>
      </c>
      <c r="G1089">
        <v>2040</v>
      </c>
      <c r="H1089">
        <v>3</v>
      </c>
      <c r="I1089">
        <v>1</v>
      </c>
    </row>
    <row r="1090" spans="1:9" x14ac:dyDescent="0.35">
      <c r="A1090" t="str">
        <f t="shared" si="16"/>
        <v>fcrincomeS1204031</v>
      </c>
      <c r="C1090" t="s">
        <v>102</v>
      </c>
      <c r="D1090" t="s">
        <v>101</v>
      </c>
      <c r="E1090" t="s">
        <v>110</v>
      </c>
      <c r="F1090">
        <v>0.30918662728835211</v>
      </c>
      <c r="G1090">
        <v>2040</v>
      </c>
      <c r="H1090">
        <v>3</v>
      </c>
      <c r="I1090">
        <v>1</v>
      </c>
    </row>
    <row r="1091" spans="1:9" x14ac:dyDescent="0.35">
      <c r="A1091" t="str">
        <f t="shared" ref="A1091:A1154" si="17">C1091&amp;D1091&amp;E1091&amp;G1091&amp;H1091&amp;I1091</f>
        <v>fcractivation_hoursS1204031</v>
      </c>
      <c r="C1091" t="s">
        <v>102</v>
      </c>
      <c r="D1091" t="s">
        <v>115</v>
      </c>
      <c r="E1091" t="s">
        <v>110</v>
      </c>
      <c r="F1091">
        <v>20</v>
      </c>
      <c r="G1091">
        <v>2040</v>
      </c>
      <c r="H1091">
        <v>3</v>
      </c>
      <c r="I1091">
        <v>1</v>
      </c>
    </row>
    <row r="1092" spans="1:9" x14ac:dyDescent="0.35">
      <c r="A1092" t="str">
        <f t="shared" si="17"/>
        <v>afrrincomeS1204031</v>
      </c>
      <c r="C1092" t="s">
        <v>103</v>
      </c>
      <c r="D1092" t="s">
        <v>101</v>
      </c>
      <c r="E1092" t="s">
        <v>110</v>
      </c>
      <c r="F1092">
        <v>44571.025339915941</v>
      </c>
      <c r="G1092">
        <v>2040</v>
      </c>
      <c r="H1092">
        <v>3</v>
      </c>
      <c r="I1092">
        <v>1</v>
      </c>
    </row>
    <row r="1093" spans="1:9" x14ac:dyDescent="0.35">
      <c r="A1093" t="str">
        <f t="shared" si="17"/>
        <v>afrractivation_hoursS1204031</v>
      </c>
      <c r="C1093" t="s">
        <v>103</v>
      </c>
      <c r="D1093" t="s">
        <v>115</v>
      </c>
      <c r="E1093" t="s">
        <v>110</v>
      </c>
      <c r="F1093">
        <v>8386</v>
      </c>
      <c r="G1093">
        <v>2040</v>
      </c>
      <c r="H1093">
        <v>3</v>
      </c>
      <c r="I1093">
        <v>1</v>
      </c>
    </row>
    <row r="1094" spans="1:9" x14ac:dyDescent="0.35">
      <c r="A1094" t="str">
        <f t="shared" si="17"/>
        <v>networkturpe_power_costS1204131</v>
      </c>
      <c r="B1094" t="s">
        <v>95</v>
      </c>
      <c r="C1094" t="s">
        <v>96</v>
      </c>
      <c r="D1094" t="s">
        <v>97</v>
      </c>
      <c r="E1094" t="s">
        <v>110</v>
      </c>
      <c r="F1094">
        <v>2915.3771444937051</v>
      </c>
      <c r="G1094">
        <v>2041</v>
      </c>
      <c r="H1094">
        <v>3</v>
      </c>
      <c r="I1094">
        <v>1</v>
      </c>
    </row>
    <row r="1095" spans="1:9" x14ac:dyDescent="0.35">
      <c r="A1095" t="str">
        <f t="shared" si="17"/>
        <v>networkturpe_energy_costS1204131</v>
      </c>
      <c r="B1095" t="s">
        <v>95</v>
      </c>
      <c r="C1095" t="s">
        <v>96</v>
      </c>
      <c r="D1095" t="s">
        <v>98</v>
      </c>
      <c r="E1095" t="s">
        <v>110</v>
      </c>
      <c r="F1095">
        <v>3256.0907007489491</v>
      </c>
      <c r="G1095">
        <v>2041</v>
      </c>
      <c r="H1095">
        <v>3</v>
      </c>
      <c r="I1095">
        <v>1</v>
      </c>
    </row>
    <row r="1096" spans="1:9" x14ac:dyDescent="0.35">
      <c r="A1096" t="str">
        <f t="shared" si="17"/>
        <v>DAcostS1204131</v>
      </c>
      <c r="C1096" t="s">
        <v>99</v>
      </c>
      <c r="D1096" t="s">
        <v>100</v>
      </c>
      <c r="E1096" t="s">
        <v>110</v>
      </c>
      <c r="F1096">
        <v>8144.3750547276441</v>
      </c>
      <c r="G1096">
        <v>2041</v>
      </c>
      <c r="H1096">
        <v>3</v>
      </c>
      <c r="I1096">
        <v>1</v>
      </c>
    </row>
    <row r="1097" spans="1:9" x14ac:dyDescent="0.35">
      <c r="A1097" t="str">
        <f t="shared" si="17"/>
        <v>DAincomeS1204131</v>
      </c>
      <c r="C1097" t="s">
        <v>99</v>
      </c>
      <c r="D1097" t="s">
        <v>101</v>
      </c>
      <c r="E1097" t="s">
        <v>110</v>
      </c>
      <c r="F1097">
        <v>17867.837738130609</v>
      </c>
      <c r="G1097">
        <v>2041</v>
      </c>
      <c r="H1097">
        <v>3</v>
      </c>
      <c r="I1097">
        <v>1</v>
      </c>
    </row>
    <row r="1098" spans="1:9" x14ac:dyDescent="0.35">
      <c r="A1098" t="str">
        <f t="shared" si="17"/>
        <v>DAenergy_boughtS1204131</v>
      </c>
      <c r="C1098" t="s">
        <v>99</v>
      </c>
      <c r="D1098" t="s">
        <v>111</v>
      </c>
      <c r="E1098" t="s">
        <v>110</v>
      </c>
      <c r="F1098">
        <v>207.6033447895384</v>
      </c>
      <c r="G1098">
        <v>2041</v>
      </c>
      <c r="H1098">
        <v>3</v>
      </c>
      <c r="I1098">
        <v>1</v>
      </c>
    </row>
    <row r="1099" spans="1:9" x14ac:dyDescent="0.35">
      <c r="A1099" t="str">
        <f t="shared" si="17"/>
        <v>DAenergy_soldS1204131</v>
      </c>
      <c r="C1099" t="s">
        <v>99</v>
      </c>
      <c r="D1099" t="s">
        <v>112</v>
      </c>
      <c r="E1099" t="s">
        <v>110</v>
      </c>
      <c r="F1099">
        <v>164.17868813046991</v>
      </c>
      <c r="G1099">
        <v>2041</v>
      </c>
      <c r="H1099">
        <v>3</v>
      </c>
      <c r="I1099">
        <v>1</v>
      </c>
    </row>
    <row r="1100" spans="1:9" x14ac:dyDescent="0.35">
      <c r="A1100" t="str">
        <f t="shared" si="17"/>
        <v>DAhours_boughtS1204131</v>
      </c>
      <c r="C1100" t="s">
        <v>99</v>
      </c>
      <c r="D1100" t="s">
        <v>113</v>
      </c>
      <c r="E1100" t="s">
        <v>110</v>
      </c>
      <c r="F1100">
        <v>3758</v>
      </c>
      <c r="G1100">
        <v>2041</v>
      </c>
      <c r="H1100">
        <v>3</v>
      </c>
      <c r="I1100">
        <v>1</v>
      </c>
    </row>
    <row r="1101" spans="1:9" x14ac:dyDescent="0.35">
      <c r="A1101" t="str">
        <f t="shared" si="17"/>
        <v>DAhours_soldS1204131</v>
      </c>
      <c r="C1101" t="s">
        <v>99</v>
      </c>
      <c r="D1101" t="s">
        <v>114</v>
      </c>
      <c r="E1101" t="s">
        <v>110</v>
      </c>
      <c r="F1101">
        <v>254</v>
      </c>
      <c r="G1101">
        <v>2041</v>
      </c>
      <c r="H1101">
        <v>3</v>
      </c>
      <c r="I1101">
        <v>1</v>
      </c>
    </row>
    <row r="1102" spans="1:9" x14ac:dyDescent="0.35">
      <c r="A1102" t="str">
        <f t="shared" si="17"/>
        <v>DAco2_emissionS1204131</v>
      </c>
      <c r="C1102" t="s">
        <v>99</v>
      </c>
      <c r="D1102" t="s">
        <v>204</v>
      </c>
      <c r="E1102" t="s">
        <v>110</v>
      </c>
      <c r="F1102">
        <v>14532.234135267699</v>
      </c>
      <c r="G1102">
        <v>2041</v>
      </c>
      <c r="H1102">
        <v>3</v>
      </c>
      <c r="I1102">
        <v>1</v>
      </c>
    </row>
    <row r="1103" spans="1:9" x14ac:dyDescent="0.35">
      <c r="A1103" t="str">
        <f t="shared" si="17"/>
        <v>fcrincomeS1204131</v>
      </c>
      <c r="C1103" t="s">
        <v>102</v>
      </c>
      <c r="D1103" t="s">
        <v>101</v>
      </c>
      <c r="E1103" t="s">
        <v>110</v>
      </c>
      <c r="F1103">
        <v>1.5861595678044049</v>
      </c>
      <c r="G1103">
        <v>2041</v>
      </c>
      <c r="H1103">
        <v>3</v>
      </c>
      <c r="I1103">
        <v>1</v>
      </c>
    </row>
    <row r="1104" spans="1:9" x14ac:dyDescent="0.35">
      <c r="A1104" t="str">
        <f t="shared" si="17"/>
        <v>fcractivation_hoursS1204131</v>
      </c>
      <c r="C1104" t="s">
        <v>102</v>
      </c>
      <c r="D1104" t="s">
        <v>115</v>
      </c>
      <c r="E1104" t="s">
        <v>110</v>
      </c>
      <c r="F1104">
        <v>20</v>
      </c>
      <c r="G1104">
        <v>2041</v>
      </c>
      <c r="H1104">
        <v>3</v>
      </c>
      <c r="I1104">
        <v>1</v>
      </c>
    </row>
    <row r="1105" spans="1:9" x14ac:dyDescent="0.35">
      <c r="A1105" t="str">
        <f t="shared" si="17"/>
        <v>afrrincomeS1204131</v>
      </c>
      <c r="C1105" t="s">
        <v>103</v>
      </c>
      <c r="D1105" t="s">
        <v>101</v>
      </c>
      <c r="E1105" t="s">
        <v>110</v>
      </c>
      <c r="F1105">
        <v>39875.767039981984</v>
      </c>
      <c r="G1105">
        <v>2041</v>
      </c>
      <c r="H1105">
        <v>3</v>
      </c>
      <c r="I1105">
        <v>1</v>
      </c>
    </row>
    <row r="1106" spans="1:9" x14ac:dyDescent="0.35">
      <c r="A1106" t="str">
        <f t="shared" si="17"/>
        <v>afrractivation_hoursS1204131</v>
      </c>
      <c r="B1106" t="s">
        <v>95</v>
      </c>
      <c r="C1106" t="s">
        <v>103</v>
      </c>
      <c r="D1106" t="s">
        <v>115</v>
      </c>
      <c r="E1106" t="s">
        <v>110</v>
      </c>
      <c r="F1106">
        <v>8169</v>
      </c>
      <c r="G1106">
        <v>2041</v>
      </c>
      <c r="H1106">
        <v>3</v>
      </c>
      <c r="I1106">
        <v>1</v>
      </c>
    </row>
    <row r="1107" spans="1:9" x14ac:dyDescent="0.35">
      <c r="A1107" t="str">
        <f t="shared" si="17"/>
        <v>networkturpe_power_costS1202532</v>
      </c>
      <c r="B1107" t="s">
        <v>95</v>
      </c>
      <c r="C1107" t="s">
        <v>96</v>
      </c>
      <c r="D1107" t="s">
        <v>97</v>
      </c>
      <c r="E1107" t="s">
        <v>110</v>
      </c>
      <c r="F1107">
        <v>6221.4257876597967</v>
      </c>
      <c r="G1107">
        <v>2025</v>
      </c>
      <c r="H1107">
        <v>3</v>
      </c>
      <c r="I1107">
        <v>2</v>
      </c>
    </row>
    <row r="1108" spans="1:9" x14ac:dyDescent="0.35">
      <c r="A1108" t="str">
        <f t="shared" si="17"/>
        <v>networkturpe_energy_costS1202532</v>
      </c>
      <c r="C1108" t="s">
        <v>96</v>
      </c>
      <c r="D1108" t="s">
        <v>98</v>
      </c>
      <c r="E1108" t="s">
        <v>110</v>
      </c>
      <c r="F1108">
        <v>6181.3113812696683</v>
      </c>
      <c r="G1108">
        <v>2025</v>
      </c>
      <c r="H1108">
        <v>3</v>
      </c>
      <c r="I1108">
        <v>2</v>
      </c>
    </row>
    <row r="1109" spans="1:9" x14ac:dyDescent="0.35">
      <c r="A1109" t="str">
        <f t="shared" si="17"/>
        <v>DAcostS1202532</v>
      </c>
      <c r="C1109" t="s">
        <v>99</v>
      </c>
      <c r="D1109" t="s">
        <v>100</v>
      </c>
      <c r="E1109" t="s">
        <v>110</v>
      </c>
      <c r="F1109">
        <v>56072.26806121986</v>
      </c>
      <c r="G1109">
        <v>2025</v>
      </c>
      <c r="H1109">
        <v>3</v>
      </c>
      <c r="I1109">
        <v>2</v>
      </c>
    </row>
    <row r="1110" spans="1:9" x14ac:dyDescent="0.35">
      <c r="A1110" t="str">
        <f t="shared" si="17"/>
        <v>DAincomeS1202532</v>
      </c>
      <c r="C1110" t="s">
        <v>99</v>
      </c>
      <c r="D1110" t="s">
        <v>101</v>
      </c>
      <c r="E1110" t="s">
        <v>110</v>
      </c>
      <c r="F1110">
        <v>70749.711649804798</v>
      </c>
      <c r="G1110">
        <v>2025</v>
      </c>
      <c r="H1110">
        <v>3</v>
      </c>
      <c r="I1110">
        <v>2</v>
      </c>
    </row>
    <row r="1111" spans="1:9" x14ac:dyDescent="0.35">
      <c r="A1111" t="str">
        <f t="shared" si="17"/>
        <v>DAenergy_boughtS1202532</v>
      </c>
      <c r="C1111" t="s">
        <v>99</v>
      </c>
      <c r="D1111" t="s">
        <v>111</v>
      </c>
      <c r="E1111" t="s">
        <v>110</v>
      </c>
      <c r="F1111">
        <v>397.30386074330391</v>
      </c>
      <c r="G1111">
        <v>2025</v>
      </c>
      <c r="H1111">
        <v>3</v>
      </c>
      <c r="I1111">
        <v>2</v>
      </c>
    </row>
    <row r="1112" spans="1:9" x14ac:dyDescent="0.35">
      <c r="A1112" t="str">
        <f t="shared" si="17"/>
        <v>DAenergy_soldS1202532</v>
      </c>
      <c r="C1112" t="s">
        <v>99</v>
      </c>
      <c r="D1112" t="s">
        <v>112</v>
      </c>
      <c r="E1112" t="s">
        <v>110</v>
      </c>
      <c r="F1112">
        <v>311.28322550742263</v>
      </c>
      <c r="G1112">
        <v>2025</v>
      </c>
      <c r="H1112">
        <v>3</v>
      </c>
      <c r="I1112">
        <v>2</v>
      </c>
    </row>
    <row r="1113" spans="1:9" x14ac:dyDescent="0.35">
      <c r="A1113" t="str">
        <f t="shared" si="17"/>
        <v>DAhours_boughtS1202532</v>
      </c>
      <c r="C1113" t="s">
        <v>99</v>
      </c>
      <c r="D1113" t="s">
        <v>113</v>
      </c>
      <c r="E1113" t="s">
        <v>110</v>
      </c>
      <c r="F1113">
        <v>930</v>
      </c>
      <c r="G1113">
        <v>2025</v>
      </c>
      <c r="H1113">
        <v>3</v>
      </c>
      <c r="I1113">
        <v>2</v>
      </c>
    </row>
    <row r="1114" spans="1:9" x14ac:dyDescent="0.35">
      <c r="A1114" t="str">
        <f t="shared" si="17"/>
        <v>DAhours_soldS1202532</v>
      </c>
      <c r="C1114" t="s">
        <v>99</v>
      </c>
      <c r="D1114" t="s">
        <v>114</v>
      </c>
      <c r="E1114" t="s">
        <v>110</v>
      </c>
      <c r="F1114">
        <v>182</v>
      </c>
      <c r="G1114">
        <v>2025</v>
      </c>
      <c r="H1114">
        <v>3</v>
      </c>
      <c r="I1114">
        <v>2</v>
      </c>
    </row>
    <row r="1115" spans="1:9" x14ac:dyDescent="0.35">
      <c r="A1115" t="str">
        <f t="shared" si="17"/>
        <v>DAco2_emissionS1202532</v>
      </c>
      <c r="C1115" t="s">
        <v>99</v>
      </c>
      <c r="D1115" t="s">
        <v>204</v>
      </c>
      <c r="E1115" t="s">
        <v>110</v>
      </c>
      <c r="F1115">
        <v>27811.27025203194</v>
      </c>
      <c r="G1115">
        <v>2025</v>
      </c>
      <c r="H1115">
        <v>3</v>
      </c>
      <c r="I1115">
        <v>2</v>
      </c>
    </row>
    <row r="1116" spans="1:9" x14ac:dyDescent="0.35">
      <c r="A1116" t="str">
        <f t="shared" si="17"/>
        <v>fcrincomeS1202532</v>
      </c>
      <c r="C1116" t="s">
        <v>102</v>
      </c>
      <c r="D1116" t="s">
        <v>101</v>
      </c>
      <c r="E1116" t="s">
        <v>110</v>
      </c>
      <c r="F1116">
        <v>0</v>
      </c>
      <c r="G1116">
        <v>2025</v>
      </c>
      <c r="H1116">
        <v>3</v>
      </c>
      <c r="I1116">
        <v>2</v>
      </c>
    </row>
    <row r="1117" spans="1:9" x14ac:dyDescent="0.35">
      <c r="A1117" t="str">
        <f t="shared" si="17"/>
        <v>fcractivation_hoursS1202532</v>
      </c>
      <c r="C1117" t="s">
        <v>102</v>
      </c>
      <c r="D1117" t="s">
        <v>115</v>
      </c>
      <c r="E1117" t="s">
        <v>110</v>
      </c>
      <c r="F1117">
        <v>0</v>
      </c>
      <c r="G1117">
        <v>2025</v>
      </c>
      <c r="H1117">
        <v>3</v>
      </c>
      <c r="I1117">
        <v>2</v>
      </c>
    </row>
    <row r="1118" spans="1:9" x14ac:dyDescent="0.35">
      <c r="A1118" t="str">
        <f t="shared" si="17"/>
        <v>afrrincomeS1202532</v>
      </c>
      <c r="B1118" t="s">
        <v>95</v>
      </c>
      <c r="C1118" t="s">
        <v>103</v>
      </c>
      <c r="D1118" t="s">
        <v>101</v>
      </c>
      <c r="E1118" t="s">
        <v>110</v>
      </c>
      <c r="F1118">
        <v>150403.32711530081</v>
      </c>
      <c r="G1118">
        <v>2025</v>
      </c>
      <c r="H1118">
        <v>3</v>
      </c>
      <c r="I1118">
        <v>2</v>
      </c>
    </row>
    <row r="1119" spans="1:9" x14ac:dyDescent="0.35">
      <c r="A1119" t="str">
        <f t="shared" si="17"/>
        <v>afrractivation_hoursS1202532</v>
      </c>
      <c r="B1119" t="s">
        <v>95</v>
      </c>
      <c r="C1119" t="s">
        <v>103</v>
      </c>
      <c r="D1119" t="s">
        <v>115</v>
      </c>
      <c r="E1119" t="s">
        <v>110</v>
      </c>
      <c r="F1119">
        <v>8736</v>
      </c>
      <c r="G1119">
        <v>2025</v>
      </c>
      <c r="H1119">
        <v>3</v>
      </c>
      <c r="I1119">
        <v>2</v>
      </c>
    </row>
    <row r="1120" spans="1:9" x14ac:dyDescent="0.35">
      <c r="A1120" t="str">
        <f t="shared" si="17"/>
        <v>networkturpe_power_costS1202632</v>
      </c>
      <c r="C1120" t="s">
        <v>96</v>
      </c>
      <c r="D1120" t="s">
        <v>97</v>
      </c>
      <c r="E1120" t="s">
        <v>110</v>
      </c>
      <c r="F1120">
        <v>5332.7090995863045</v>
      </c>
      <c r="G1120">
        <v>2026</v>
      </c>
      <c r="H1120">
        <v>3</v>
      </c>
      <c r="I1120">
        <v>2</v>
      </c>
    </row>
    <row r="1121" spans="1:9" x14ac:dyDescent="0.35">
      <c r="A1121" t="str">
        <f t="shared" si="17"/>
        <v>networkturpe_energy_costS1202632</v>
      </c>
      <c r="C1121" t="s">
        <v>96</v>
      </c>
      <c r="D1121" t="s">
        <v>98</v>
      </c>
      <c r="E1121" t="s">
        <v>110</v>
      </c>
      <c r="F1121">
        <v>3442.8581325124892</v>
      </c>
      <c r="G1121">
        <v>2026</v>
      </c>
      <c r="H1121">
        <v>3</v>
      </c>
      <c r="I1121">
        <v>2</v>
      </c>
    </row>
    <row r="1122" spans="1:9" x14ac:dyDescent="0.35">
      <c r="A1122" t="str">
        <f t="shared" si="17"/>
        <v>DAcostS1202632</v>
      </c>
      <c r="C1122" t="s">
        <v>99</v>
      </c>
      <c r="D1122" t="s">
        <v>100</v>
      </c>
      <c r="E1122" t="s">
        <v>110</v>
      </c>
      <c r="F1122">
        <v>28932.819501398972</v>
      </c>
      <c r="G1122">
        <v>2026</v>
      </c>
      <c r="H1122">
        <v>3</v>
      </c>
      <c r="I1122">
        <v>2</v>
      </c>
    </row>
    <row r="1123" spans="1:9" x14ac:dyDescent="0.35">
      <c r="A1123" t="str">
        <f t="shared" si="17"/>
        <v>DAincomeS1202632</v>
      </c>
      <c r="C1123" t="s">
        <v>99</v>
      </c>
      <c r="D1123" t="s">
        <v>101</v>
      </c>
      <c r="E1123" t="s">
        <v>110</v>
      </c>
      <c r="F1123">
        <v>36842.436353906029</v>
      </c>
      <c r="G1123">
        <v>2026</v>
      </c>
      <c r="H1123">
        <v>3</v>
      </c>
      <c r="I1123">
        <v>2</v>
      </c>
    </row>
    <row r="1124" spans="1:9" x14ac:dyDescent="0.35">
      <c r="A1124" t="str">
        <f t="shared" si="17"/>
        <v>DAenergy_boughtS1202632</v>
      </c>
      <c r="C1124" t="s">
        <v>99</v>
      </c>
      <c r="D1124" t="s">
        <v>111</v>
      </c>
      <c r="E1124" t="s">
        <v>110</v>
      </c>
      <c r="F1124">
        <v>231.55261507929089</v>
      </c>
      <c r="G1124">
        <v>2026</v>
      </c>
      <c r="H1124">
        <v>3</v>
      </c>
      <c r="I1124">
        <v>2</v>
      </c>
    </row>
    <row r="1125" spans="1:9" x14ac:dyDescent="0.35">
      <c r="A1125" t="str">
        <f t="shared" si="17"/>
        <v>DAenergy_soldS1202632</v>
      </c>
      <c r="C1125" t="s">
        <v>99</v>
      </c>
      <c r="D1125" t="s">
        <v>112</v>
      </c>
      <c r="E1125" t="s">
        <v>110</v>
      </c>
      <c r="F1125">
        <v>177.91729871348409</v>
      </c>
      <c r="G1125">
        <v>2026</v>
      </c>
      <c r="H1125">
        <v>3</v>
      </c>
      <c r="I1125">
        <v>2</v>
      </c>
    </row>
    <row r="1126" spans="1:9" x14ac:dyDescent="0.35">
      <c r="A1126" t="str">
        <f t="shared" si="17"/>
        <v>DAhours_boughtS1202632</v>
      </c>
      <c r="C1126" t="s">
        <v>99</v>
      </c>
      <c r="D1126" t="s">
        <v>113</v>
      </c>
      <c r="E1126" t="s">
        <v>110</v>
      </c>
      <c r="F1126">
        <v>815</v>
      </c>
      <c r="G1126">
        <v>2026</v>
      </c>
      <c r="H1126">
        <v>3</v>
      </c>
      <c r="I1126">
        <v>2</v>
      </c>
    </row>
    <row r="1127" spans="1:9" x14ac:dyDescent="0.35">
      <c r="A1127" t="str">
        <f t="shared" si="17"/>
        <v>DAhours_soldS1202632</v>
      </c>
      <c r="C1127" t="s">
        <v>99</v>
      </c>
      <c r="D1127" t="s">
        <v>114</v>
      </c>
      <c r="E1127" t="s">
        <v>110</v>
      </c>
      <c r="F1127">
        <v>124</v>
      </c>
      <c r="G1127">
        <v>2026</v>
      </c>
      <c r="H1127">
        <v>3</v>
      </c>
      <c r="I1127">
        <v>2</v>
      </c>
    </row>
    <row r="1128" spans="1:9" x14ac:dyDescent="0.35">
      <c r="A1128" t="str">
        <f t="shared" si="17"/>
        <v>DAco2_emissionS1202632</v>
      </c>
      <c r="C1128" t="s">
        <v>99</v>
      </c>
      <c r="D1128" t="s">
        <v>204</v>
      </c>
      <c r="E1128" t="s">
        <v>110</v>
      </c>
      <c r="F1128">
        <v>16208.68305555042</v>
      </c>
      <c r="G1128">
        <v>2026</v>
      </c>
      <c r="H1128">
        <v>3</v>
      </c>
      <c r="I1128">
        <v>2</v>
      </c>
    </row>
    <row r="1129" spans="1:9" x14ac:dyDescent="0.35">
      <c r="A1129" t="str">
        <f t="shared" si="17"/>
        <v>fcrincomeS1202632</v>
      </c>
      <c r="C1129" t="s">
        <v>102</v>
      </c>
      <c r="D1129" t="s">
        <v>101</v>
      </c>
      <c r="E1129" t="s">
        <v>110</v>
      </c>
      <c r="F1129">
        <v>0</v>
      </c>
      <c r="G1129">
        <v>2026</v>
      </c>
      <c r="H1129">
        <v>3</v>
      </c>
      <c r="I1129">
        <v>2</v>
      </c>
    </row>
    <row r="1130" spans="1:9" x14ac:dyDescent="0.35">
      <c r="A1130" t="str">
        <f t="shared" si="17"/>
        <v>fcractivation_hoursS1202632</v>
      </c>
      <c r="B1130" t="s">
        <v>95</v>
      </c>
      <c r="C1130" t="s">
        <v>102</v>
      </c>
      <c r="D1130" t="s">
        <v>115</v>
      </c>
      <c r="E1130" t="s">
        <v>110</v>
      </c>
      <c r="F1130">
        <v>0</v>
      </c>
      <c r="G1130">
        <v>2026</v>
      </c>
      <c r="H1130">
        <v>3</v>
      </c>
      <c r="I1130">
        <v>2</v>
      </c>
    </row>
    <row r="1131" spans="1:9" x14ac:dyDescent="0.35">
      <c r="A1131" t="str">
        <f t="shared" si="17"/>
        <v>afrrincomeS1202632</v>
      </c>
      <c r="B1131" t="s">
        <v>95</v>
      </c>
      <c r="C1131" t="s">
        <v>103</v>
      </c>
      <c r="D1131" t="s">
        <v>101</v>
      </c>
      <c r="E1131" t="s">
        <v>110</v>
      </c>
      <c r="F1131">
        <v>148086.37322591111</v>
      </c>
      <c r="G1131">
        <v>2026</v>
      </c>
      <c r="H1131">
        <v>3</v>
      </c>
      <c r="I1131">
        <v>2</v>
      </c>
    </row>
    <row r="1132" spans="1:9" x14ac:dyDescent="0.35">
      <c r="A1132" t="str">
        <f t="shared" si="17"/>
        <v>afrractivation_hoursS1202632</v>
      </c>
      <c r="C1132" t="s">
        <v>103</v>
      </c>
      <c r="D1132" t="s">
        <v>115</v>
      </c>
      <c r="E1132" t="s">
        <v>110</v>
      </c>
      <c r="F1132">
        <v>8746</v>
      </c>
      <c r="G1132">
        <v>2026</v>
      </c>
      <c r="H1132">
        <v>3</v>
      </c>
      <c r="I1132">
        <v>2</v>
      </c>
    </row>
    <row r="1133" spans="1:9" x14ac:dyDescent="0.35">
      <c r="A1133" t="str">
        <f t="shared" si="17"/>
        <v>networkturpe_power_costS1202732</v>
      </c>
      <c r="C1133" t="s">
        <v>96</v>
      </c>
      <c r="D1133" t="s">
        <v>97</v>
      </c>
      <c r="E1133" t="s">
        <v>110</v>
      </c>
      <c r="F1133">
        <v>6027.3601696090072</v>
      </c>
      <c r="G1133">
        <v>2027</v>
      </c>
      <c r="H1133">
        <v>3</v>
      </c>
      <c r="I1133">
        <v>2</v>
      </c>
    </row>
    <row r="1134" spans="1:9" x14ac:dyDescent="0.35">
      <c r="A1134" t="str">
        <f t="shared" si="17"/>
        <v>networkturpe_energy_costS1202732</v>
      </c>
      <c r="C1134" t="s">
        <v>96</v>
      </c>
      <c r="D1134" t="s">
        <v>98</v>
      </c>
      <c r="E1134" t="s">
        <v>110</v>
      </c>
      <c r="F1134">
        <v>5922.4774908603104</v>
      </c>
      <c r="G1134">
        <v>2027</v>
      </c>
      <c r="H1134">
        <v>3</v>
      </c>
      <c r="I1134">
        <v>2</v>
      </c>
    </row>
    <row r="1135" spans="1:9" x14ac:dyDescent="0.35">
      <c r="A1135" t="str">
        <f t="shared" si="17"/>
        <v>DAcostS1202732</v>
      </c>
      <c r="C1135" t="s">
        <v>99</v>
      </c>
      <c r="D1135" t="s">
        <v>100</v>
      </c>
      <c r="E1135" t="s">
        <v>110</v>
      </c>
      <c r="F1135">
        <v>39208.808742380977</v>
      </c>
      <c r="G1135">
        <v>2027</v>
      </c>
      <c r="H1135">
        <v>3</v>
      </c>
      <c r="I1135">
        <v>2</v>
      </c>
    </row>
    <row r="1136" spans="1:9" x14ac:dyDescent="0.35">
      <c r="A1136" t="str">
        <f t="shared" si="17"/>
        <v>DAincomeS1202732</v>
      </c>
      <c r="C1136" t="s">
        <v>99</v>
      </c>
      <c r="D1136" t="s">
        <v>101</v>
      </c>
      <c r="E1136" t="s">
        <v>110</v>
      </c>
      <c r="F1136">
        <v>53396.918885715357</v>
      </c>
      <c r="G1136">
        <v>2027</v>
      </c>
      <c r="H1136">
        <v>3</v>
      </c>
      <c r="I1136">
        <v>2</v>
      </c>
    </row>
    <row r="1137" spans="1:9" x14ac:dyDescent="0.35">
      <c r="A1137" t="str">
        <f t="shared" si="17"/>
        <v>DAenergy_boughtS1202732</v>
      </c>
      <c r="C1137" t="s">
        <v>99</v>
      </c>
      <c r="D1137" t="s">
        <v>111</v>
      </c>
      <c r="E1137" t="s">
        <v>110</v>
      </c>
      <c r="F1137">
        <v>402.97298893794789</v>
      </c>
      <c r="G1137">
        <v>2027</v>
      </c>
      <c r="H1137">
        <v>3</v>
      </c>
      <c r="I1137">
        <v>2</v>
      </c>
    </row>
    <row r="1138" spans="1:9" x14ac:dyDescent="0.35">
      <c r="A1138" t="str">
        <f t="shared" si="17"/>
        <v>DAenergy_soldS1202732</v>
      </c>
      <c r="C1138" t="s">
        <v>99</v>
      </c>
      <c r="D1138" t="s">
        <v>112</v>
      </c>
      <c r="E1138" t="s">
        <v>110</v>
      </c>
      <c r="F1138">
        <v>316.1692880197686</v>
      </c>
      <c r="G1138">
        <v>2027</v>
      </c>
      <c r="H1138">
        <v>3</v>
      </c>
      <c r="I1138">
        <v>2</v>
      </c>
    </row>
    <row r="1139" spans="1:9" x14ac:dyDescent="0.35">
      <c r="A1139" t="str">
        <f t="shared" si="17"/>
        <v>DAhours_boughtS1202732</v>
      </c>
      <c r="C1139" t="s">
        <v>99</v>
      </c>
      <c r="D1139" t="s">
        <v>113</v>
      </c>
      <c r="E1139" t="s">
        <v>110</v>
      </c>
      <c r="F1139">
        <v>1049</v>
      </c>
      <c r="G1139">
        <v>2027</v>
      </c>
      <c r="H1139">
        <v>3</v>
      </c>
      <c r="I1139">
        <v>2</v>
      </c>
    </row>
    <row r="1140" spans="1:9" x14ac:dyDescent="0.35">
      <c r="A1140" t="str">
        <f t="shared" si="17"/>
        <v>DAhours_soldS1202732</v>
      </c>
      <c r="C1140" t="s">
        <v>99</v>
      </c>
      <c r="D1140" t="s">
        <v>114</v>
      </c>
      <c r="E1140" t="s">
        <v>110</v>
      </c>
      <c r="F1140">
        <v>198</v>
      </c>
      <c r="G1140">
        <v>2027</v>
      </c>
      <c r="H1140">
        <v>3</v>
      </c>
      <c r="I1140">
        <v>2</v>
      </c>
    </row>
    <row r="1141" spans="1:9" x14ac:dyDescent="0.35">
      <c r="A1141" t="str">
        <f t="shared" si="17"/>
        <v>DAco2_emissionS1202732</v>
      </c>
      <c r="C1141" t="s">
        <v>99</v>
      </c>
      <c r="D1141" t="s">
        <v>204</v>
      </c>
      <c r="E1141" t="s">
        <v>110</v>
      </c>
      <c r="F1141">
        <v>28208.10922565679</v>
      </c>
      <c r="G1141">
        <v>2027</v>
      </c>
      <c r="H1141">
        <v>3</v>
      </c>
      <c r="I1141">
        <v>2</v>
      </c>
    </row>
    <row r="1142" spans="1:9" x14ac:dyDescent="0.35">
      <c r="A1142" t="str">
        <f t="shared" si="17"/>
        <v>fcrincomeS1202732</v>
      </c>
      <c r="B1142" t="s">
        <v>95</v>
      </c>
      <c r="C1142" t="s">
        <v>102</v>
      </c>
      <c r="D1142" t="s">
        <v>101</v>
      </c>
      <c r="E1142" t="s">
        <v>110</v>
      </c>
      <c r="F1142">
        <v>0</v>
      </c>
      <c r="G1142">
        <v>2027</v>
      </c>
      <c r="H1142">
        <v>3</v>
      </c>
      <c r="I1142">
        <v>2</v>
      </c>
    </row>
    <row r="1143" spans="1:9" x14ac:dyDescent="0.35">
      <c r="A1143" t="str">
        <f t="shared" si="17"/>
        <v>fcractivation_hoursS1202732</v>
      </c>
      <c r="B1143" t="s">
        <v>95</v>
      </c>
      <c r="C1143" t="s">
        <v>102</v>
      </c>
      <c r="D1143" t="s">
        <v>115</v>
      </c>
      <c r="E1143" t="s">
        <v>110</v>
      </c>
      <c r="F1143">
        <v>0</v>
      </c>
      <c r="G1143">
        <v>2027</v>
      </c>
      <c r="H1143">
        <v>3</v>
      </c>
      <c r="I1143">
        <v>2</v>
      </c>
    </row>
    <row r="1144" spans="1:9" x14ac:dyDescent="0.35">
      <c r="A1144" t="str">
        <f t="shared" si="17"/>
        <v>afrrincomeS1202732</v>
      </c>
      <c r="C1144" t="s">
        <v>103</v>
      </c>
      <c r="D1144" t="s">
        <v>101</v>
      </c>
      <c r="E1144" t="s">
        <v>110</v>
      </c>
      <c r="F1144">
        <v>127261.5480509921</v>
      </c>
      <c r="G1144">
        <v>2027</v>
      </c>
      <c r="H1144">
        <v>3</v>
      </c>
      <c r="I1144">
        <v>2</v>
      </c>
    </row>
    <row r="1145" spans="1:9" x14ac:dyDescent="0.35">
      <c r="A1145" t="str">
        <f t="shared" si="17"/>
        <v>afrractivation_hoursS1202732</v>
      </c>
      <c r="C1145" t="s">
        <v>103</v>
      </c>
      <c r="D1145" t="s">
        <v>115</v>
      </c>
      <c r="E1145" t="s">
        <v>110</v>
      </c>
      <c r="F1145">
        <v>8722</v>
      </c>
      <c r="G1145">
        <v>2027</v>
      </c>
      <c r="H1145">
        <v>3</v>
      </c>
      <c r="I1145">
        <v>2</v>
      </c>
    </row>
    <row r="1146" spans="1:9" x14ac:dyDescent="0.35">
      <c r="A1146" t="str">
        <f t="shared" si="17"/>
        <v>networkturpe_power_costS1202832</v>
      </c>
      <c r="C1146" t="s">
        <v>96</v>
      </c>
      <c r="D1146" t="s">
        <v>97</v>
      </c>
      <c r="E1146" t="s">
        <v>110</v>
      </c>
      <c r="F1146">
        <v>6575.7798841998483</v>
      </c>
      <c r="G1146">
        <v>2028</v>
      </c>
      <c r="H1146">
        <v>3</v>
      </c>
      <c r="I1146">
        <v>2</v>
      </c>
    </row>
    <row r="1147" spans="1:9" x14ac:dyDescent="0.35">
      <c r="A1147" t="str">
        <f t="shared" si="17"/>
        <v>networkturpe_energy_costS1202832</v>
      </c>
      <c r="C1147" t="s">
        <v>96</v>
      </c>
      <c r="D1147" t="s">
        <v>98</v>
      </c>
      <c r="E1147" t="s">
        <v>110</v>
      </c>
      <c r="F1147">
        <v>8210.383706832381</v>
      </c>
      <c r="G1147">
        <v>2028</v>
      </c>
      <c r="H1147">
        <v>3</v>
      </c>
      <c r="I1147">
        <v>2</v>
      </c>
    </row>
    <row r="1148" spans="1:9" x14ac:dyDescent="0.35">
      <c r="A1148" t="str">
        <f t="shared" si="17"/>
        <v>DAcostS1202832</v>
      </c>
      <c r="C1148" t="s">
        <v>99</v>
      </c>
      <c r="D1148" t="s">
        <v>100</v>
      </c>
      <c r="E1148" t="s">
        <v>110</v>
      </c>
      <c r="F1148">
        <v>49547.324261207243</v>
      </c>
      <c r="G1148">
        <v>2028</v>
      </c>
      <c r="H1148">
        <v>3</v>
      </c>
      <c r="I1148">
        <v>2</v>
      </c>
    </row>
    <row r="1149" spans="1:9" x14ac:dyDescent="0.35">
      <c r="A1149" t="str">
        <f t="shared" si="17"/>
        <v>DAincomeS1202832</v>
      </c>
      <c r="C1149" t="s">
        <v>99</v>
      </c>
      <c r="D1149" t="s">
        <v>101</v>
      </c>
      <c r="E1149" t="s">
        <v>110</v>
      </c>
      <c r="F1149">
        <v>69536.795053351234</v>
      </c>
      <c r="G1149">
        <v>2028</v>
      </c>
      <c r="H1149">
        <v>3</v>
      </c>
      <c r="I1149">
        <v>2</v>
      </c>
    </row>
    <row r="1150" spans="1:9" x14ac:dyDescent="0.35">
      <c r="A1150" t="str">
        <f t="shared" si="17"/>
        <v>DAenergy_boughtS1202832</v>
      </c>
      <c r="C1150" t="s">
        <v>99</v>
      </c>
      <c r="D1150" t="s">
        <v>111</v>
      </c>
      <c r="E1150" t="s">
        <v>110</v>
      </c>
      <c r="F1150">
        <v>554.53557198795295</v>
      </c>
      <c r="G1150">
        <v>2028</v>
      </c>
      <c r="H1150">
        <v>3</v>
      </c>
      <c r="I1150">
        <v>2</v>
      </c>
    </row>
    <row r="1151" spans="1:9" x14ac:dyDescent="0.35">
      <c r="A1151" t="str">
        <f t="shared" si="17"/>
        <v>DAenergy_soldS1202832</v>
      </c>
      <c r="C1151" t="s">
        <v>99</v>
      </c>
      <c r="D1151" t="s">
        <v>112</v>
      </c>
      <c r="E1151" t="s">
        <v>110</v>
      </c>
      <c r="F1151">
        <v>438.71567455777853</v>
      </c>
      <c r="G1151">
        <v>2028</v>
      </c>
      <c r="H1151">
        <v>3</v>
      </c>
      <c r="I1151">
        <v>2</v>
      </c>
    </row>
    <row r="1152" spans="1:9" x14ac:dyDescent="0.35">
      <c r="A1152" t="str">
        <f t="shared" si="17"/>
        <v>DAhours_boughtS1202832</v>
      </c>
      <c r="C1152" t="s">
        <v>99</v>
      </c>
      <c r="D1152" t="s">
        <v>113</v>
      </c>
      <c r="E1152" t="s">
        <v>110</v>
      </c>
      <c r="F1152">
        <v>1260</v>
      </c>
      <c r="G1152">
        <v>2028</v>
      </c>
      <c r="H1152">
        <v>3</v>
      </c>
      <c r="I1152">
        <v>2</v>
      </c>
    </row>
    <row r="1153" spans="1:9" x14ac:dyDescent="0.35">
      <c r="A1153" t="str">
        <f t="shared" si="17"/>
        <v>DAhours_soldS1202832</v>
      </c>
      <c r="C1153" t="s">
        <v>99</v>
      </c>
      <c r="D1153" t="s">
        <v>114</v>
      </c>
      <c r="E1153" t="s">
        <v>110</v>
      </c>
      <c r="F1153">
        <v>251</v>
      </c>
      <c r="G1153">
        <v>2028</v>
      </c>
      <c r="H1153">
        <v>3</v>
      </c>
      <c r="I1153">
        <v>2</v>
      </c>
    </row>
    <row r="1154" spans="1:9" x14ac:dyDescent="0.35">
      <c r="A1154" t="str">
        <f t="shared" si="17"/>
        <v>DAco2_emissionS1202832</v>
      </c>
      <c r="B1154" t="s">
        <v>95</v>
      </c>
      <c r="C1154" t="s">
        <v>99</v>
      </c>
      <c r="D1154" t="s">
        <v>204</v>
      </c>
      <c r="E1154" t="s">
        <v>110</v>
      </c>
      <c r="F1154">
        <v>38817.490039157179</v>
      </c>
      <c r="G1154">
        <v>2028</v>
      </c>
      <c r="H1154">
        <v>3</v>
      </c>
      <c r="I1154">
        <v>2</v>
      </c>
    </row>
    <row r="1155" spans="1:9" x14ac:dyDescent="0.35">
      <c r="A1155" t="str">
        <f t="shared" ref="A1155:A1218" si="18">C1155&amp;D1155&amp;E1155&amp;G1155&amp;H1155&amp;I1155</f>
        <v>fcrincomeS1202832</v>
      </c>
      <c r="B1155" t="s">
        <v>95</v>
      </c>
      <c r="C1155" t="s">
        <v>102</v>
      </c>
      <c r="D1155" t="s">
        <v>101</v>
      </c>
      <c r="E1155" t="s">
        <v>110</v>
      </c>
      <c r="F1155">
        <v>0</v>
      </c>
      <c r="G1155">
        <v>2028</v>
      </c>
      <c r="H1155">
        <v>3</v>
      </c>
      <c r="I1155">
        <v>2</v>
      </c>
    </row>
    <row r="1156" spans="1:9" x14ac:dyDescent="0.35">
      <c r="A1156" t="str">
        <f t="shared" si="18"/>
        <v>fcractivation_hoursS1202832</v>
      </c>
      <c r="C1156" t="s">
        <v>102</v>
      </c>
      <c r="D1156" t="s">
        <v>115</v>
      </c>
      <c r="E1156" t="s">
        <v>110</v>
      </c>
      <c r="F1156">
        <v>0</v>
      </c>
      <c r="G1156">
        <v>2028</v>
      </c>
      <c r="H1156">
        <v>3</v>
      </c>
      <c r="I1156">
        <v>2</v>
      </c>
    </row>
    <row r="1157" spans="1:9" x14ac:dyDescent="0.35">
      <c r="A1157" t="str">
        <f t="shared" si="18"/>
        <v>afrrincomeS1202832</v>
      </c>
      <c r="C1157" t="s">
        <v>103</v>
      </c>
      <c r="D1157" t="s">
        <v>101</v>
      </c>
      <c r="E1157" t="s">
        <v>110</v>
      </c>
      <c r="F1157">
        <v>126899.1202727732</v>
      </c>
      <c r="G1157">
        <v>2028</v>
      </c>
      <c r="H1157">
        <v>3</v>
      </c>
      <c r="I1157">
        <v>2</v>
      </c>
    </row>
    <row r="1158" spans="1:9" x14ac:dyDescent="0.35">
      <c r="A1158" t="str">
        <f t="shared" si="18"/>
        <v>afrractivation_hoursS1202832</v>
      </c>
      <c r="C1158" t="s">
        <v>103</v>
      </c>
      <c r="D1158" t="s">
        <v>115</v>
      </c>
      <c r="E1158" t="s">
        <v>110</v>
      </c>
      <c r="F1158">
        <v>8725</v>
      </c>
      <c r="G1158">
        <v>2028</v>
      </c>
      <c r="H1158">
        <v>3</v>
      </c>
      <c r="I1158">
        <v>2</v>
      </c>
    </row>
    <row r="1159" spans="1:9" x14ac:dyDescent="0.35">
      <c r="A1159" t="str">
        <f t="shared" si="18"/>
        <v>networkturpe_power_costS1202932</v>
      </c>
      <c r="C1159" t="s">
        <v>96</v>
      </c>
      <c r="D1159" t="s">
        <v>97</v>
      </c>
      <c r="E1159" t="s">
        <v>110</v>
      </c>
      <c r="F1159">
        <v>6973.8844685103268</v>
      </c>
      <c r="G1159">
        <v>2029</v>
      </c>
      <c r="H1159">
        <v>3</v>
      </c>
      <c r="I1159">
        <v>2</v>
      </c>
    </row>
    <row r="1160" spans="1:9" x14ac:dyDescent="0.35">
      <c r="A1160" t="str">
        <f t="shared" si="18"/>
        <v>networkturpe_energy_costS1202932</v>
      </c>
      <c r="C1160" t="s">
        <v>96</v>
      </c>
      <c r="D1160" t="s">
        <v>98</v>
      </c>
      <c r="E1160" t="s">
        <v>110</v>
      </c>
      <c r="F1160">
        <v>8690.1343261213424</v>
      </c>
      <c r="G1160">
        <v>2029</v>
      </c>
      <c r="H1160">
        <v>3</v>
      </c>
      <c r="I1160">
        <v>2</v>
      </c>
    </row>
    <row r="1161" spans="1:9" x14ac:dyDescent="0.35">
      <c r="A1161" t="str">
        <f t="shared" si="18"/>
        <v>DAcostS1202932</v>
      </c>
      <c r="C1161" t="s">
        <v>99</v>
      </c>
      <c r="D1161" t="s">
        <v>100</v>
      </c>
      <c r="E1161" t="s">
        <v>110</v>
      </c>
      <c r="F1161">
        <v>41354.269259789093</v>
      </c>
      <c r="G1161">
        <v>2029</v>
      </c>
      <c r="H1161">
        <v>3</v>
      </c>
      <c r="I1161">
        <v>2</v>
      </c>
    </row>
    <row r="1162" spans="1:9" x14ac:dyDescent="0.35">
      <c r="A1162" t="str">
        <f t="shared" si="18"/>
        <v>DAincomeS1202932</v>
      </c>
      <c r="C1162" t="s">
        <v>99</v>
      </c>
      <c r="D1162" t="s">
        <v>101</v>
      </c>
      <c r="E1162" t="s">
        <v>110</v>
      </c>
      <c r="F1162">
        <v>63723.240517189377</v>
      </c>
      <c r="G1162">
        <v>2029</v>
      </c>
      <c r="H1162">
        <v>3</v>
      </c>
      <c r="I1162">
        <v>2</v>
      </c>
    </row>
    <row r="1163" spans="1:9" x14ac:dyDescent="0.35">
      <c r="A1163" t="str">
        <f t="shared" si="18"/>
        <v>DAenergy_boughtS1202932</v>
      </c>
      <c r="C1163" t="s">
        <v>99</v>
      </c>
      <c r="D1163" t="s">
        <v>111</v>
      </c>
      <c r="E1163" t="s">
        <v>110</v>
      </c>
      <c r="F1163">
        <v>580.83524543916189</v>
      </c>
      <c r="G1163">
        <v>2029</v>
      </c>
      <c r="H1163">
        <v>3</v>
      </c>
      <c r="I1163">
        <v>2</v>
      </c>
    </row>
    <row r="1164" spans="1:9" x14ac:dyDescent="0.35">
      <c r="A1164" t="str">
        <f t="shared" si="18"/>
        <v>DAenergy_soldS1202932</v>
      </c>
      <c r="C1164" t="s">
        <v>99</v>
      </c>
      <c r="D1164" t="s">
        <v>112</v>
      </c>
      <c r="E1164" t="s">
        <v>110</v>
      </c>
      <c r="F1164">
        <v>460.03186678966102</v>
      </c>
      <c r="G1164">
        <v>2029</v>
      </c>
      <c r="H1164">
        <v>3</v>
      </c>
      <c r="I1164">
        <v>2</v>
      </c>
    </row>
    <row r="1165" spans="1:9" x14ac:dyDescent="0.35">
      <c r="A1165" t="str">
        <f t="shared" si="18"/>
        <v>DAhours_boughtS1202932</v>
      </c>
      <c r="C1165" t="s">
        <v>99</v>
      </c>
      <c r="D1165" t="s">
        <v>113</v>
      </c>
      <c r="E1165" t="s">
        <v>110</v>
      </c>
      <c r="F1165">
        <v>1340</v>
      </c>
      <c r="G1165">
        <v>2029</v>
      </c>
      <c r="H1165">
        <v>3</v>
      </c>
      <c r="I1165">
        <v>2</v>
      </c>
    </row>
    <row r="1166" spans="1:9" x14ac:dyDescent="0.35">
      <c r="A1166" t="str">
        <f t="shared" si="18"/>
        <v>DAhours_soldS1202932</v>
      </c>
      <c r="B1166" t="s">
        <v>95</v>
      </c>
      <c r="C1166" t="s">
        <v>99</v>
      </c>
      <c r="D1166" t="s">
        <v>114</v>
      </c>
      <c r="E1166" t="s">
        <v>110</v>
      </c>
      <c r="F1166">
        <v>261</v>
      </c>
      <c r="G1166">
        <v>2029</v>
      </c>
      <c r="H1166">
        <v>3</v>
      </c>
      <c r="I1166">
        <v>2</v>
      </c>
    </row>
    <row r="1167" spans="1:9" x14ac:dyDescent="0.35">
      <c r="A1167" t="str">
        <f t="shared" si="18"/>
        <v>DAco2_emissionS1202932</v>
      </c>
      <c r="B1167" t="s">
        <v>95</v>
      </c>
      <c r="C1167" t="s">
        <v>99</v>
      </c>
      <c r="D1167" t="s">
        <v>204</v>
      </c>
      <c r="E1167" t="s">
        <v>110</v>
      </c>
      <c r="F1167">
        <v>40658.467180741791</v>
      </c>
      <c r="G1167">
        <v>2029</v>
      </c>
      <c r="H1167">
        <v>3</v>
      </c>
      <c r="I1167">
        <v>2</v>
      </c>
    </row>
    <row r="1168" spans="1:9" x14ac:dyDescent="0.35">
      <c r="A1168" t="str">
        <f t="shared" si="18"/>
        <v>fcrincomeS1202932</v>
      </c>
      <c r="C1168" t="s">
        <v>102</v>
      </c>
      <c r="D1168" t="s">
        <v>101</v>
      </c>
      <c r="E1168" t="s">
        <v>110</v>
      </c>
      <c r="F1168">
        <v>0</v>
      </c>
      <c r="G1168">
        <v>2029</v>
      </c>
      <c r="H1168">
        <v>3</v>
      </c>
      <c r="I1168">
        <v>2</v>
      </c>
    </row>
    <row r="1169" spans="1:9" x14ac:dyDescent="0.35">
      <c r="A1169" t="str">
        <f t="shared" si="18"/>
        <v>fcractivation_hoursS1202932</v>
      </c>
      <c r="C1169" t="s">
        <v>102</v>
      </c>
      <c r="D1169" t="s">
        <v>115</v>
      </c>
      <c r="E1169" t="s">
        <v>110</v>
      </c>
      <c r="F1169">
        <v>0</v>
      </c>
      <c r="G1169">
        <v>2029</v>
      </c>
      <c r="H1169">
        <v>3</v>
      </c>
      <c r="I1169">
        <v>2</v>
      </c>
    </row>
    <row r="1170" spans="1:9" x14ac:dyDescent="0.35">
      <c r="A1170" t="str">
        <f t="shared" si="18"/>
        <v>afrrincomeS1202932</v>
      </c>
      <c r="C1170" t="s">
        <v>103</v>
      </c>
      <c r="D1170" t="s">
        <v>101</v>
      </c>
      <c r="E1170" t="s">
        <v>110</v>
      </c>
      <c r="F1170">
        <v>134285.87660317769</v>
      </c>
      <c r="G1170">
        <v>2029</v>
      </c>
      <c r="H1170">
        <v>3</v>
      </c>
      <c r="I1170">
        <v>2</v>
      </c>
    </row>
    <row r="1171" spans="1:9" x14ac:dyDescent="0.35">
      <c r="A1171" t="str">
        <f t="shared" si="18"/>
        <v>afrractivation_hoursS1202932</v>
      </c>
      <c r="C1171" t="s">
        <v>103</v>
      </c>
      <c r="D1171" t="s">
        <v>115</v>
      </c>
      <c r="E1171" t="s">
        <v>110</v>
      </c>
      <c r="F1171">
        <v>8733</v>
      </c>
      <c r="G1171">
        <v>2029</v>
      </c>
      <c r="H1171">
        <v>3</v>
      </c>
      <c r="I1171">
        <v>2</v>
      </c>
    </row>
    <row r="1172" spans="1:9" x14ac:dyDescent="0.35">
      <c r="A1172" t="str">
        <f t="shared" si="18"/>
        <v>networkturpe_power_costS1203032</v>
      </c>
      <c r="C1172" t="s">
        <v>96</v>
      </c>
      <c r="D1172" t="s">
        <v>97</v>
      </c>
      <c r="E1172" t="s">
        <v>110</v>
      </c>
      <c r="F1172">
        <v>8203.5563896612421</v>
      </c>
      <c r="G1172">
        <v>2030</v>
      </c>
      <c r="H1172">
        <v>3</v>
      </c>
      <c r="I1172">
        <v>2</v>
      </c>
    </row>
    <row r="1173" spans="1:9" x14ac:dyDescent="0.35">
      <c r="A1173" t="str">
        <f t="shared" si="18"/>
        <v>networkturpe_energy_costS1203032</v>
      </c>
      <c r="C1173" t="s">
        <v>96</v>
      </c>
      <c r="D1173" t="s">
        <v>98</v>
      </c>
      <c r="E1173" t="s">
        <v>110</v>
      </c>
      <c r="F1173">
        <v>13667.83881758055</v>
      </c>
      <c r="G1173">
        <v>2030</v>
      </c>
      <c r="H1173">
        <v>3</v>
      </c>
      <c r="I1173">
        <v>2</v>
      </c>
    </row>
    <row r="1174" spans="1:9" x14ac:dyDescent="0.35">
      <c r="A1174" t="str">
        <f t="shared" si="18"/>
        <v>DAcostS1203032</v>
      </c>
      <c r="C1174" t="s">
        <v>99</v>
      </c>
      <c r="D1174" t="s">
        <v>100</v>
      </c>
      <c r="E1174" t="s">
        <v>110</v>
      </c>
      <c r="F1174">
        <v>49066.948567410393</v>
      </c>
      <c r="G1174">
        <v>2030</v>
      </c>
      <c r="H1174">
        <v>3</v>
      </c>
      <c r="I1174">
        <v>2</v>
      </c>
    </row>
    <row r="1175" spans="1:9" x14ac:dyDescent="0.35">
      <c r="A1175" t="str">
        <f t="shared" si="18"/>
        <v>DAincomeS1203032</v>
      </c>
      <c r="C1175" t="s">
        <v>99</v>
      </c>
      <c r="D1175" t="s">
        <v>101</v>
      </c>
      <c r="E1175" t="s">
        <v>110</v>
      </c>
      <c r="F1175">
        <v>84279.136348360174</v>
      </c>
      <c r="G1175">
        <v>2030</v>
      </c>
      <c r="H1175">
        <v>3</v>
      </c>
      <c r="I1175">
        <v>2</v>
      </c>
    </row>
    <row r="1176" spans="1:9" x14ac:dyDescent="0.35">
      <c r="A1176" t="str">
        <f t="shared" si="18"/>
        <v>DAenergy_boughtS1203032</v>
      </c>
      <c r="C1176" t="s">
        <v>99</v>
      </c>
      <c r="D1176" t="s">
        <v>111</v>
      </c>
      <c r="E1176" t="s">
        <v>110</v>
      </c>
      <c r="F1176">
        <v>889.06956135377152</v>
      </c>
      <c r="G1176">
        <v>2030</v>
      </c>
      <c r="H1176">
        <v>3</v>
      </c>
      <c r="I1176">
        <v>2</v>
      </c>
    </row>
    <row r="1177" spans="1:9" x14ac:dyDescent="0.35">
      <c r="A1177" t="str">
        <f t="shared" si="18"/>
        <v>DAenergy_soldS1203032</v>
      </c>
      <c r="C1177" t="s">
        <v>99</v>
      </c>
      <c r="D1177" t="s">
        <v>112</v>
      </c>
      <c r="E1177" t="s">
        <v>110</v>
      </c>
      <c r="F1177">
        <v>709.64424229866108</v>
      </c>
      <c r="G1177">
        <v>2030</v>
      </c>
      <c r="H1177">
        <v>3</v>
      </c>
      <c r="I1177">
        <v>2</v>
      </c>
    </row>
    <row r="1178" spans="1:9" x14ac:dyDescent="0.35">
      <c r="A1178" t="str">
        <f t="shared" si="18"/>
        <v>DAhours_boughtS1203032</v>
      </c>
      <c r="B1178" t="s">
        <v>95</v>
      </c>
      <c r="C1178" t="s">
        <v>99</v>
      </c>
      <c r="D1178" t="s">
        <v>113</v>
      </c>
      <c r="E1178" t="s">
        <v>110</v>
      </c>
      <c r="F1178">
        <v>1771</v>
      </c>
      <c r="G1178">
        <v>2030</v>
      </c>
      <c r="H1178">
        <v>3</v>
      </c>
      <c r="I1178">
        <v>2</v>
      </c>
    </row>
    <row r="1179" spans="1:9" x14ac:dyDescent="0.35">
      <c r="A1179" t="str">
        <f t="shared" si="18"/>
        <v>DAhours_soldS1203032</v>
      </c>
      <c r="B1179" t="s">
        <v>95</v>
      </c>
      <c r="C1179" t="s">
        <v>99</v>
      </c>
      <c r="D1179" t="s">
        <v>114</v>
      </c>
      <c r="E1179" t="s">
        <v>110</v>
      </c>
      <c r="F1179">
        <v>391</v>
      </c>
      <c r="G1179">
        <v>2030</v>
      </c>
      <c r="H1179">
        <v>3</v>
      </c>
      <c r="I1179">
        <v>2</v>
      </c>
    </row>
    <row r="1180" spans="1:9" x14ac:dyDescent="0.35">
      <c r="A1180" t="str">
        <f t="shared" si="18"/>
        <v>DAco2_emissionS1203032</v>
      </c>
      <c r="C1180" t="s">
        <v>99</v>
      </c>
      <c r="D1180" t="s">
        <v>204</v>
      </c>
      <c r="E1180" t="s">
        <v>110</v>
      </c>
      <c r="F1180">
        <v>62234.869294764183</v>
      </c>
      <c r="G1180">
        <v>2030</v>
      </c>
      <c r="H1180">
        <v>3</v>
      </c>
      <c r="I1180">
        <v>2</v>
      </c>
    </row>
    <row r="1181" spans="1:9" x14ac:dyDescent="0.35">
      <c r="A1181" t="str">
        <f t="shared" si="18"/>
        <v>fcrincomeS1203032</v>
      </c>
      <c r="C1181" t="s">
        <v>102</v>
      </c>
      <c r="D1181" t="s">
        <v>101</v>
      </c>
      <c r="E1181" t="s">
        <v>110</v>
      </c>
      <c r="F1181">
        <v>1.418545714969597</v>
      </c>
      <c r="G1181">
        <v>2030</v>
      </c>
      <c r="H1181">
        <v>3</v>
      </c>
      <c r="I1181">
        <v>2</v>
      </c>
    </row>
    <row r="1182" spans="1:9" x14ac:dyDescent="0.35">
      <c r="A1182" t="str">
        <f t="shared" si="18"/>
        <v>fcractivation_hoursS1203032</v>
      </c>
      <c r="C1182" t="s">
        <v>102</v>
      </c>
      <c r="D1182" t="s">
        <v>115</v>
      </c>
      <c r="E1182" t="s">
        <v>110</v>
      </c>
      <c r="F1182">
        <v>12</v>
      </c>
      <c r="G1182">
        <v>2030</v>
      </c>
      <c r="H1182">
        <v>3</v>
      </c>
      <c r="I1182">
        <v>2</v>
      </c>
    </row>
    <row r="1183" spans="1:9" x14ac:dyDescent="0.35">
      <c r="A1183" t="str">
        <f t="shared" si="18"/>
        <v>afrrincomeS1203032</v>
      </c>
      <c r="C1183" t="s">
        <v>103</v>
      </c>
      <c r="D1183" t="s">
        <v>101</v>
      </c>
      <c r="E1183" t="s">
        <v>110</v>
      </c>
      <c r="F1183">
        <v>79057.487751390363</v>
      </c>
      <c r="G1183">
        <v>2030</v>
      </c>
      <c r="H1183">
        <v>3</v>
      </c>
      <c r="I1183">
        <v>2</v>
      </c>
    </row>
    <row r="1184" spans="1:9" x14ac:dyDescent="0.35">
      <c r="A1184" t="str">
        <f t="shared" si="18"/>
        <v>afrractivation_hoursS1203032</v>
      </c>
      <c r="C1184" t="s">
        <v>103</v>
      </c>
      <c r="D1184" t="s">
        <v>115</v>
      </c>
      <c r="E1184" t="s">
        <v>110</v>
      </c>
      <c r="F1184">
        <v>8592</v>
      </c>
      <c r="G1184">
        <v>2030</v>
      </c>
      <c r="H1184">
        <v>3</v>
      </c>
      <c r="I1184">
        <v>2</v>
      </c>
    </row>
    <row r="1185" spans="1:9" x14ac:dyDescent="0.35">
      <c r="A1185" t="str">
        <f t="shared" si="18"/>
        <v>networkturpe_power_costS1203132</v>
      </c>
      <c r="C1185" t="s">
        <v>96</v>
      </c>
      <c r="D1185" t="s">
        <v>97</v>
      </c>
      <c r="E1185" t="s">
        <v>110</v>
      </c>
      <c r="F1185">
        <v>7980.2380976570021</v>
      </c>
      <c r="G1185">
        <v>2031</v>
      </c>
      <c r="H1185">
        <v>3</v>
      </c>
      <c r="I1185">
        <v>2</v>
      </c>
    </row>
    <row r="1186" spans="1:9" x14ac:dyDescent="0.35">
      <c r="A1186" t="str">
        <f t="shared" si="18"/>
        <v>networkturpe_energy_costS1203132</v>
      </c>
      <c r="C1186" t="s">
        <v>96</v>
      </c>
      <c r="D1186" t="s">
        <v>98</v>
      </c>
      <c r="E1186" t="s">
        <v>110</v>
      </c>
      <c r="F1186">
        <v>13373.08712653552</v>
      </c>
      <c r="G1186">
        <v>2031</v>
      </c>
      <c r="H1186">
        <v>3</v>
      </c>
      <c r="I1186">
        <v>2</v>
      </c>
    </row>
    <row r="1187" spans="1:9" x14ac:dyDescent="0.35">
      <c r="A1187" t="str">
        <f t="shared" si="18"/>
        <v>DAcostS1203132</v>
      </c>
      <c r="C1187" t="s">
        <v>99</v>
      </c>
      <c r="D1187" t="s">
        <v>100</v>
      </c>
      <c r="E1187" t="s">
        <v>110</v>
      </c>
      <c r="F1187">
        <v>40507.531471008981</v>
      </c>
      <c r="G1187">
        <v>2031</v>
      </c>
      <c r="H1187">
        <v>3</v>
      </c>
      <c r="I1187">
        <v>2</v>
      </c>
    </row>
    <row r="1188" spans="1:9" x14ac:dyDescent="0.35">
      <c r="A1188" t="str">
        <f t="shared" si="18"/>
        <v>DAincomeS1203132</v>
      </c>
      <c r="C1188" t="s">
        <v>99</v>
      </c>
      <c r="D1188" t="s">
        <v>101</v>
      </c>
      <c r="E1188" t="s">
        <v>110</v>
      </c>
      <c r="F1188">
        <v>74818.738498378734</v>
      </c>
      <c r="G1188">
        <v>2031</v>
      </c>
      <c r="H1188">
        <v>3</v>
      </c>
      <c r="I1188">
        <v>2</v>
      </c>
    </row>
    <row r="1189" spans="1:9" x14ac:dyDescent="0.35">
      <c r="A1189" t="str">
        <f t="shared" si="18"/>
        <v>DAenergy_boughtS1203132</v>
      </c>
      <c r="C1189" t="s">
        <v>99</v>
      </c>
      <c r="D1189" t="s">
        <v>111</v>
      </c>
      <c r="E1189" t="s">
        <v>110</v>
      </c>
      <c r="F1189">
        <v>863.49369268210296</v>
      </c>
      <c r="G1189">
        <v>2031</v>
      </c>
      <c r="H1189">
        <v>3</v>
      </c>
      <c r="I1189">
        <v>2</v>
      </c>
    </row>
    <row r="1190" spans="1:9" x14ac:dyDescent="0.35">
      <c r="A1190" t="str">
        <f t="shared" si="18"/>
        <v>DAenergy_soldS1203132</v>
      </c>
      <c r="B1190" t="s">
        <v>95</v>
      </c>
      <c r="C1190" t="s">
        <v>99</v>
      </c>
      <c r="D1190" t="s">
        <v>112</v>
      </c>
      <c r="E1190" t="s">
        <v>110</v>
      </c>
      <c r="F1190">
        <v>689.2462250851413</v>
      </c>
      <c r="G1190">
        <v>2031</v>
      </c>
      <c r="H1190">
        <v>3</v>
      </c>
      <c r="I1190">
        <v>2</v>
      </c>
    </row>
    <row r="1191" spans="1:9" x14ac:dyDescent="0.35">
      <c r="A1191" t="str">
        <f t="shared" si="18"/>
        <v>DAhours_boughtS1203132</v>
      </c>
      <c r="B1191" t="s">
        <v>95</v>
      </c>
      <c r="C1191" t="s">
        <v>99</v>
      </c>
      <c r="D1191" t="s">
        <v>113</v>
      </c>
      <c r="E1191" t="s">
        <v>110</v>
      </c>
      <c r="F1191">
        <v>1705</v>
      </c>
      <c r="G1191">
        <v>2031</v>
      </c>
      <c r="H1191">
        <v>3</v>
      </c>
      <c r="I1191">
        <v>2</v>
      </c>
    </row>
    <row r="1192" spans="1:9" x14ac:dyDescent="0.35">
      <c r="A1192" t="str">
        <f t="shared" si="18"/>
        <v>DAhours_soldS1203132</v>
      </c>
      <c r="C1192" t="s">
        <v>99</v>
      </c>
      <c r="D1192" t="s">
        <v>114</v>
      </c>
      <c r="E1192" t="s">
        <v>110</v>
      </c>
      <c r="F1192">
        <v>416</v>
      </c>
      <c r="G1192">
        <v>2031</v>
      </c>
      <c r="H1192">
        <v>3</v>
      </c>
      <c r="I1192">
        <v>2</v>
      </c>
    </row>
    <row r="1193" spans="1:9" x14ac:dyDescent="0.35">
      <c r="A1193" t="str">
        <f t="shared" si="18"/>
        <v>DAco2_emissionS1203132</v>
      </c>
      <c r="C1193" t="s">
        <v>99</v>
      </c>
      <c r="D1193" t="s">
        <v>204</v>
      </c>
      <c r="E1193" t="s">
        <v>110</v>
      </c>
      <c r="F1193">
        <v>60444.558487747658</v>
      </c>
      <c r="G1193">
        <v>2031</v>
      </c>
      <c r="H1193">
        <v>3</v>
      </c>
      <c r="I1193">
        <v>2</v>
      </c>
    </row>
    <row r="1194" spans="1:9" x14ac:dyDescent="0.35">
      <c r="A1194" t="str">
        <f t="shared" si="18"/>
        <v>fcrincomeS1203132</v>
      </c>
      <c r="C1194" t="s">
        <v>102</v>
      </c>
      <c r="D1194" t="s">
        <v>101</v>
      </c>
      <c r="E1194" t="s">
        <v>110</v>
      </c>
      <c r="F1194">
        <v>0.59632473901699479</v>
      </c>
      <c r="G1194">
        <v>2031</v>
      </c>
      <c r="H1194">
        <v>3</v>
      </c>
      <c r="I1194">
        <v>2</v>
      </c>
    </row>
    <row r="1195" spans="1:9" x14ac:dyDescent="0.35">
      <c r="A1195" t="str">
        <f t="shared" si="18"/>
        <v>fcractivation_hoursS1203132</v>
      </c>
      <c r="C1195" t="s">
        <v>102</v>
      </c>
      <c r="D1195" t="s">
        <v>115</v>
      </c>
      <c r="E1195" t="s">
        <v>110</v>
      </c>
      <c r="F1195">
        <v>4</v>
      </c>
      <c r="G1195">
        <v>2031</v>
      </c>
      <c r="H1195">
        <v>3</v>
      </c>
      <c r="I1195">
        <v>2</v>
      </c>
    </row>
    <row r="1196" spans="1:9" x14ac:dyDescent="0.35">
      <c r="A1196" t="str">
        <f t="shared" si="18"/>
        <v>afrrincomeS1203132</v>
      </c>
      <c r="C1196" t="s">
        <v>103</v>
      </c>
      <c r="D1196" t="s">
        <v>101</v>
      </c>
      <c r="E1196" t="s">
        <v>110</v>
      </c>
      <c r="F1196">
        <v>79542.741793941706</v>
      </c>
      <c r="G1196">
        <v>2031</v>
      </c>
      <c r="H1196">
        <v>3</v>
      </c>
      <c r="I1196">
        <v>2</v>
      </c>
    </row>
    <row r="1197" spans="1:9" x14ac:dyDescent="0.35">
      <c r="A1197" t="str">
        <f t="shared" si="18"/>
        <v>afrractivation_hoursS1203132</v>
      </c>
      <c r="C1197" t="s">
        <v>103</v>
      </c>
      <c r="D1197" t="s">
        <v>115</v>
      </c>
      <c r="E1197" t="s">
        <v>110</v>
      </c>
      <c r="F1197">
        <v>8554</v>
      </c>
      <c r="G1197">
        <v>2031</v>
      </c>
      <c r="H1197">
        <v>3</v>
      </c>
      <c r="I1197">
        <v>2</v>
      </c>
    </row>
    <row r="1198" spans="1:9" x14ac:dyDescent="0.35">
      <c r="A1198" t="str">
        <f t="shared" si="18"/>
        <v>networkturpe_power_costS1203232</v>
      </c>
      <c r="C1198" t="s">
        <v>96</v>
      </c>
      <c r="D1198" t="s">
        <v>97</v>
      </c>
      <c r="E1198" t="s">
        <v>110</v>
      </c>
      <c r="F1198">
        <v>7753.5260757345322</v>
      </c>
      <c r="G1198">
        <v>2032</v>
      </c>
      <c r="H1198">
        <v>3</v>
      </c>
      <c r="I1198">
        <v>2</v>
      </c>
    </row>
    <row r="1199" spans="1:9" x14ac:dyDescent="0.35">
      <c r="A1199" t="str">
        <f t="shared" si="18"/>
        <v>networkturpe_energy_costS1203232</v>
      </c>
      <c r="C1199" t="s">
        <v>96</v>
      </c>
      <c r="D1199" t="s">
        <v>98</v>
      </c>
      <c r="E1199" t="s">
        <v>110</v>
      </c>
      <c r="F1199">
        <v>12380.74878967416</v>
      </c>
      <c r="G1199">
        <v>2032</v>
      </c>
      <c r="H1199">
        <v>3</v>
      </c>
      <c r="I1199">
        <v>2</v>
      </c>
    </row>
    <row r="1200" spans="1:9" x14ac:dyDescent="0.35">
      <c r="A1200" t="str">
        <f t="shared" si="18"/>
        <v>DAcostS1203232</v>
      </c>
      <c r="C1200" t="s">
        <v>99</v>
      </c>
      <c r="D1200" t="s">
        <v>100</v>
      </c>
      <c r="E1200" t="s">
        <v>110</v>
      </c>
      <c r="F1200">
        <v>38961.696163633147</v>
      </c>
      <c r="G1200">
        <v>2032</v>
      </c>
      <c r="H1200">
        <v>3</v>
      </c>
      <c r="I1200">
        <v>2</v>
      </c>
    </row>
    <row r="1201" spans="1:9" x14ac:dyDescent="0.35">
      <c r="A1201" t="str">
        <f t="shared" si="18"/>
        <v>DAincomeS1203232</v>
      </c>
      <c r="C1201" t="s">
        <v>99</v>
      </c>
      <c r="D1201" t="s">
        <v>101</v>
      </c>
      <c r="E1201" t="s">
        <v>110</v>
      </c>
      <c r="F1201">
        <v>73423.549402332676</v>
      </c>
      <c r="G1201">
        <v>2032</v>
      </c>
      <c r="H1201">
        <v>3</v>
      </c>
      <c r="I1201">
        <v>2</v>
      </c>
    </row>
    <row r="1202" spans="1:9" x14ac:dyDescent="0.35">
      <c r="A1202" t="str">
        <f t="shared" si="18"/>
        <v>DAenergy_boughtS1203232</v>
      </c>
      <c r="B1202" t="s">
        <v>95</v>
      </c>
      <c r="C1202" t="s">
        <v>99</v>
      </c>
      <c r="D1202" t="s">
        <v>111</v>
      </c>
      <c r="E1202" t="s">
        <v>110</v>
      </c>
      <c r="F1202">
        <v>837.68660122797905</v>
      </c>
      <c r="G1202">
        <v>2032</v>
      </c>
      <c r="H1202">
        <v>3</v>
      </c>
      <c r="I1202">
        <v>2</v>
      </c>
    </row>
    <row r="1203" spans="1:9" x14ac:dyDescent="0.35">
      <c r="A1203" t="str">
        <f t="shared" si="18"/>
        <v>DAenergy_soldS1203232</v>
      </c>
      <c r="B1203" t="s">
        <v>95</v>
      </c>
      <c r="C1203" t="s">
        <v>99</v>
      </c>
      <c r="D1203" t="s">
        <v>112</v>
      </c>
      <c r="E1203" t="s">
        <v>110</v>
      </c>
      <c r="F1203">
        <v>668.77803040828667</v>
      </c>
      <c r="G1203">
        <v>2032</v>
      </c>
      <c r="H1203">
        <v>3</v>
      </c>
      <c r="I1203">
        <v>2</v>
      </c>
    </row>
    <row r="1204" spans="1:9" x14ac:dyDescent="0.35">
      <c r="A1204" t="str">
        <f t="shared" si="18"/>
        <v>DAhours_boughtS1203232</v>
      </c>
      <c r="C1204" t="s">
        <v>99</v>
      </c>
      <c r="D1204" t="s">
        <v>113</v>
      </c>
      <c r="E1204" t="s">
        <v>110</v>
      </c>
      <c r="F1204">
        <v>1800</v>
      </c>
      <c r="G1204">
        <v>2032</v>
      </c>
      <c r="H1204">
        <v>3</v>
      </c>
      <c r="I1204">
        <v>2</v>
      </c>
    </row>
    <row r="1205" spans="1:9" x14ac:dyDescent="0.35">
      <c r="A1205" t="str">
        <f t="shared" si="18"/>
        <v>DAhours_soldS1203232</v>
      </c>
      <c r="C1205" t="s">
        <v>99</v>
      </c>
      <c r="D1205" t="s">
        <v>114</v>
      </c>
      <c r="E1205" t="s">
        <v>110</v>
      </c>
      <c r="F1205">
        <v>417</v>
      </c>
      <c r="G1205">
        <v>2032</v>
      </c>
      <c r="H1205">
        <v>3</v>
      </c>
      <c r="I1205">
        <v>2</v>
      </c>
    </row>
    <row r="1206" spans="1:9" x14ac:dyDescent="0.35">
      <c r="A1206" t="str">
        <f t="shared" si="18"/>
        <v>DAco2_emissionS1203232</v>
      </c>
      <c r="C1206" t="s">
        <v>99</v>
      </c>
      <c r="D1206" t="s">
        <v>204</v>
      </c>
      <c r="E1206" t="s">
        <v>110</v>
      </c>
      <c r="F1206">
        <v>58638.062085958307</v>
      </c>
      <c r="G1206">
        <v>2032</v>
      </c>
      <c r="H1206">
        <v>3</v>
      </c>
      <c r="I1206">
        <v>2</v>
      </c>
    </row>
    <row r="1207" spans="1:9" x14ac:dyDescent="0.35">
      <c r="A1207" t="str">
        <f t="shared" si="18"/>
        <v>fcrincomeS1203232</v>
      </c>
      <c r="C1207" t="s">
        <v>102</v>
      </c>
      <c r="D1207" t="s">
        <v>101</v>
      </c>
      <c r="E1207" t="s">
        <v>110</v>
      </c>
      <c r="F1207">
        <v>16.633073423245129</v>
      </c>
      <c r="G1207">
        <v>2032</v>
      </c>
      <c r="H1207">
        <v>3</v>
      </c>
      <c r="I1207">
        <v>2</v>
      </c>
    </row>
    <row r="1208" spans="1:9" x14ac:dyDescent="0.35">
      <c r="A1208" t="str">
        <f t="shared" si="18"/>
        <v>fcractivation_hoursS1203232</v>
      </c>
      <c r="C1208" t="s">
        <v>102</v>
      </c>
      <c r="D1208" t="s">
        <v>115</v>
      </c>
      <c r="E1208" t="s">
        <v>110</v>
      </c>
      <c r="F1208">
        <v>16</v>
      </c>
      <c r="G1208">
        <v>2032</v>
      </c>
      <c r="H1208">
        <v>3</v>
      </c>
      <c r="I1208">
        <v>2</v>
      </c>
    </row>
    <row r="1209" spans="1:9" x14ac:dyDescent="0.35">
      <c r="A1209" t="str">
        <f t="shared" si="18"/>
        <v>afrrincomeS1203232</v>
      </c>
      <c r="C1209" t="s">
        <v>103</v>
      </c>
      <c r="D1209" t="s">
        <v>101</v>
      </c>
      <c r="E1209" t="s">
        <v>110</v>
      </c>
      <c r="F1209">
        <v>78773.659724222089</v>
      </c>
      <c r="G1209">
        <v>2032</v>
      </c>
      <c r="H1209">
        <v>3</v>
      </c>
      <c r="I1209">
        <v>2</v>
      </c>
    </row>
    <row r="1210" spans="1:9" x14ac:dyDescent="0.35">
      <c r="A1210" t="str">
        <f t="shared" si="18"/>
        <v>afrractivation_hoursS1203232</v>
      </c>
      <c r="C1210" t="s">
        <v>103</v>
      </c>
      <c r="D1210" t="s">
        <v>115</v>
      </c>
      <c r="E1210" t="s">
        <v>110</v>
      </c>
      <c r="F1210">
        <v>8484</v>
      </c>
      <c r="G1210">
        <v>2032</v>
      </c>
      <c r="H1210">
        <v>3</v>
      </c>
      <c r="I1210">
        <v>2</v>
      </c>
    </row>
    <row r="1211" spans="1:9" x14ac:dyDescent="0.35">
      <c r="A1211" t="str">
        <f t="shared" si="18"/>
        <v>networkturpe_power_costS1203332</v>
      </c>
      <c r="C1211" t="s">
        <v>96</v>
      </c>
      <c r="D1211" t="s">
        <v>97</v>
      </c>
      <c r="E1211" t="s">
        <v>110</v>
      </c>
      <c r="F1211">
        <v>7491.4412306992608</v>
      </c>
      <c r="G1211">
        <v>2033</v>
      </c>
      <c r="H1211">
        <v>3</v>
      </c>
      <c r="I1211">
        <v>2</v>
      </c>
    </row>
    <row r="1212" spans="1:9" x14ac:dyDescent="0.35">
      <c r="A1212" t="str">
        <f t="shared" si="18"/>
        <v>networkturpe_energy_costS1203332</v>
      </c>
      <c r="C1212" t="s">
        <v>96</v>
      </c>
      <c r="D1212" t="s">
        <v>98</v>
      </c>
      <c r="E1212" t="s">
        <v>110</v>
      </c>
      <c r="F1212">
        <v>11788.020237964531</v>
      </c>
      <c r="G1212">
        <v>2033</v>
      </c>
      <c r="H1212">
        <v>3</v>
      </c>
      <c r="I1212">
        <v>2</v>
      </c>
    </row>
    <row r="1213" spans="1:9" x14ac:dyDescent="0.35">
      <c r="A1213" t="str">
        <f t="shared" si="18"/>
        <v>DAcostS1203332</v>
      </c>
      <c r="C1213" t="s">
        <v>99</v>
      </c>
      <c r="D1213" t="s">
        <v>100</v>
      </c>
      <c r="E1213" t="s">
        <v>110</v>
      </c>
      <c r="F1213">
        <v>36184.606939517667</v>
      </c>
      <c r="G1213">
        <v>2033</v>
      </c>
      <c r="H1213">
        <v>3</v>
      </c>
      <c r="I1213">
        <v>2</v>
      </c>
    </row>
    <row r="1214" spans="1:9" x14ac:dyDescent="0.35">
      <c r="A1214" t="str">
        <f t="shared" si="18"/>
        <v>DAincomeS1203332</v>
      </c>
      <c r="B1214" t="s">
        <v>95</v>
      </c>
      <c r="C1214" t="s">
        <v>99</v>
      </c>
      <c r="D1214" t="s">
        <v>101</v>
      </c>
      <c r="E1214" t="s">
        <v>110</v>
      </c>
      <c r="F1214">
        <v>68332.034558291285</v>
      </c>
      <c r="G1214">
        <v>2033</v>
      </c>
      <c r="H1214">
        <v>3</v>
      </c>
      <c r="I1214">
        <v>2</v>
      </c>
    </row>
    <row r="1215" spans="1:9" x14ac:dyDescent="0.35">
      <c r="A1215" t="str">
        <f t="shared" si="18"/>
        <v>DAenergy_boughtS1203332</v>
      </c>
      <c r="B1215" t="s">
        <v>95</v>
      </c>
      <c r="C1215" t="s">
        <v>99</v>
      </c>
      <c r="D1215" t="s">
        <v>111</v>
      </c>
      <c r="E1215" t="s">
        <v>110</v>
      </c>
      <c r="F1215">
        <v>791.6800203262876</v>
      </c>
      <c r="G1215">
        <v>2033</v>
      </c>
      <c r="H1215">
        <v>3</v>
      </c>
      <c r="I1215">
        <v>2</v>
      </c>
    </row>
    <row r="1216" spans="1:9" x14ac:dyDescent="0.35">
      <c r="A1216" t="str">
        <f t="shared" si="18"/>
        <v>DAenergy_soldS1203332</v>
      </c>
      <c r="C1216" t="s">
        <v>99</v>
      </c>
      <c r="D1216" t="s">
        <v>112</v>
      </c>
      <c r="E1216" t="s">
        <v>110</v>
      </c>
      <c r="F1216">
        <v>631.73274737560052</v>
      </c>
      <c r="G1216">
        <v>2033</v>
      </c>
      <c r="H1216">
        <v>3</v>
      </c>
      <c r="I1216">
        <v>2</v>
      </c>
    </row>
    <row r="1217" spans="1:9" x14ac:dyDescent="0.35">
      <c r="A1217" t="str">
        <f t="shared" si="18"/>
        <v>DAhours_boughtS1203332</v>
      </c>
      <c r="C1217" t="s">
        <v>99</v>
      </c>
      <c r="D1217" t="s">
        <v>113</v>
      </c>
      <c r="E1217" t="s">
        <v>110</v>
      </c>
      <c r="F1217">
        <v>1788</v>
      </c>
      <c r="G1217">
        <v>2033</v>
      </c>
      <c r="H1217">
        <v>3</v>
      </c>
      <c r="I1217">
        <v>2</v>
      </c>
    </row>
    <row r="1218" spans="1:9" x14ac:dyDescent="0.35">
      <c r="A1218" t="str">
        <f t="shared" si="18"/>
        <v>DAhours_soldS1203332</v>
      </c>
      <c r="C1218" t="s">
        <v>99</v>
      </c>
      <c r="D1218" t="s">
        <v>114</v>
      </c>
      <c r="E1218" t="s">
        <v>110</v>
      </c>
      <c r="F1218">
        <v>412</v>
      </c>
      <c r="G1218">
        <v>2033</v>
      </c>
      <c r="H1218">
        <v>3</v>
      </c>
      <c r="I1218">
        <v>2</v>
      </c>
    </row>
    <row r="1219" spans="1:9" x14ac:dyDescent="0.35">
      <c r="A1219" t="str">
        <f t="shared" ref="A1219:A1282" si="19">C1219&amp;D1219&amp;E1219&amp;G1219&amp;H1219&amp;I1219</f>
        <v>DAco2_emissionS1203332</v>
      </c>
      <c r="C1219" t="s">
        <v>99</v>
      </c>
      <c r="D1219" t="s">
        <v>204</v>
      </c>
      <c r="E1219" t="s">
        <v>110</v>
      </c>
      <c r="F1219">
        <v>55417.601422839623</v>
      </c>
      <c r="G1219">
        <v>2033</v>
      </c>
      <c r="H1219">
        <v>3</v>
      </c>
      <c r="I1219">
        <v>2</v>
      </c>
    </row>
    <row r="1220" spans="1:9" x14ac:dyDescent="0.35">
      <c r="A1220" t="str">
        <f t="shared" si="19"/>
        <v>fcrincomeS1203332</v>
      </c>
      <c r="C1220" t="s">
        <v>102</v>
      </c>
      <c r="D1220" t="s">
        <v>101</v>
      </c>
      <c r="E1220" t="s">
        <v>110</v>
      </c>
      <c r="F1220">
        <v>7.5029650777256034</v>
      </c>
      <c r="G1220">
        <v>2033</v>
      </c>
      <c r="H1220">
        <v>3</v>
      </c>
      <c r="I1220">
        <v>2</v>
      </c>
    </row>
    <row r="1221" spans="1:9" x14ac:dyDescent="0.35">
      <c r="A1221" t="str">
        <f t="shared" si="19"/>
        <v>fcractivation_hoursS1203332</v>
      </c>
      <c r="C1221" t="s">
        <v>102</v>
      </c>
      <c r="D1221" t="s">
        <v>115</v>
      </c>
      <c r="E1221" t="s">
        <v>110</v>
      </c>
      <c r="F1221">
        <v>12</v>
      </c>
      <c r="G1221">
        <v>2033</v>
      </c>
      <c r="H1221">
        <v>3</v>
      </c>
      <c r="I1221">
        <v>2</v>
      </c>
    </row>
    <row r="1222" spans="1:9" x14ac:dyDescent="0.35">
      <c r="A1222" t="str">
        <f t="shared" si="19"/>
        <v>afrrincomeS1203332</v>
      </c>
      <c r="C1222" t="s">
        <v>103</v>
      </c>
      <c r="D1222" t="s">
        <v>101</v>
      </c>
      <c r="E1222" t="s">
        <v>110</v>
      </c>
      <c r="F1222">
        <v>81139.344943853925</v>
      </c>
      <c r="G1222">
        <v>2033</v>
      </c>
      <c r="H1222">
        <v>3</v>
      </c>
      <c r="I1222">
        <v>2</v>
      </c>
    </row>
    <row r="1223" spans="1:9" x14ac:dyDescent="0.35">
      <c r="A1223" t="str">
        <f t="shared" si="19"/>
        <v>afrractivation_hoursS1203332</v>
      </c>
      <c r="C1223" t="s">
        <v>103</v>
      </c>
      <c r="D1223" t="s">
        <v>115</v>
      </c>
      <c r="E1223" t="s">
        <v>110</v>
      </c>
      <c r="F1223">
        <v>8528</v>
      </c>
      <c r="G1223">
        <v>2033</v>
      </c>
      <c r="H1223">
        <v>3</v>
      </c>
      <c r="I1223">
        <v>2</v>
      </c>
    </row>
    <row r="1224" spans="1:9" x14ac:dyDescent="0.35">
      <c r="A1224" t="str">
        <f t="shared" si="19"/>
        <v>networkturpe_power_costS1203432</v>
      </c>
      <c r="C1224" t="s">
        <v>96</v>
      </c>
      <c r="D1224" t="s">
        <v>97</v>
      </c>
      <c r="E1224" t="s">
        <v>110</v>
      </c>
      <c r="F1224">
        <v>7296.5273064124694</v>
      </c>
      <c r="G1224">
        <v>2034</v>
      </c>
      <c r="H1224">
        <v>3</v>
      </c>
      <c r="I1224">
        <v>2</v>
      </c>
    </row>
    <row r="1225" spans="1:9" x14ac:dyDescent="0.35">
      <c r="A1225" t="str">
        <f t="shared" si="19"/>
        <v>networkturpe_energy_costS1203432</v>
      </c>
      <c r="C1225" t="s">
        <v>96</v>
      </c>
      <c r="D1225" t="s">
        <v>98</v>
      </c>
      <c r="E1225" t="s">
        <v>110</v>
      </c>
      <c r="F1225">
        <v>12337.99060783007</v>
      </c>
      <c r="G1225">
        <v>2034</v>
      </c>
      <c r="H1225">
        <v>3</v>
      </c>
      <c r="I1225">
        <v>2</v>
      </c>
    </row>
    <row r="1226" spans="1:9" x14ac:dyDescent="0.35">
      <c r="A1226" t="str">
        <f t="shared" si="19"/>
        <v>DAcostS1203432</v>
      </c>
      <c r="B1226" t="s">
        <v>95</v>
      </c>
      <c r="C1226" t="s">
        <v>99</v>
      </c>
      <c r="D1226" t="s">
        <v>100</v>
      </c>
      <c r="E1226" t="s">
        <v>110</v>
      </c>
      <c r="F1226">
        <v>36742.060635288071</v>
      </c>
      <c r="G1226">
        <v>2034</v>
      </c>
      <c r="H1226">
        <v>3</v>
      </c>
      <c r="I1226">
        <v>2</v>
      </c>
    </row>
    <row r="1227" spans="1:9" x14ac:dyDescent="0.35">
      <c r="A1227" t="str">
        <f t="shared" si="19"/>
        <v>DAincomeS1203432</v>
      </c>
      <c r="B1227" t="s">
        <v>95</v>
      </c>
      <c r="C1227" t="s">
        <v>99</v>
      </c>
      <c r="D1227" t="s">
        <v>101</v>
      </c>
      <c r="E1227" t="s">
        <v>110</v>
      </c>
      <c r="F1227">
        <v>69654.499504867694</v>
      </c>
      <c r="G1227">
        <v>2034</v>
      </c>
      <c r="H1227">
        <v>3</v>
      </c>
      <c r="I1227">
        <v>2</v>
      </c>
    </row>
    <row r="1228" spans="1:9" x14ac:dyDescent="0.35">
      <c r="A1228" t="str">
        <f t="shared" si="19"/>
        <v>DAenergy_boughtS1203432</v>
      </c>
      <c r="C1228" t="s">
        <v>99</v>
      </c>
      <c r="D1228" t="s">
        <v>111</v>
      </c>
      <c r="E1228" t="s">
        <v>110</v>
      </c>
      <c r="F1228">
        <v>791.98276308118943</v>
      </c>
      <c r="G1228">
        <v>2034</v>
      </c>
      <c r="H1228">
        <v>3</v>
      </c>
      <c r="I1228">
        <v>2</v>
      </c>
    </row>
    <row r="1229" spans="1:9" x14ac:dyDescent="0.35">
      <c r="A1229" t="str">
        <f t="shared" si="19"/>
        <v>DAenergy_soldS1203432</v>
      </c>
      <c r="C1229" t="s">
        <v>99</v>
      </c>
      <c r="D1229" t="s">
        <v>112</v>
      </c>
      <c r="E1229" t="s">
        <v>110</v>
      </c>
      <c r="F1229">
        <v>632.25873087324885</v>
      </c>
      <c r="G1229">
        <v>2034</v>
      </c>
      <c r="H1229">
        <v>3</v>
      </c>
      <c r="I1229">
        <v>2</v>
      </c>
    </row>
    <row r="1230" spans="1:9" x14ac:dyDescent="0.35">
      <c r="A1230" t="str">
        <f t="shared" si="19"/>
        <v>DAhours_boughtS1203432</v>
      </c>
      <c r="C1230" t="s">
        <v>99</v>
      </c>
      <c r="D1230" t="s">
        <v>113</v>
      </c>
      <c r="E1230" t="s">
        <v>110</v>
      </c>
      <c r="F1230">
        <v>1907</v>
      </c>
      <c r="G1230">
        <v>2034</v>
      </c>
      <c r="H1230">
        <v>3</v>
      </c>
      <c r="I1230">
        <v>2</v>
      </c>
    </row>
    <row r="1231" spans="1:9" x14ac:dyDescent="0.35">
      <c r="A1231" t="str">
        <f t="shared" si="19"/>
        <v>DAhours_soldS1203432</v>
      </c>
      <c r="C1231" t="s">
        <v>99</v>
      </c>
      <c r="D1231" t="s">
        <v>114</v>
      </c>
      <c r="E1231" t="s">
        <v>110</v>
      </c>
      <c r="F1231">
        <v>399</v>
      </c>
      <c r="G1231">
        <v>2034</v>
      </c>
      <c r="H1231">
        <v>3</v>
      </c>
      <c r="I1231">
        <v>2</v>
      </c>
    </row>
    <row r="1232" spans="1:9" x14ac:dyDescent="0.35">
      <c r="A1232" t="str">
        <f t="shared" si="19"/>
        <v>DAco2_emissionS1203432</v>
      </c>
      <c r="C1232" t="s">
        <v>99</v>
      </c>
      <c r="D1232" t="s">
        <v>204</v>
      </c>
      <c r="E1232" t="s">
        <v>110</v>
      </c>
      <c r="F1232">
        <v>55438.793415683118</v>
      </c>
      <c r="G1232">
        <v>2034</v>
      </c>
      <c r="H1232">
        <v>3</v>
      </c>
      <c r="I1232">
        <v>2</v>
      </c>
    </row>
    <row r="1233" spans="1:9" x14ac:dyDescent="0.35">
      <c r="A1233" t="str">
        <f t="shared" si="19"/>
        <v>fcrincomeS1203432</v>
      </c>
      <c r="C1233" t="s">
        <v>102</v>
      </c>
      <c r="D1233" t="s">
        <v>101</v>
      </c>
      <c r="E1233" t="s">
        <v>110</v>
      </c>
      <c r="F1233">
        <v>1.060565894893241</v>
      </c>
      <c r="G1233">
        <v>2034</v>
      </c>
      <c r="H1233">
        <v>3</v>
      </c>
      <c r="I1233">
        <v>2</v>
      </c>
    </row>
    <row r="1234" spans="1:9" x14ac:dyDescent="0.35">
      <c r="A1234" t="str">
        <f t="shared" si="19"/>
        <v>fcractivation_hoursS1203432</v>
      </c>
      <c r="C1234" t="s">
        <v>102</v>
      </c>
      <c r="D1234" t="s">
        <v>115</v>
      </c>
      <c r="E1234" t="s">
        <v>110</v>
      </c>
      <c r="F1234">
        <v>4</v>
      </c>
      <c r="G1234">
        <v>2034</v>
      </c>
      <c r="H1234">
        <v>3</v>
      </c>
      <c r="I1234">
        <v>2</v>
      </c>
    </row>
    <row r="1235" spans="1:9" x14ac:dyDescent="0.35">
      <c r="A1235" t="str">
        <f t="shared" si="19"/>
        <v>afrrincomeS1203432</v>
      </c>
      <c r="C1235" t="s">
        <v>103</v>
      </c>
      <c r="D1235" t="s">
        <v>101</v>
      </c>
      <c r="E1235" t="s">
        <v>110</v>
      </c>
      <c r="F1235">
        <v>85467.423673120531</v>
      </c>
      <c r="G1235">
        <v>2034</v>
      </c>
      <c r="H1235">
        <v>3</v>
      </c>
      <c r="I1235">
        <v>2</v>
      </c>
    </row>
    <row r="1236" spans="1:9" x14ac:dyDescent="0.35">
      <c r="A1236" t="str">
        <f t="shared" si="19"/>
        <v>afrractivation_hoursS1203432</v>
      </c>
      <c r="C1236" t="s">
        <v>103</v>
      </c>
      <c r="D1236" t="s">
        <v>115</v>
      </c>
      <c r="E1236" t="s">
        <v>110</v>
      </c>
      <c r="F1236">
        <v>8571</v>
      </c>
      <c r="G1236">
        <v>2034</v>
      </c>
      <c r="H1236">
        <v>3</v>
      </c>
      <c r="I1236">
        <v>2</v>
      </c>
    </row>
    <row r="1237" spans="1:9" x14ac:dyDescent="0.35">
      <c r="A1237" t="str">
        <f t="shared" si="19"/>
        <v>networkturpe_power_costS1203532</v>
      </c>
      <c r="C1237" t="s">
        <v>96</v>
      </c>
      <c r="D1237" t="s">
        <v>97</v>
      </c>
      <c r="E1237" t="s">
        <v>110</v>
      </c>
      <c r="F1237">
        <v>7098.2302897449572</v>
      </c>
      <c r="G1237">
        <v>2035</v>
      </c>
      <c r="H1237">
        <v>3</v>
      </c>
      <c r="I1237">
        <v>2</v>
      </c>
    </row>
    <row r="1238" spans="1:9" x14ac:dyDescent="0.35">
      <c r="A1238" t="str">
        <f t="shared" si="19"/>
        <v>networkturpe_energy_costS1203532</v>
      </c>
      <c r="B1238" t="s">
        <v>95</v>
      </c>
      <c r="C1238" t="s">
        <v>96</v>
      </c>
      <c r="D1238" t="s">
        <v>98</v>
      </c>
      <c r="E1238" t="s">
        <v>110</v>
      </c>
      <c r="F1238">
        <v>11865.274401715829</v>
      </c>
      <c r="G1238">
        <v>2035</v>
      </c>
      <c r="H1238">
        <v>3</v>
      </c>
      <c r="I1238">
        <v>2</v>
      </c>
    </row>
    <row r="1239" spans="1:9" x14ac:dyDescent="0.35">
      <c r="A1239" t="str">
        <f t="shared" si="19"/>
        <v>DAcostS1203532</v>
      </c>
      <c r="B1239" t="s">
        <v>95</v>
      </c>
      <c r="C1239" t="s">
        <v>99</v>
      </c>
      <c r="D1239" t="s">
        <v>100</v>
      </c>
      <c r="E1239" t="s">
        <v>110</v>
      </c>
      <c r="F1239">
        <v>33398.498358612647</v>
      </c>
      <c r="G1239">
        <v>2035</v>
      </c>
      <c r="H1239">
        <v>3</v>
      </c>
      <c r="I1239">
        <v>2</v>
      </c>
    </row>
    <row r="1240" spans="1:9" x14ac:dyDescent="0.35">
      <c r="A1240" t="str">
        <f t="shared" si="19"/>
        <v>DAincomeS1203532</v>
      </c>
      <c r="C1240" t="s">
        <v>99</v>
      </c>
      <c r="D1240" t="s">
        <v>101</v>
      </c>
      <c r="E1240" t="s">
        <v>110</v>
      </c>
      <c r="F1240">
        <v>64797.845240753712</v>
      </c>
      <c r="G1240">
        <v>2035</v>
      </c>
      <c r="H1240">
        <v>3</v>
      </c>
      <c r="I1240">
        <v>2</v>
      </c>
    </row>
    <row r="1241" spans="1:9" x14ac:dyDescent="0.35">
      <c r="A1241" t="str">
        <f t="shared" si="19"/>
        <v>DAenergy_boughtS1203532</v>
      </c>
      <c r="C1241" t="s">
        <v>99</v>
      </c>
      <c r="D1241" t="s">
        <v>111</v>
      </c>
      <c r="E1241" t="s">
        <v>110</v>
      </c>
      <c r="F1241">
        <v>759.30118835526503</v>
      </c>
      <c r="G1241">
        <v>2035</v>
      </c>
      <c r="H1241">
        <v>3</v>
      </c>
      <c r="I1241">
        <v>2</v>
      </c>
    </row>
    <row r="1242" spans="1:9" x14ac:dyDescent="0.35">
      <c r="A1242" t="str">
        <f t="shared" si="19"/>
        <v>DAenergy_soldS1203532</v>
      </c>
      <c r="C1242" t="s">
        <v>99</v>
      </c>
      <c r="D1242" t="s">
        <v>112</v>
      </c>
      <c r="E1242" t="s">
        <v>110</v>
      </c>
      <c r="F1242">
        <v>606.02505440889854</v>
      </c>
      <c r="G1242">
        <v>2035</v>
      </c>
      <c r="H1242">
        <v>3</v>
      </c>
      <c r="I1242">
        <v>2</v>
      </c>
    </row>
    <row r="1243" spans="1:9" x14ac:dyDescent="0.35">
      <c r="A1243" t="str">
        <f t="shared" si="19"/>
        <v>DAhours_boughtS1203532</v>
      </c>
      <c r="C1243" t="s">
        <v>99</v>
      </c>
      <c r="D1243" t="s">
        <v>113</v>
      </c>
      <c r="E1243" t="s">
        <v>110</v>
      </c>
      <c r="F1243">
        <v>1905</v>
      </c>
      <c r="G1243">
        <v>2035</v>
      </c>
      <c r="H1243">
        <v>3</v>
      </c>
      <c r="I1243">
        <v>2</v>
      </c>
    </row>
    <row r="1244" spans="1:9" x14ac:dyDescent="0.35">
      <c r="A1244" t="str">
        <f t="shared" si="19"/>
        <v>DAhours_soldS1203532</v>
      </c>
      <c r="C1244" t="s">
        <v>99</v>
      </c>
      <c r="D1244" t="s">
        <v>114</v>
      </c>
      <c r="E1244" t="s">
        <v>110</v>
      </c>
      <c r="F1244">
        <v>404</v>
      </c>
      <c r="G1244">
        <v>2035</v>
      </c>
      <c r="H1244">
        <v>3</v>
      </c>
      <c r="I1244">
        <v>2</v>
      </c>
    </row>
    <row r="1245" spans="1:9" x14ac:dyDescent="0.35">
      <c r="A1245" t="str">
        <f t="shared" si="19"/>
        <v>DAco2_emissionS1203532</v>
      </c>
      <c r="C1245" t="s">
        <v>99</v>
      </c>
      <c r="D1245" t="s">
        <v>204</v>
      </c>
      <c r="E1245" t="s">
        <v>110</v>
      </c>
      <c r="F1245">
        <v>53151.083184868359</v>
      </c>
      <c r="G1245">
        <v>2035</v>
      </c>
      <c r="H1245">
        <v>3</v>
      </c>
      <c r="I1245">
        <v>2</v>
      </c>
    </row>
    <row r="1246" spans="1:9" x14ac:dyDescent="0.35">
      <c r="A1246" t="str">
        <f t="shared" si="19"/>
        <v>fcrincomeS1203532</v>
      </c>
      <c r="C1246" t="s">
        <v>102</v>
      </c>
      <c r="D1246" t="s">
        <v>101</v>
      </c>
      <c r="E1246" t="s">
        <v>110</v>
      </c>
      <c r="F1246">
        <v>0</v>
      </c>
      <c r="G1246">
        <v>2035</v>
      </c>
      <c r="H1246">
        <v>3</v>
      </c>
      <c r="I1246">
        <v>2</v>
      </c>
    </row>
    <row r="1247" spans="1:9" x14ac:dyDescent="0.35">
      <c r="A1247" t="str">
        <f t="shared" si="19"/>
        <v>fcractivation_hoursS1203532</v>
      </c>
      <c r="C1247" t="s">
        <v>102</v>
      </c>
      <c r="D1247" t="s">
        <v>115</v>
      </c>
      <c r="E1247" t="s">
        <v>110</v>
      </c>
      <c r="F1247">
        <v>0</v>
      </c>
      <c r="G1247">
        <v>2035</v>
      </c>
      <c r="H1247">
        <v>3</v>
      </c>
      <c r="I1247">
        <v>2</v>
      </c>
    </row>
    <row r="1248" spans="1:9" x14ac:dyDescent="0.35">
      <c r="A1248" t="str">
        <f t="shared" si="19"/>
        <v>afrrincomeS1203532</v>
      </c>
      <c r="C1248" t="s">
        <v>103</v>
      </c>
      <c r="D1248" t="s">
        <v>101</v>
      </c>
      <c r="E1248" t="s">
        <v>110</v>
      </c>
      <c r="F1248">
        <v>84905.063925426628</v>
      </c>
      <c r="G1248">
        <v>2035</v>
      </c>
      <c r="H1248">
        <v>3</v>
      </c>
      <c r="I1248">
        <v>2</v>
      </c>
    </row>
    <row r="1249" spans="1:9" x14ac:dyDescent="0.35">
      <c r="A1249" t="str">
        <f t="shared" si="19"/>
        <v>afrractivation_hoursS1203532</v>
      </c>
      <c r="C1249" t="s">
        <v>103</v>
      </c>
      <c r="D1249" t="s">
        <v>115</v>
      </c>
      <c r="E1249" t="s">
        <v>110</v>
      </c>
      <c r="F1249">
        <v>8560</v>
      </c>
      <c r="G1249">
        <v>2035</v>
      </c>
      <c r="H1249">
        <v>3</v>
      </c>
      <c r="I1249">
        <v>2</v>
      </c>
    </row>
    <row r="1250" spans="1:9" x14ac:dyDescent="0.35">
      <c r="A1250" t="str">
        <f t="shared" si="19"/>
        <v>networkturpe_power_costS1203632</v>
      </c>
      <c r="B1250" t="s">
        <v>95</v>
      </c>
      <c r="C1250" t="s">
        <v>96</v>
      </c>
      <c r="D1250" t="s">
        <v>97</v>
      </c>
      <c r="E1250" t="s">
        <v>110</v>
      </c>
      <c r="F1250">
        <v>6882.7545987392123</v>
      </c>
      <c r="G1250">
        <v>2036</v>
      </c>
      <c r="H1250">
        <v>3</v>
      </c>
      <c r="I1250">
        <v>2</v>
      </c>
    </row>
    <row r="1251" spans="1:9" x14ac:dyDescent="0.35">
      <c r="A1251" t="str">
        <f t="shared" si="19"/>
        <v>networkturpe_energy_costS1203632</v>
      </c>
      <c r="B1251" t="s">
        <v>95</v>
      </c>
      <c r="C1251" t="s">
        <v>96</v>
      </c>
      <c r="D1251" t="s">
        <v>98</v>
      </c>
      <c r="E1251" t="s">
        <v>110</v>
      </c>
      <c r="F1251">
        <v>11576.552510779091</v>
      </c>
      <c r="G1251">
        <v>2036</v>
      </c>
      <c r="H1251">
        <v>3</v>
      </c>
      <c r="I1251">
        <v>2</v>
      </c>
    </row>
    <row r="1252" spans="1:9" x14ac:dyDescent="0.35">
      <c r="A1252" t="str">
        <f t="shared" si="19"/>
        <v>DAcostS1203632</v>
      </c>
      <c r="C1252" t="s">
        <v>99</v>
      </c>
      <c r="D1252" t="s">
        <v>100</v>
      </c>
      <c r="E1252" t="s">
        <v>110</v>
      </c>
      <c r="F1252">
        <v>33180.15319630452</v>
      </c>
      <c r="G1252">
        <v>2036</v>
      </c>
      <c r="H1252">
        <v>3</v>
      </c>
      <c r="I1252">
        <v>2</v>
      </c>
    </row>
    <row r="1253" spans="1:9" x14ac:dyDescent="0.35">
      <c r="A1253" t="str">
        <f t="shared" si="19"/>
        <v>DAincomeS1203632</v>
      </c>
      <c r="C1253" t="s">
        <v>99</v>
      </c>
      <c r="D1253" t="s">
        <v>101</v>
      </c>
      <c r="E1253" t="s">
        <v>110</v>
      </c>
      <c r="F1253">
        <v>64702.413204110388</v>
      </c>
      <c r="G1253">
        <v>2036</v>
      </c>
      <c r="H1253">
        <v>3</v>
      </c>
      <c r="I1253">
        <v>2</v>
      </c>
    </row>
    <row r="1254" spans="1:9" x14ac:dyDescent="0.35">
      <c r="A1254" t="str">
        <f t="shared" si="19"/>
        <v>DAenergy_boughtS1203632</v>
      </c>
      <c r="C1254" t="s">
        <v>99</v>
      </c>
      <c r="D1254" t="s">
        <v>111</v>
      </c>
      <c r="E1254" t="s">
        <v>110</v>
      </c>
      <c r="F1254">
        <v>739.56580723422724</v>
      </c>
      <c r="G1254">
        <v>2036</v>
      </c>
      <c r="H1254">
        <v>3</v>
      </c>
      <c r="I1254">
        <v>2</v>
      </c>
    </row>
    <row r="1255" spans="1:9" x14ac:dyDescent="0.35">
      <c r="A1255" t="str">
        <f t="shared" si="19"/>
        <v>DAenergy_soldS1203632</v>
      </c>
      <c r="C1255" t="s">
        <v>99</v>
      </c>
      <c r="D1255" t="s">
        <v>112</v>
      </c>
      <c r="E1255" t="s">
        <v>110</v>
      </c>
      <c r="F1255">
        <v>590.36671303877586</v>
      </c>
      <c r="G1255">
        <v>2036</v>
      </c>
      <c r="H1255">
        <v>3</v>
      </c>
      <c r="I1255">
        <v>2</v>
      </c>
    </row>
    <row r="1256" spans="1:9" x14ac:dyDescent="0.35">
      <c r="A1256" t="str">
        <f t="shared" si="19"/>
        <v>DAhours_boughtS1203632</v>
      </c>
      <c r="C1256" t="s">
        <v>99</v>
      </c>
      <c r="D1256" t="s">
        <v>113</v>
      </c>
      <c r="E1256" t="s">
        <v>110</v>
      </c>
      <c r="F1256">
        <v>1868</v>
      </c>
      <c r="G1256">
        <v>2036</v>
      </c>
      <c r="H1256">
        <v>3</v>
      </c>
      <c r="I1256">
        <v>2</v>
      </c>
    </row>
    <row r="1257" spans="1:9" x14ac:dyDescent="0.35">
      <c r="A1257" t="str">
        <f t="shared" si="19"/>
        <v>DAhours_soldS1203632</v>
      </c>
      <c r="C1257" t="s">
        <v>99</v>
      </c>
      <c r="D1257" t="s">
        <v>114</v>
      </c>
      <c r="E1257" t="s">
        <v>110</v>
      </c>
      <c r="F1257">
        <v>414</v>
      </c>
      <c r="G1257">
        <v>2036</v>
      </c>
      <c r="H1257">
        <v>3</v>
      </c>
      <c r="I1257">
        <v>2</v>
      </c>
    </row>
    <row r="1258" spans="1:9" x14ac:dyDescent="0.35">
      <c r="A1258" t="str">
        <f t="shared" si="19"/>
        <v>DAco2_emissionS1203632</v>
      </c>
      <c r="C1258" t="s">
        <v>99</v>
      </c>
      <c r="D1258" t="s">
        <v>204</v>
      </c>
      <c r="E1258" t="s">
        <v>110</v>
      </c>
      <c r="F1258">
        <v>51769.60650639607</v>
      </c>
      <c r="G1258">
        <v>2036</v>
      </c>
      <c r="H1258">
        <v>3</v>
      </c>
      <c r="I1258">
        <v>2</v>
      </c>
    </row>
    <row r="1259" spans="1:9" x14ac:dyDescent="0.35">
      <c r="A1259" t="str">
        <f t="shared" si="19"/>
        <v>fcrincomeS1203632</v>
      </c>
      <c r="C1259" t="s">
        <v>102</v>
      </c>
      <c r="D1259" t="s">
        <v>101</v>
      </c>
      <c r="E1259" t="s">
        <v>110</v>
      </c>
      <c r="F1259">
        <v>2.0562341305116738</v>
      </c>
      <c r="G1259">
        <v>2036</v>
      </c>
      <c r="H1259">
        <v>3</v>
      </c>
      <c r="I1259">
        <v>2</v>
      </c>
    </row>
    <row r="1260" spans="1:9" x14ac:dyDescent="0.35">
      <c r="A1260" t="str">
        <f t="shared" si="19"/>
        <v>fcractivation_hoursS1203632</v>
      </c>
      <c r="C1260" t="s">
        <v>102</v>
      </c>
      <c r="D1260" t="s">
        <v>115</v>
      </c>
      <c r="E1260" t="s">
        <v>110</v>
      </c>
      <c r="F1260">
        <v>4</v>
      </c>
      <c r="G1260">
        <v>2036</v>
      </c>
      <c r="H1260">
        <v>3</v>
      </c>
      <c r="I1260">
        <v>2</v>
      </c>
    </row>
    <row r="1261" spans="1:9" x14ac:dyDescent="0.35">
      <c r="A1261" t="str">
        <f t="shared" si="19"/>
        <v>afrrincomeS1203632</v>
      </c>
      <c r="C1261" t="s">
        <v>103</v>
      </c>
      <c r="D1261" t="s">
        <v>101</v>
      </c>
      <c r="E1261" t="s">
        <v>110</v>
      </c>
      <c r="F1261">
        <v>80354.995325537151</v>
      </c>
      <c r="G1261">
        <v>2036</v>
      </c>
      <c r="H1261">
        <v>3</v>
      </c>
      <c r="I1261">
        <v>2</v>
      </c>
    </row>
    <row r="1262" spans="1:9" x14ac:dyDescent="0.35">
      <c r="A1262" t="str">
        <f t="shared" si="19"/>
        <v>afrractivation_hoursS1203632</v>
      </c>
      <c r="B1262" t="s">
        <v>95</v>
      </c>
      <c r="C1262" t="s">
        <v>103</v>
      </c>
      <c r="D1262" t="s">
        <v>115</v>
      </c>
      <c r="E1262" t="s">
        <v>110</v>
      </c>
      <c r="F1262">
        <v>8502</v>
      </c>
      <c r="G1262">
        <v>2036</v>
      </c>
      <c r="H1262">
        <v>3</v>
      </c>
      <c r="I1262">
        <v>2</v>
      </c>
    </row>
    <row r="1263" spans="1:9" x14ac:dyDescent="0.35">
      <c r="A1263" t="str">
        <f t="shared" si="19"/>
        <v>networkturpe_power_costS1203732</v>
      </c>
      <c r="B1263" t="s">
        <v>95</v>
      </c>
      <c r="C1263" t="s">
        <v>96</v>
      </c>
      <c r="D1263" t="s">
        <v>97</v>
      </c>
      <c r="E1263" t="s">
        <v>110</v>
      </c>
      <c r="F1263">
        <v>6668.7390261334212</v>
      </c>
      <c r="G1263">
        <v>2037</v>
      </c>
      <c r="H1263">
        <v>3</v>
      </c>
      <c r="I1263">
        <v>2</v>
      </c>
    </row>
    <row r="1264" spans="1:9" x14ac:dyDescent="0.35">
      <c r="A1264" t="str">
        <f t="shared" si="19"/>
        <v>networkturpe_energy_costS1203732</v>
      </c>
      <c r="C1264" t="s">
        <v>96</v>
      </c>
      <c r="D1264" t="s">
        <v>98</v>
      </c>
      <c r="E1264" t="s">
        <v>110</v>
      </c>
      <c r="F1264">
        <v>10312.86813542697</v>
      </c>
      <c r="G1264">
        <v>2037</v>
      </c>
      <c r="H1264">
        <v>3</v>
      </c>
      <c r="I1264">
        <v>2</v>
      </c>
    </row>
    <row r="1265" spans="1:9" x14ac:dyDescent="0.35">
      <c r="A1265" t="str">
        <f t="shared" si="19"/>
        <v>DAcostS1203732</v>
      </c>
      <c r="C1265" t="s">
        <v>99</v>
      </c>
      <c r="D1265" t="s">
        <v>100</v>
      </c>
      <c r="E1265" t="s">
        <v>110</v>
      </c>
      <c r="F1265">
        <v>28313.31401088577</v>
      </c>
      <c r="G1265">
        <v>2037</v>
      </c>
      <c r="H1265">
        <v>3</v>
      </c>
      <c r="I1265">
        <v>2</v>
      </c>
    </row>
    <row r="1266" spans="1:9" x14ac:dyDescent="0.35">
      <c r="A1266" t="str">
        <f t="shared" si="19"/>
        <v>DAincomeS1203732</v>
      </c>
      <c r="C1266" t="s">
        <v>99</v>
      </c>
      <c r="D1266" t="s">
        <v>101</v>
      </c>
      <c r="E1266" t="s">
        <v>110</v>
      </c>
      <c r="F1266">
        <v>56208.780823369409</v>
      </c>
      <c r="G1266">
        <v>2037</v>
      </c>
      <c r="H1266">
        <v>3</v>
      </c>
      <c r="I1266">
        <v>2</v>
      </c>
    </row>
    <row r="1267" spans="1:9" x14ac:dyDescent="0.35">
      <c r="A1267" t="str">
        <f t="shared" si="19"/>
        <v>DAenergy_boughtS1203732</v>
      </c>
      <c r="C1267" t="s">
        <v>99</v>
      </c>
      <c r="D1267" t="s">
        <v>111</v>
      </c>
      <c r="E1267" t="s">
        <v>110</v>
      </c>
      <c r="F1267">
        <v>657.80149010536434</v>
      </c>
      <c r="G1267">
        <v>2037</v>
      </c>
      <c r="H1267">
        <v>3</v>
      </c>
      <c r="I1267">
        <v>2</v>
      </c>
    </row>
    <row r="1268" spans="1:9" x14ac:dyDescent="0.35">
      <c r="A1268" t="str">
        <f t="shared" si="19"/>
        <v>DAenergy_soldS1203732</v>
      </c>
      <c r="C1268" t="s">
        <v>99</v>
      </c>
      <c r="D1268" t="s">
        <v>112</v>
      </c>
      <c r="E1268" t="s">
        <v>110</v>
      </c>
      <c r="F1268">
        <v>524.17506527568753</v>
      </c>
      <c r="G1268">
        <v>2037</v>
      </c>
      <c r="H1268">
        <v>3</v>
      </c>
      <c r="I1268">
        <v>2</v>
      </c>
    </row>
    <row r="1269" spans="1:9" x14ac:dyDescent="0.35">
      <c r="A1269" t="str">
        <f t="shared" si="19"/>
        <v>DAhours_boughtS1203732</v>
      </c>
      <c r="C1269" t="s">
        <v>99</v>
      </c>
      <c r="D1269" t="s">
        <v>113</v>
      </c>
      <c r="E1269" t="s">
        <v>110</v>
      </c>
      <c r="F1269">
        <v>1888</v>
      </c>
      <c r="G1269">
        <v>2037</v>
      </c>
      <c r="H1269">
        <v>3</v>
      </c>
      <c r="I1269">
        <v>2</v>
      </c>
    </row>
    <row r="1270" spans="1:9" x14ac:dyDescent="0.35">
      <c r="A1270" t="str">
        <f t="shared" si="19"/>
        <v>DAhours_soldS1203732</v>
      </c>
      <c r="C1270" t="s">
        <v>99</v>
      </c>
      <c r="D1270" t="s">
        <v>114</v>
      </c>
      <c r="E1270" t="s">
        <v>110</v>
      </c>
      <c r="F1270">
        <v>390</v>
      </c>
      <c r="G1270">
        <v>2037</v>
      </c>
      <c r="H1270">
        <v>3</v>
      </c>
      <c r="I1270">
        <v>2</v>
      </c>
    </row>
    <row r="1271" spans="1:9" x14ac:dyDescent="0.35">
      <c r="A1271" t="str">
        <f t="shared" si="19"/>
        <v>DAco2_emissionS1203732</v>
      </c>
      <c r="C1271" t="s">
        <v>99</v>
      </c>
      <c r="D1271" t="s">
        <v>204</v>
      </c>
      <c r="E1271" t="s">
        <v>110</v>
      </c>
      <c r="F1271">
        <v>46046.104307375863</v>
      </c>
      <c r="G1271">
        <v>2037</v>
      </c>
      <c r="H1271">
        <v>3</v>
      </c>
      <c r="I1271">
        <v>2</v>
      </c>
    </row>
    <row r="1272" spans="1:9" x14ac:dyDescent="0.35">
      <c r="A1272" t="str">
        <f t="shared" si="19"/>
        <v>fcrincomeS1203732</v>
      </c>
      <c r="C1272" t="s">
        <v>102</v>
      </c>
      <c r="D1272" t="s">
        <v>101</v>
      </c>
      <c r="E1272" t="s">
        <v>110</v>
      </c>
      <c r="F1272">
        <v>1.9847133988653201</v>
      </c>
      <c r="G1272">
        <v>2037</v>
      </c>
      <c r="H1272">
        <v>3</v>
      </c>
      <c r="I1272">
        <v>2</v>
      </c>
    </row>
    <row r="1273" spans="1:9" x14ac:dyDescent="0.35">
      <c r="A1273" t="str">
        <f t="shared" si="19"/>
        <v>fcractivation_hoursS1203732</v>
      </c>
      <c r="C1273" t="s">
        <v>102</v>
      </c>
      <c r="D1273" t="s">
        <v>115</v>
      </c>
      <c r="E1273" t="s">
        <v>110</v>
      </c>
      <c r="F1273">
        <v>8</v>
      </c>
      <c r="G1273">
        <v>2037</v>
      </c>
      <c r="H1273">
        <v>3</v>
      </c>
      <c r="I1273">
        <v>2</v>
      </c>
    </row>
    <row r="1274" spans="1:9" x14ac:dyDescent="0.35">
      <c r="A1274" t="str">
        <f t="shared" si="19"/>
        <v>afrrincomeS1203732</v>
      </c>
      <c r="B1274" t="s">
        <v>95</v>
      </c>
      <c r="C1274" t="s">
        <v>103</v>
      </c>
      <c r="D1274" t="s">
        <v>101</v>
      </c>
      <c r="E1274" t="s">
        <v>110</v>
      </c>
      <c r="F1274">
        <v>83590.104854781646</v>
      </c>
      <c r="G1274">
        <v>2037</v>
      </c>
      <c r="H1274">
        <v>3</v>
      </c>
      <c r="I1274">
        <v>2</v>
      </c>
    </row>
    <row r="1275" spans="1:9" x14ac:dyDescent="0.35">
      <c r="A1275" t="str">
        <f t="shared" si="19"/>
        <v>afrractivation_hoursS1203732</v>
      </c>
      <c r="B1275" t="s">
        <v>95</v>
      </c>
      <c r="C1275" t="s">
        <v>103</v>
      </c>
      <c r="D1275" t="s">
        <v>115</v>
      </c>
      <c r="E1275" t="s">
        <v>110</v>
      </c>
      <c r="F1275">
        <v>8555</v>
      </c>
      <c r="G1275">
        <v>2037</v>
      </c>
      <c r="H1275">
        <v>3</v>
      </c>
      <c r="I1275">
        <v>2</v>
      </c>
    </row>
    <row r="1276" spans="1:9" x14ac:dyDescent="0.35">
      <c r="A1276" t="str">
        <f t="shared" si="19"/>
        <v>networkturpe_power_costS1203832</v>
      </c>
      <c r="C1276" t="s">
        <v>96</v>
      </c>
      <c r="D1276" t="s">
        <v>97</v>
      </c>
      <c r="E1276" t="s">
        <v>110</v>
      </c>
      <c r="F1276">
        <v>6482.1148338713629</v>
      </c>
      <c r="G1276">
        <v>2038</v>
      </c>
      <c r="H1276">
        <v>3</v>
      </c>
      <c r="I1276">
        <v>2</v>
      </c>
    </row>
    <row r="1277" spans="1:9" x14ac:dyDescent="0.35">
      <c r="A1277" t="str">
        <f t="shared" si="19"/>
        <v>networkturpe_energy_costS1203832</v>
      </c>
      <c r="C1277" t="s">
        <v>96</v>
      </c>
      <c r="D1277" t="s">
        <v>98</v>
      </c>
      <c r="E1277" t="s">
        <v>110</v>
      </c>
      <c r="F1277">
        <v>10596.919819661831</v>
      </c>
      <c r="G1277">
        <v>2038</v>
      </c>
      <c r="H1277">
        <v>3</v>
      </c>
      <c r="I1277">
        <v>2</v>
      </c>
    </row>
    <row r="1278" spans="1:9" x14ac:dyDescent="0.35">
      <c r="A1278" t="str">
        <f t="shared" si="19"/>
        <v>DAcostS1203832</v>
      </c>
      <c r="C1278" t="s">
        <v>99</v>
      </c>
      <c r="D1278" t="s">
        <v>100</v>
      </c>
      <c r="E1278" t="s">
        <v>110</v>
      </c>
      <c r="F1278">
        <v>27306.680839702331</v>
      </c>
      <c r="G1278">
        <v>2038</v>
      </c>
      <c r="H1278">
        <v>3</v>
      </c>
      <c r="I1278">
        <v>2</v>
      </c>
    </row>
    <row r="1279" spans="1:9" x14ac:dyDescent="0.35">
      <c r="A1279" t="str">
        <f t="shared" si="19"/>
        <v>DAincomeS1203832</v>
      </c>
      <c r="C1279" t="s">
        <v>99</v>
      </c>
      <c r="D1279" t="s">
        <v>101</v>
      </c>
      <c r="E1279" t="s">
        <v>110</v>
      </c>
      <c r="F1279">
        <v>56939.99411656912</v>
      </c>
      <c r="G1279">
        <v>2038</v>
      </c>
      <c r="H1279">
        <v>3</v>
      </c>
      <c r="I1279">
        <v>2</v>
      </c>
    </row>
    <row r="1280" spans="1:9" x14ac:dyDescent="0.35">
      <c r="A1280" t="str">
        <f t="shared" si="19"/>
        <v>DAenergy_boughtS1203832</v>
      </c>
      <c r="C1280" t="s">
        <v>99</v>
      </c>
      <c r="D1280" t="s">
        <v>111</v>
      </c>
      <c r="E1280" t="s">
        <v>110</v>
      </c>
      <c r="F1280">
        <v>663.66377117562149</v>
      </c>
      <c r="G1280">
        <v>2038</v>
      </c>
      <c r="H1280">
        <v>3</v>
      </c>
      <c r="I1280">
        <v>2</v>
      </c>
    </row>
    <row r="1281" spans="1:9" x14ac:dyDescent="0.35">
      <c r="A1281" t="str">
        <f t="shared" si="19"/>
        <v>DAenergy_soldS1203832</v>
      </c>
      <c r="C1281" t="s">
        <v>99</v>
      </c>
      <c r="D1281" t="s">
        <v>112</v>
      </c>
      <c r="E1281" t="s">
        <v>110</v>
      </c>
      <c r="F1281">
        <v>529.16896013985865</v>
      </c>
      <c r="G1281">
        <v>2038</v>
      </c>
      <c r="H1281">
        <v>3</v>
      </c>
      <c r="I1281">
        <v>2</v>
      </c>
    </row>
    <row r="1282" spans="1:9" x14ac:dyDescent="0.35">
      <c r="A1282" t="str">
        <f t="shared" si="19"/>
        <v>DAhours_boughtS1203832</v>
      </c>
      <c r="C1282" t="s">
        <v>99</v>
      </c>
      <c r="D1282" t="s">
        <v>113</v>
      </c>
      <c r="E1282" t="s">
        <v>110</v>
      </c>
      <c r="F1282">
        <v>2001</v>
      </c>
      <c r="G1282">
        <v>2038</v>
      </c>
      <c r="H1282">
        <v>3</v>
      </c>
      <c r="I1282">
        <v>2</v>
      </c>
    </row>
    <row r="1283" spans="1:9" x14ac:dyDescent="0.35">
      <c r="A1283" t="str">
        <f t="shared" ref="A1283:A1346" si="20">C1283&amp;D1283&amp;E1283&amp;G1283&amp;H1283&amp;I1283</f>
        <v>DAhours_soldS1203832</v>
      </c>
      <c r="C1283" t="s">
        <v>99</v>
      </c>
      <c r="D1283" t="s">
        <v>114</v>
      </c>
      <c r="E1283" t="s">
        <v>110</v>
      </c>
      <c r="F1283">
        <v>392</v>
      </c>
      <c r="G1283">
        <v>2038</v>
      </c>
      <c r="H1283">
        <v>3</v>
      </c>
      <c r="I1283">
        <v>2</v>
      </c>
    </row>
    <row r="1284" spans="1:9" x14ac:dyDescent="0.35">
      <c r="A1284" t="str">
        <f t="shared" si="20"/>
        <v>DAco2_emissionS1203832</v>
      </c>
      <c r="C1284" t="s">
        <v>99</v>
      </c>
      <c r="D1284" t="s">
        <v>204</v>
      </c>
      <c r="E1284" t="s">
        <v>110</v>
      </c>
      <c r="F1284">
        <v>46456.463982293957</v>
      </c>
      <c r="G1284">
        <v>2038</v>
      </c>
      <c r="H1284">
        <v>3</v>
      </c>
      <c r="I1284">
        <v>2</v>
      </c>
    </row>
    <row r="1285" spans="1:9" x14ac:dyDescent="0.35">
      <c r="A1285" t="str">
        <f t="shared" si="20"/>
        <v>fcrincomeS1203832</v>
      </c>
      <c r="C1285" t="s">
        <v>102</v>
      </c>
      <c r="D1285" t="s">
        <v>101</v>
      </c>
      <c r="E1285" t="s">
        <v>110</v>
      </c>
      <c r="F1285">
        <v>0</v>
      </c>
      <c r="G1285">
        <v>2038</v>
      </c>
      <c r="H1285">
        <v>3</v>
      </c>
      <c r="I1285">
        <v>2</v>
      </c>
    </row>
    <row r="1286" spans="1:9" x14ac:dyDescent="0.35">
      <c r="A1286" t="str">
        <f t="shared" si="20"/>
        <v>fcractivation_hoursS1203832</v>
      </c>
      <c r="B1286" t="s">
        <v>95</v>
      </c>
      <c r="C1286" t="s">
        <v>102</v>
      </c>
      <c r="D1286" t="s">
        <v>115</v>
      </c>
      <c r="E1286" t="s">
        <v>110</v>
      </c>
      <c r="F1286">
        <v>0</v>
      </c>
      <c r="G1286">
        <v>2038</v>
      </c>
      <c r="H1286">
        <v>3</v>
      </c>
      <c r="I1286">
        <v>2</v>
      </c>
    </row>
    <row r="1287" spans="1:9" x14ac:dyDescent="0.35">
      <c r="A1287" t="str">
        <f t="shared" si="20"/>
        <v>afrrincomeS1203832</v>
      </c>
      <c r="B1287" t="s">
        <v>95</v>
      </c>
      <c r="C1287" t="s">
        <v>103</v>
      </c>
      <c r="D1287" t="s">
        <v>101</v>
      </c>
      <c r="E1287" t="s">
        <v>110</v>
      </c>
      <c r="F1287">
        <v>83749.453876175496</v>
      </c>
      <c r="G1287">
        <v>2038</v>
      </c>
      <c r="H1287">
        <v>3</v>
      </c>
      <c r="I1287">
        <v>2</v>
      </c>
    </row>
    <row r="1288" spans="1:9" x14ac:dyDescent="0.35">
      <c r="A1288" t="str">
        <f t="shared" si="20"/>
        <v>afrractivation_hoursS1203832</v>
      </c>
      <c r="C1288" t="s">
        <v>103</v>
      </c>
      <c r="D1288" t="s">
        <v>115</v>
      </c>
      <c r="E1288" t="s">
        <v>110</v>
      </c>
      <c r="F1288">
        <v>8510</v>
      </c>
      <c r="G1288">
        <v>2038</v>
      </c>
      <c r="H1288">
        <v>3</v>
      </c>
      <c r="I1288">
        <v>2</v>
      </c>
    </row>
    <row r="1289" spans="1:9" x14ac:dyDescent="0.35">
      <c r="A1289" t="str">
        <f t="shared" si="20"/>
        <v>networkturpe_power_costS1203932</v>
      </c>
      <c r="C1289" t="s">
        <v>96</v>
      </c>
      <c r="D1289" t="s">
        <v>97</v>
      </c>
      <c r="E1289" t="s">
        <v>110</v>
      </c>
      <c r="F1289">
        <v>5997.8704163569928</v>
      </c>
      <c r="G1289">
        <v>2039</v>
      </c>
      <c r="H1289">
        <v>3</v>
      </c>
      <c r="I1289">
        <v>2</v>
      </c>
    </row>
    <row r="1290" spans="1:9" x14ac:dyDescent="0.35">
      <c r="A1290" t="str">
        <f t="shared" si="20"/>
        <v>networkturpe_energy_costS1203932</v>
      </c>
      <c r="C1290" t="s">
        <v>96</v>
      </c>
      <c r="D1290" t="s">
        <v>98</v>
      </c>
      <c r="E1290" t="s">
        <v>110</v>
      </c>
      <c r="F1290">
        <v>8689.0707991385334</v>
      </c>
      <c r="G1290">
        <v>2039</v>
      </c>
      <c r="H1290">
        <v>3</v>
      </c>
      <c r="I1290">
        <v>2</v>
      </c>
    </row>
    <row r="1291" spans="1:9" x14ac:dyDescent="0.35">
      <c r="A1291" t="str">
        <f t="shared" si="20"/>
        <v>DAcostS1203932</v>
      </c>
      <c r="C1291" t="s">
        <v>99</v>
      </c>
      <c r="D1291" t="s">
        <v>100</v>
      </c>
      <c r="E1291" t="s">
        <v>110</v>
      </c>
      <c r="F1291">
        <v>22440.151868860379</v>
      </c>
      <c r="G1291">
        <v>2039</v>
      </c>
      <c r="H1291">
        <v>3</v>
      </c>
      <c r="I1291">
        <v>2</v>
      </c>
    </row>
    <row r="1292" spans="1:9" x14ac:dyDescent="0.35">
      <c r="A1292" t="str">
        <f t="shared" si="20"/>
        <v>DAincomeS1203932</v>
      </c>
      <c r="C1292" t="s">
        <v>99</v>
      </c>
      <c r="D1292" t="s">
        <v>101</v>
      </c>
      <c r="E1292" t="s">
        <v>110</v>
      </c>
      <c r="F1292">
        <v>47237.239964651802</v>
      </c>
      <c r="G1292">
        <v>2039</v>
      </c>
      <c r="H1292">
        <v>3</v>
      </c>
      <c r="I1292">
        <v>2</v>
      </c>
    </row>
    <row r="1293" spans="1:9" x14ac:dyDescent="0.35">
      <c r="A1293" t="str">
        <f t="shared" si="20"/>
        <v>DAenergy_boughtS1203932</v>
      </c>
      <c r="C1293" t="s">
        <v>99</v>
      </c>
      <c r="D1293" t="s">
        <v>111</v>
      </c>
      <c r="E1293" t="s">
        <v>110</v>
      </c>
      <c r="F1293">
        <v>556.38326519037037</v>
      </c>
      <c r="G1293">
        <v>2039</v>
      </c>
      <c r="H1293">
        <v>3</v>
      </c>
      <c r="I1293">
        <v>2</v>
      </c>
    </row>
    <row r="1294" spans="1:9" x14ac:dyDescent="0.35">
      <c r="A1294" t="str">
        <f t="shared" si="20"/>
        <v>DAenergy_soldS1203932</v>
      </c>
      <c r="C1294" t="s">
        <v>99</v>
      </c>
      <c r="D1294" t="s">
        <v>112</v>
      </c>
      <c r="E1294" t="s">
        <v>110</v>
      </c>
      <c r="F1294">
        <v>442.49887881130093</v>
      </c>
      <c r="G1294">
        <v>2039</v>
      </c>
      <c r="H1294">
        <v>3</v>
      </c>
      <c r="I1294">
        <v>2</v>
      </c>
    </row>
    <row r="1295" spans="1:9" x14ac:dyDescent="0.35">
      <c r="A1295" t="str">
        <f t="shared" si="20"/>
        <v>DAhours_boughtS1203932</v>
      </c>
      <c r="C1295" t="s">
        <v>99</v>
      </c>
      <c r="D1295" t="s">
        <v>113</v>
      </c>
      <c r="E1295" t="s">
        <v>110</v>
      </c>
      <c r="F1295">
        <v>1865</v>
      </c>
      <c r="G1295">
        <v>2039</v>
      </c>
      <c r="H1295">
        <v>3</v>
      </c>
      <c r="I1295">
        <v>2</v>
      </c>
    </row>
    <row r="1296" spans="1:9" x14ac:dyDescent="0.35">
      <c r="A1296" t="str">
        <f t="shared" si="20"/>
        <v>DAhours_soldS1203932</v>
      </c>
      <c r="C1296" t="s">
        <v>99</v>
      </c>
      <c r="D1296" t="s">
        <v>114</v>
      </c>
      <c r="E1296" t="s">
        <v>110</v>
      </c>
      <c r="F1296">
        <v>381</v>
      </c>
      <c r="G1296">
        <v>2039</v>
      </c>
      <c r="H1296">
        <v>3</v>
      </c>
      <c r="I1296">
        <v>2</v>
      </c>
    </row>
    <row r="1297" spans="1:9" x14ac:dyDescent="0.35">
      <c r="A1297" t="str">
        <f t="shared" si="20"/>
        <v>DAco2_emissionS1203932</v>
      </c>
      <c r="C1297" t="s">
        <v>99</v>
      </c>
      <c r="D1297" t="s">
        <v>204</v>
      </c>
      <c r="E1297" t="s">
        <v>110</v>
      </c>
      <c r="F1297">
        <v>38946.828563325937</v>
      </c>
      <c r="G1297">
        <v>2039</v>
      </c>
      <c r="H1297">
        <v>3</v>
      </c>
      <c r="I1297">
        <v>2</v>
      </c>
    </row>
    <row r="1298" spans="1:9" x14ac:dyDescent="0.35">
      <c r="A1298" t="str">
        <f t="shared" si="20"/>
        <v>fcrincomeS1203932</v>
      </c>
      <c r="B1298" t="s">
        <v>95</v>
      </c>
      <c r="C1298" t="s">
        <v>102</v>
      </c>
      <c r="D1298" t="s">
        <v>101</v>
      </c>
      <c r="E1298" t="s">
        <v>110</v>
      </c>
      <c r="F1298">
        <v>1.951916801566431</v>
      </c>
      <c r="G1298">
        <v>2039</v>
      </c>
      <c r="H1298">
        <v>3</v>
      </c>
      <c r="I1298">
        <v>2</v>
      </c>
    </row>
    <row r="1299" spans="1:9" x14ac:dyDescent="0.35">
      <c r="A1299" t="str">
        <f t="shared" si="20"/>
        <v>fcractivation_hoursS1203932</v>
      </c>
      <c r="B1299" t="s">
        <v>95</v>
      </c>
      <c r="C1299" t="s">
        <v>102</v>
      </c>
      <c r="D1299" t="s">
        <v>115</v>
      </c>
      <c r="E1299" t="s">
        <v>110</v>
      </c>
      <c r="F1299">
        <v>4</v>
      </c>
      <c r="G1299">
        <v>2039</v>
      </c>
      <c r="H1299">
        <v>3</v>
      </c>
      <c r="I1299">
        <v>2</v>
      </c>
    </row>
    <row r="1300" spans="1:9" x14ac:dyDescent="0.35">
      <c r="A1300" t="str">
        <f t="shared" si="20"/>
        <v>afrrincomeS1203932</v>
      </c>
      <c r="C1300" t="s">
        <v>103</v>
      </c>
      <c r="D1300" t="s">
        <v>101</v>
      </c>
      <c r="E1300" t="s">
        <v>110</v>
      </c>
      <c r="F1300">
        <v>86944.584355737752</v>
      </c>
      <c r="G1300">
        <v>2039</v>
      </c>
      <c r="H1300">
        <v>3</v>
      </c>
      <c r="I1300">
        <v>2</v>
      </c>
    </row>
    <row r="1301" spans="1:9" x14ac:dyDescent="0.35">
      <c r="A1301" t="str">
        <f t="shared" si="20"/>
        <v>afrractivation_hoursS1203932</v>
      </c>
      <c r="C1301" t="s">
        <v>103</v>
      </c>
      <c r="D1301" t="s">
        <v>115</v>
      </c>
      <c r="E1301" t="s">
        <v>110</v>
      </c>
      <c r="F1301">
        <v>8541</v>
      </c>
      <c r="G1301">
        <v>2039</v>
      </c>
      <c r="H1301">
        <v>3</v>
      </c>
      <c r="I1301">
        <v>2</v>
      </c>
    </row>
    <row r="1302" spans="1:9" x14ac:dyDescent="0.35">
      <c r="A1302" t="str">
        <f t="shared" si="20"/>
        <v>networkturpe_power_costS1204032</v>
      </c>
      <c r="C1302" t="s">
        <v>96</v>
      </c>
      <c r="D1302" t="s">
        <v>97</v>
      </c>
      <c r="E1302" t="s">
        <v>110</v>
      </c>
      <c r="F1302">
        <v>6097.5996038282246</v>
      </c>
      <c r="G1302">
        <v>2040</v>
      </c>
      <c r="H1302">
        <v>3</v>
      </c>
      <c r="I1302">
        <v>2</v>
      </c>
    </row>
    <row r="1303" spans="1:9" x14ac:dyDescent="0.35">
      <c r="A1303" t="str">
        <f t="shared" si="20"/>
        <v>networkturpe_energy_costS1204032</v>
      </c>
      <c r="C1303" t="s">
        <v>96</v>
      </c>
      <c r="D1303" t="s">
        <v>98</v>
      </c>
      <c r="E1303" t="s">
        <v>110</v>
      </c>
      <c r="F1303">
        <v>11044.329229874271</v>
      </c>
      <c r="G1303">
        <v>2040</v>
      </c>
      <c r="H1303">
        <v>3</v>
      </c>
      <c r="I1303">
        <v>2</v>
      </c>
    </row>
    <row r="1304" spans="1:9" x14ac:dyDescent="0.35">
      <c r="A1304" t="str">
        <f t="shared" si="20"/>
        <v>DAcostS1204032</v>
      </c>
      <c r="C1304" t="s">
        <v>99</v>
      </c>
      <c r="D1304" t="s">
        <v>100</v>
      </c>
      <c r="E1304" t="s">
        <v>110</v>
      </c>
      <c r="F1304">
        <v>26029.55693445701</v>
      </c>
      <c r="G1304">
        <v>2040</v>
      </c>
      <c r="H1304">
        <v>3</v>
      </c>
      <c r="I1304">
        <v>2</v>
      </c>
    </row>
    <row r="1305" spans="1:9" x14ac:dyDescent="0.35">
      <c r="A1305" t="str">
        <f t="shared" si="20"/>
        <v>DAincomeS1204032</v>
      </c>
      <c r="C1305" t="s">
        <v>99</v>
      </c>
      <c r="D1305" t="s">
        <v>101</v>
      </c>
      <c r="E1305" t="s">
        <v>110</v>
      </c>
      <c r="F1305">
        <v>57625.758798826173</v>
      </c>
      <c r="G1305">
        <v>2040</v>
      </c>
      <c r="H1305">
        <v>3</v>
      </c>
      <c r="I1305">
        <v>2</v>
      </c>
    </row>
    <row r="1306" spans="1:9" x14ac:dyDescent="0.35">
      <c r="A1306" t="str">
        <f t="shared" si="20"/>
        <v>DAenergy_boughtS1204032</v>
      </c>
      <c r="C1306" t="s">
        <v>99</v>
      </c>
      <c r="D1306" t="s">
        <v>111</v>
      </c>
      <c r="E1306" t="s">
        <v>110</v>
      </c>
      <c r="F1306">
        <v>675.43799969276563</v>
      </c>
      <c r="G1306">
        <v>2040</v>
      </c>
      <c r="H1306">
        <v>3</v>
      </c>
      <c r="I1306">
        <v>2</v>
      </c>
    </row>
    <row r="1307" spans="1:9" x14ac:dyDescent="0.35">
      <c r="A1307" t="str">
        <f t="shared" si="20"/>
        <v>DAenergy_soldS1204032</v>
      </c>
      <c r="C1307" t="s">
        <v>99</v>
      </c>
      <c r="D1307" t="s">
        <v>112</v>
      </c>
      <c r="E1307" t="s">
        <v>110</v>
      </c>
      <c r="F1307">
        <v>539.05794767418604</v>
      </c>
      <c r="G1307">
        <v>2040</v>
      </c>
      <c r="H1307">
        <v>3</v>
      </c>
      <c r="I1307">
        <v>2</v>
      </c>
    </row>
    <row r="1308" spans="1:9" x14ac:dyDescent="0.35">
      <c r="A1308" t="str">
        <f t="shared" si="20"/>
        <v>DAhours_boughtS1204032</v>
      </c>
      <c r="C1308" t="s">
        <v>99</v>
      </c>
      <c r="D1308" t="s">
        <v>113</v>
      </c>
      <c r="E1308" t="s">
        <v>110</v>
      </c>
      <c r="F1308">
        <v>1977</v>
      </c>
      <c r="G1308">
        <v>2040</v>
      </c>
      <c r="H1308">
        <v>3</v>
      </c>
      <c r="I1308">
        <v>2</v>
      </c>
    </row>
    <row r="1309" spans="1:9" x14ac:dyDescent="0.35">
      <c r="A1309" t="str">
        <f t="shared" si="20"/>
        <v>DAhours_soldS1204032</v>
      </c>
      <c r="C1309" t="s">
        <v>99</v>
      </c>
      <c r="D1309" t="s">
        <v>114</v>
      </c>
      <c r="E1309" t="s">
        <v>110</v>
      </c>
      <c r="F1309">
        <v>411</v>
      </c>
      <c r="G1309">
        <v>2040</v>
      </c>
      <c r="H1309">
        <v>3</v>
      </c>
      <c r="I1309">
        <v>2</v>
      </c>
    </row>
    <row r="1310" spans="1:9" x14ac:dyDescent="0.35">
      <c r="A1310" t="str">
        <f t="shared" si="20"/>
        <v>DAco2_emissionS1204032</v>
      </c>
      <c r="B1310" t="s">
        <v>95</v>
      </c>
      <c r="C1310" t="s">
        <v>99</v>
      </c>
      <c r="D1310" t="s">
        <v>204</v>
      </c>
      <c r="E1310" t="s">
        <v>110</v>
      </c>
      <c r="F1310">
        <v>47280.659978494099</v>
      </c>
      <c r="G1310">
        <v>2040</v>
      </c>
      <c r="H1310">
        <v>3</v>
      </c>
      <c r="I1310">
        <v>2</v>
      </c>
    </row>
    <row r="1311" spans="1:9" x14ac:dyDescent="0.35">
      <c r="A1311" t="str">
        <f t="shared" si="20"/>
        <v>fcrincomeS1204032</v>
      </c>
      <c r="B1311" t="s">
        <v>95</v>
      </c>
      <c r="C1311" t="s">
        <v>102</v>
      </c>
      <c r="D1311" t="s">
        <v>101</v>
      </c>
      <c r="E1311" t="s">
        <v>110</v>
      </c>
      <c r="F1311">
        <v>14.67132497667636</v>
      </c>
      <c r="G1311">
        <v>2040</v>
      </c>
      <c r="H1311">
        <v>3</v>
      </c>
      <c r="I1311">
        <v>2</v>
      </c>
    </row>
    <row r="1312" spans="1:9" x14ac:dyDescent="0.35">
      <c r="A1312" t="str">
        <f t="shared" si="20"/>
        <v>fcractivation_hoursS1204032</v>
      </c>
      <c r="C1312" t="s">
        <v>102</v>
      </c>
      <c r="D1312" t="s">
        <v>115</v>
      </c>
      <c r="E1312" t="s">
        <v>110</v>
      </c>
      <c r="F1312">
        <v>20</v>
      </c>
      <c r="G1312">
        <v>2040</v>
      </c>
      <c r="H1312">
        <v>3</v>
      </c>
      <c r="I1312">
        <v>2</v>
      </c>
    </row>
    <row r="1313" spans="1:9" x14ac:dyDescent="0.35">
      <c r="A1313" t="str">
        <f t="shared" si="20"/>
        <v>afrrincomeS1204032</v>
      </c>
      <c r="C1313" t="s">
        <v>103</v>
      </c>
      <c r="D1313" t="s">
        <v>101</v>
      </c>
      <c r="E1313" t="s">
        <v>110</v>
      </c>
      <c r="F1313">
        <v>62200.8761378934</v>
      </c>
      <c r="G1313">
        <v>2040</v>
      </c>
      <c r="H1313">
        <v>3</v>
      </c>
      <c r="I1313">
        <v>2</v>
      </c>
    </row>
    <row r="1314" spans="1:9" x14ac:dyDescent="0.35">
      <c r="A1314" t="str">
        <f t="shared" si="20"/>
        <v>afrractivation_hoursS1204032</v>
      </c>
      <c r="C1314" t="s">
        <v>103</v>
      </c>
      <c r="D1314" t="s">
        <v>115</v>
      </c>
      <c r="E1314" t="s">
        <v>110</v>
      </c>
      <c r="F1314">
        <v>8312</v>
      </c>
      <c r="G1314">
        <v>2040</v>
      </c>
      <c r="H1314">
        <v>3</v>
      </c>
      <c r="I1314">
        <v>2</v>
      </c>
    </row>
    <row r="1315" spans="1:9" x14ac:dyDescent="0.35">
      <c r="A1315" t="str">
        <f t="shared" si="20"/>
        <v>networkturpe_power_costS1204132</v>
      </c>
      <c r="C1315" t="s">
        <v>96</v>
      </c>
      <c r="D1315" t="s">
        <v>97</v>
      </c>
      <c r="E1315" t="s">
        <v>110</v>
      </c>
      <c r="F1315">
        <v>5934.4151991633698</v>
      </c>
      <c r="G1315">
        <v>2041</v>
      </c>
      <c r="H1315">
        <v>3</v>
      </c>
      <c r="I1315">
        <v>2</v>
      </c>
    </row>
    <row r="1316" spans="1:9" x14ac:dyDescent="0.35">
      <c r="A1316" t="str">
        <f t="shared" si="20"/>
        <v>networkturpe_energy_costS1204132</v>
      </c>
      <c r="C1316" t="s">
        <v>96</v>
      </c>
      <c r="D1316" t="s">
        <v>98</v>
      </c>
      <c r="E1316" t="s">
        <v>110</v>
      </c>
      <c r="F1316">
        <v>11840.565755590649</v>
      </c>
      <c r="G1316">
        <v>2041</v>
      </c>
      <c r="H1316">
        <v>3</v>
      </c>
      <c r="I1316">
        <v>2</v>
      </c>
    </row>
    <row r="1317" spans="1:9" x14ac:dyDescent="0.35">
      <c r="A1317" t="str">
        <f t="shared" si="20"/>
        <v>DAcostS1204132</v>
      </c>
      <c r="C1317" t="s">
        <v>99</v>
      </c>
      <c r="D1317" t="s">
        <v>100</v>
      </c>
      <c r="E1317" t="s">
        <v>110</v>
      </c>
      <c r="F1317">
        <v>27747.29875168909</v>
      </c>
      <c r="G1317">
        <v>2041</v>
      </c>
      <c r="H1317">
        <v>3</v>
      </c>
      <c r="I1317">
        <v>2</v>
      </c>
    </row>
    <row r="1318" spans="1:9" x14ac:dyDescent="0.35">
      <c r="A1318" t="str">
        <f t="shared" si="20"/>
        <v>DAincomeS1204132</v>
      </c>
      <c r="C1318" t="s">
        <v>99</v>
      </c>
      <c r="D1318" t="s">
        <v>101</v>
      </c>
      <c r="E1318" t="s">
        <v>110</v>
      </c>
      <c r="F1318">
        <v>60632.356930853341</v>
      </c>
      <c r="G1318">
        <v>2041</v>
      </c>
      <c r="H1318">
        <v>3</v>
      </c>
      <c r="I1318">
        <v>2</v>
      </c>
    </row>
    <row r="1319" spans="1:9" x14ac:dyDescent="0.35">
      <c r="A1319" t="str">
        <f t="shared" si="20"/>
        <v>DAenergy_boughtS1204132</v>
      </c>
      <c r="C1319" t="s">
        <v>99</v>
      </c>
      <c r="D1319" t="s">
        <v>111</v>
      </c>
      <c r="E1319" t="s">
        <v>110</v>
      </c>
      <c r="F1319">
        <v>712.4269164070023</v>
      </c>
      <c r="G1319">
        <v>2041</v>
      </c>
      <c r="H1319">
        <v>3</v>
      </c>
      <c r="I1319">
        <v>2</v>
      </c>
    </row>
    <row r="1320" spans="1:9" x14ac:dyDescent="0.35">
      <c r="A1320" t="str">
        <f t="shared" si="20"/>
        <v>DAenergy_soldS1204132</v>
      </c>
      <c r="C1320" t="s">
        <v>99</v>
      </c>
      <c r="D1320" t="s">
        <v>112</v>
      </c>
      <c r="E1320" t="s">
        <v>110</v>
      </c>
      <c r="F1320">
        <v>569.20717812032228</v>
      </c>
      <c r="G1320">
        <v>2041</v>
      </c>
      <c r="H1320">
        <v>3</v>
      </c>
      <c r="I1320">
        <v>2</v>
      </c>
    </row>
    <row r="1321" spans="1:9" x14ac:dyDescent="0.35">
      <c r="A1321" t="str">
        <f t="shared" si="20"/>
        <v>DAhours_boughtS1204132</v>
      </c>
      <c r="C1321" t="s">
        <v>99</v>
      </c>
      <c r="D1321" t="s">
        <v>113</v>
      </c>
      <c r="E1321" t="s">
        <v>110</v>
      </c>
      <c r="F1321">
        <v>1839</v>
      </c>
      <c r="G1321">
        <v>2041</v>
      </c>
      <c r="H1321">
        <v>3</v>
      </c>
      <c r="I1321">
        <v>2</v>
      </c>
    </row>
    <row r="1322" spans="1:9" x14ac:dyDescent="0.35">
      <c r="A1322" t="str">
        <f t="shared" si="20"/>
        <v>DAhours_soldS1204132</v>
      </c>
      <c r="B1322" t="s">
        <v>95</v>
      </c>
      <c r="C1322" t="s">
        <v>99</v>
      </c>
      <c r="D1322" t="s">
        <v>114</v>
      </c>
      <c r="E1322" t="s">
        <v>110</v>
      </c>
      <c r="F1322">
        <v>452</v>
      </c>
      <c r="G1322">
        <v>2041</v>
      </c>
      <c r="H1322">
        <v>3</v>
      </c>
      <c r="I1322">
        <v>2</v>
      </c>
    </row>
    <row r="1323" spans="1:9" x14ac:dyDescent="0.35">
      <c r="A1323" t="str">
        <f t="shared" si="20"/>
        <v>DAco2_emissionS1204132</v>
      </c>
      <c r="B1323" t="s">
        <v>95</v>
      </c>
      <c r="C1323" t="s">
        <v>99</v>
      </c>
      <c r="D1323" t="s">
        <v>204</v>
      </c>
      <c r="E1323" t="s">
        <v>110</v>
      </c>
      <c r="F1323">
        <v>49869.884148490193</v>
      </c>
      <c r="G1323">
        <v>2041</v>
      </c>
      <c r="H1323">
        <v>3</v>
      </c>
      <c r="I1323">
        <v>2</v>
      </c>
    </row>
    <row r="1324" spans="1:9" x14ac:dyDescent="0.35">
      <c r="A1324" t="str">
        <f t="shared" si="20"/>
        <v>fcrincomeS1204132</v>
      </c>
      <c r="C1324" t="s">
        <v>102</v>
      </c>
      <c r="D1324" t="s">
        <v>101</v>
      </c>
      <c r="E1324" t="s">
        <v>110</v>
      </c>
      <c r="F1324">
        <v>16.91170223354419</v>
      </c>
      <c r="G1324">
        <v>2041</v>
      </c>
      <c r="H1324">
        <v>3</v>
      </c>
      <c r="I1324">
        <v>2</v>
      </c>
    </row>
    <row r="1325" spans="1:9" x14ac:dyDescent="0.35">
      <c r="A1325" t="str">
        <f t="shared" si="20"/>
        <v>fcractivation_hoursS1204132</v>
      </c>
      <c r="C1325" t="s">
        <v>102</v>
      </c>
      <c r="D1325" t="s">
        <v>115</v>
      </c>
      <c r="E1325" t="s">
        <v>110</v>
      </c>
      <c r="F1325">
        <v>32</v>
      </c>
      <c r="G1325">
        <v>2041</v>
      </c>
      <c r="H1325">
        <v>3</v>
      </c>
      <c r="I1325">
        <v>2</v>
      </c>
    </row>
    <row r="1326" spans="1:9" x14ac:dyDescent="0.35">
      <c r="A1326" t="str">
        <f t="shared" si="20"/>
        <v>afrrincomeS1204132</v>
      </c>
      <c r="C1326" t="s">
        <v>103</v>
      </c>
      <c r="D1326" t="s">
        <v>101</v>
      </c>
      <c r="E1326" t="s">
        <v>110</v>
      </c>
      <c r="F1326">
        <v>57940.803016392172</v>
      </c>
      <c r="G1326">
        <v>2041</v>
      </c>
      <c r="H1326">
        <v>3</v>
      </c>
      <c r="I1326">
        <v>2</v>
      </c>
    </row>
    <row r="1327" spans="1:9" x14ac:dyDescent="0.35">
      <c r="A1327" t="str">
        <f t="shared" si="20"/>
        <v>afrractivation_hoursS1204132</v>
      </c>
      <c r="C1327" t="s">
        <v>103</v>
      </c>
      <c r="D1327" t="s">
        <v>115</v>
      </c>
      <c r="E1327" t="s">
        <v>110</v>
      </c>
      <c r="F1327">
        <v>8112</v>
      </c>
      <c r="G1327">
        <v>2041</v>
      </c>
      <c r="H1327">
        <v>3</v>
      </c>
      <c r="I1327">
        <v>2</v>
      </c>
    </row>
    <row r="1328" spans="1:9" x14ac:dyDescent="0.35">
      <c r="A1328" t="str">
        <f t="shared" si="20"/>
        <v>networkturpe_power_costS1202541</v>
      </c>
      <c r="C1328" t="s">
        <v>96</v>
      </c>
      <c r="D1328" t="s">
        <v>97</v>
      </c>
      <c r="E1328" t="s">
        <v>110</v>
      </c>
      <c r="F1328">
        <v>5352.2016530875189</v>
      </c>
      <c r="G1328">
        <v>2025</v>
      </c>
      <c r="H1328">
        <v>4</v>
      </c>
      <c r="I1328">
        <v>1</v>
      </c>
    </row>
    <row r="1329" spans="1:9" x14ac:dyDescent="0.35">
      <c r="A1329" t="str">
        <f t="shared" si="20"/>
        <v>networkturpe_energy_costS1202541</v>
      </c>
      <c r="C1329" t="s">
        <v>96</v>
      </c>
      <c r="D1329" t="s">
        <v>98</v>
      </c>
      <c r="E1329" t="s">
        <v>110</v>
      </c>
      <c r="F1329">
        <v>183.05633694508859</v>
      </c>
      <c r="G1329">
        <v>2025</v>
      </c>
      <c r="H1329">
        <v>4</v>
      </c>
      <c r="I1329">
        <v>1</v>
      </c>
    </row>
    <row r="1330" spans="1:9" x14ac:dyDescent="0.35">
      <c r="A1330" t="str">
        <f t="shared" si="20"/>
        <v>DAcostS1202541</v>
      </c>
      <c r="C1330" t="s">
        <v>99</v>
      </c>
      <c r="D1330" t="s">
        <v>100</v>
      </c>
      <c r="E1330" t="s">
        <v>110</v>
      </c>
      <c r="F1330">
        <v>1685.060995832544</v>
      </c>
      <c r="G1330">
        <v>2025</v>
      </c>
      <c r="H1330">
        <v>4</v>
      </c>
      <c r="I1330">
        <v>1</v>
      </c>
    </row>
    <row r="1331" spans="1:9" x14ac:dyDescent="0.35">
      <c r="A1331" t="str">
        <f t="shared" si="20"/>
        <v>DAincomeS1202541</v>
      </c>
      <c r="C1331" t="s">
        <v>99</v>
      </c>
      <c r="D1331" t="s">
        <v>101</v>
      </c>
      <c r="E1331" t="s">
        <v>110</v>
      </c>
      <c r="F1331">
        <v>0</v>
      </c>
      <c r="G1331">
        <v>2025</v>
      </c>
      <c r="H1331">
        <v>4</v>
      </c>
      <c r="I1331">
        <v>1</v>
      </c>
    </row>
    <row r="1332" spans="1:9" x14ac:dyDescent="0.35">
      <c r="A1332" t="str">
        <f t="shared" si="20"/>
        <v>DAenergy_boughtS1202541</v>
      </c>
      <c r="C1332" t="s">
        <v>99</v>
      </c>
      <c r="D1332" t="s">
        <v>111</v>
      </c>
      <c r="E1332" t="s">
        <v>110</v>
      </c>
      <c r="F1332">
        <v>9.7330488722566848</v>
      </c>
      <c r="G1332">
        <v>2025</v>
      </c>
      <c r="H1332">
        <v>4</v>
      </c>
      <c r="I1332">
        <v>1</v>
      </c>
    </row>
    <row r="1333" spans="1:9" x14ac:dyDescent="0.35">
      <c r="A1333" t="str">
        <f t="shared" si="20"/>
        <v>DAenergy_soldS1202541</v>
      </c>
      <c r="C1333" t="s">
        <v>99</v>
      </c>
      <c r="D1333" t="s">
        <v>112</v>
      </c>
      <c r="E1333" t="s">
        <v>110</v>
      </c>
      <c r="F1333">
        <v>0</v>
      </c>
      <c r="G1333">
        <v>2025</v>
      </c>
      <c r="H1333">
        <v>4</v>
      </c>
      <c r="I1333">
        <v>1</v>
      </c>
    </row>
    <row r="1334" spans="1:9" x14ac:dyDescent="0.35">
      <c r="A1334" t="str">
        <f t="shared" si="20"/>
        <v>DAhours_boughtS1202541</v>
      </c>
      <c r="B1334" t="s">
        <v>95</v>
      </c>
      <c r="C1334" t="s">
        <v>99</v>
      </c>
      <c r="D1334" t="s">
        <v>113</v>
      </c>
      <c r="E1334" t="s">
        <v>110</v>
      </c>
      <c r="F1334">
        <v>6125</v>
      </c>
      <c r="G1334">
        <v>2025</v>
      </c>
      <c r="H1334">
        <v>4</v>
      </c>
      <c r="I1334">
        <v>1</v>
      </c>
    </row>
    <row r="1335" spans="1:9" x14ac:dyDescent="0.35">
      <c r="A1335" t="str">
        <f t="shared" si="20"/>
        <v>DAhours_soldS1202541</v>
      </c>
      <c r="B1335" t="s">
        <v>95</v>
      </c>
      <c r="C1335" t="s">
        <v>99</v>
      </c>
      <c r="D1335" t="s">
        <v>114</v>
      </c>
      <c r="E1335" t="s">
        <v>110</v>
      </c>
      <c r="F1335">
        <v>0</v>
      </c>
      <c r="G1335">
        <v>2025</v>
      </c>
      <c r="H1335">
        <v>4</v>
      </c>
      <c r="I1335">
        <v>1</v>
      </c>
    </row>
    <row r="1336" spans="1:9" x14ac:dyDescent="0.35">
      <c r="A1336" t="str">
        <f t="shared" si="20"/>
        <v>DAco2_emissionS1202541</v>
      </c>
      <c r="C1336" t="s">
        <v>99</v>
      </c>
      <c r="D1336" t="s">
        <v>204</v>
      </c>
      <c r="E1336" t="s">
        <v>110</v>
      </c>
      <c r="F1336">
        <v>681.31342105796375</v>
      </c>
      <c r="G1336">
        <v>2025</v>
      </c>
      <c r="H1336">
        <v>4</v>
      </c>
      <c r="I1336">
        <v>1</v>
      </c>
    </row>
    <row r="1337" spans="1:9" x14ac:dyDescent="0.35">
      <c r="A1337" t="str">
        <f t="shared" si="20"/>
        <v>fcrincomeS1202541</v>
      </c>
      <c r="C1337" t="s">
        <v>102</v>
      </c>
      <c r="D1337" t="s">
        <v>101</v>
      </c>
      <c r="E1337" t="s">
        <v>110</v>
      </c>
      <c r="F1337">
        <v>0</v>
      </c>
      <c r="G1337">
        <v>2025</v>
      </c>
      <c r="H1337">
        <v>4</v>
      </c>
      <c r="I1337">
        <v>1</v>
      </c>
    </row>
    <row r="1338" spans="1:9" x14ac:dyDescent="0.35">
      <c r="A1338" t="str">
        <f t="shared" si="20"/>
        <v>fcractivation_hoursS1202541</v>
      </c>
      <c r="C1338" t="s">
        <v>102</v>
      </c>
      <c r="D1338" t="s">
        <v>115</v>
      </c>
      <c r="E1338" t="s">
        <v>110</v>
      </c>
      <c r="F1338">
        <v>0</v>
      </c>
      <c r="G1338">
        <v>2025</v>
      </c>
      <c r="H1338">
        <v>4</v>
      </c>
      <c r="I1338">
        <v>1</v>
      </c>
    </row>
    <row r="1339" spans="1:9" x14ac:dyDescent="0.35">
      <c r="A1339" t="str">
        <f t="shared" si="20"/>
        <v>afrrincomeS1202541</v>
      </c>
      <c r="C1339" t="s">
        <v>103</v>
      </c>
      <c r="D1339" t="s">
        <v>101</v>
      </c>
      <c r="E1339" t="s">
        <v>110</v>
      </c>
      <c r="F1339">
        <v>205678.79969635551</v>
      </c>
      <c r="G1339">
        <v>2025</v>
      </c>
      <c r="H1339">
        <v>4</v>
      </c>
      <c r="I1339">
        <v>1</v>
      </c>
    </row>
    <row r="1340" spans="1:9" x14ac:dyDescent="0.35">
      <c r="A1340" t="str">
        <f t="shared" si="20"/>
        <v>afrractivation_hoursS1202541</v>
      </c>
      <c r="C1340" t="s">
        <v>103</v>
      </c>
      <c r="D1340" t="s">
        <v>115</v>
      </c>
      <c r="E1340" t="s">
        <v>110</v>
      </c>
      <c r="F1340">
        <v>8760</v>
      </c>
      <c r="G1340">
        <v>2025</v>
      </c>
      <c r="H1340">
        <v>4</v>
      </c>
      <c r="I1340">
        <v>1</v>
      </c>
    </row>
    <row r="1341" spans="1:9" x14ac:dyDescent="0.35">
      <c r="A1341" t="str">
        <f t="shared" si="20"/>
        <v>networkturpe_power_costS1202641</v>
      </c>
      <c r="C1341" t="s">
        <v>96</v>
      </c>
      <c r="D1341" t="s">
        <v>97</v>
      </c>
      <c r="E1341" t="s">
        <v>110</v>
      </c>
      <c r="F1341">
        <v>5216.9596852143777</v>
      </c>
      <c r="G1341">
        <v>2026</v>
      </c>
      <c r="H1341">
        <v>4</v>
      </c>
      <c r="I1341">
        <v>1</v>
      </c>
    </row>
    <row r="1342" spans="1:9" x14ac:dyDescent="0.35">
      <c r="A1342" t="str">
        <f t="shared" si="20"/>
        <v>networkturpe_energy_costS1202641</v>
      </c>
      <c r="C1342" t="s">
        <v>96</v>
      </c>
      <c r="D1342" t="s">
        <v>98</v>
      </c>
      <c r="E1342" t="s">
        <v>110</v>
      </c>
      <c r="F1342">
        <v>178.8337799532494</v>
      </c>
      <c r="G1342">
        <v>2026</v>
      </c>
      <c r="H1342">
        <v>4</v>
      </c>
      <c r="I1342">
        <v>1</v>
      </c>
    </row>
    <row r="1343" spans="1:9" x14ac:dyDescent="0.35">
      <c r="A1343" t="str">
        <f t="shared" si="20"/>
        <v>DAcostS1202641</v>
      </c>
      <c r="C1343" t="s">
        <v>99</v>
      </c>
      <c r="D1343" t="s">
        <v>100</v>
      </c>
      <c r="E1343" t="s">
        <v>110</v>
      </c>
      <c r="F1343">
        <v>1504.6147562193989</v>
      </c>
      <c r="G1343">
        <v>2026</v>
      </c>
      <c r="H1343">
        <v>4</v>
      </c>
      <c r="I1343">
        <v>1</v>
      </c>
    </row>
    <row r="1344" spans="1:9" x14ac:dyDescent="0.35">
      <c r="A1344" t="str">
        <f t="shared" si="20"/>
        <v>DAincomeS1202641</v>
      </c>
      <c r="C1344" t="s">
        <v>99</v>
      </c>
      <c r="D1344" t="s">
        <v>101</v>
      </c>
      <c r="E1344" t="s">
        <v>110</v>
      </c>
      <c r="F1344">
        <v>0</v>
      </c>
      <c r="G1344">
        <v>2026</v>
      </c>
      <c r="H1344">
        <v>4</v>
      </c>
      <c r="I1344">
        <v>1</v>
      </c>
    </row>
    <row r="1345" spans="1:9" x14ac:dyDescent="0.35">
      <c r="A1345" t="str">
        <f t="shared" si="20"/>
        <v>DAenergy_boughtS1202641</v>
      </c>
      <c r="C1345" t="s">
        <v>99</v>
      </c>
      <c r="D1345" t="s">
        <v>111</v>
      </c>
      <c r="E1345" t="s">
        <v>110</v>
      </c>
      <c r="F1345">
        <v>9.4894201681209083</v>
      </c>
      <c r="G1345">
        <v>2026</v>
      </c>
      <c r="H1345">
        <v>4</v>
      </c>
      <c r="I1345">
        <v>1</v>
      </c>
    </row>
    <row r="1346" spans="1:9" x14ac:dyDescent="0.35">
      <c r="A1346" t="str">
        <f t="shared" si="20"/>
        <v>DAenergy_soldS1202641</v>
      </c>
      <c r="B1346" t="s">
        <v>95</v>
      </c>
      <c r="C1346" t="s">
        <v>99</v>
      </c>
      <c r="D1346" t="s">
        <v>112</v>
      </c>
      <c r="E1346" t="s">
        <v>110</v>
      </c>
      <c r="F1346">
        <v>0</v>
      </c>
      <c r="G1346">
        <v>2026</v>
      </c>
      <c r="H1346">
        <v>4</v>
      </c>
      <c r="I1346">
        <v>1</v>
      </c>
    </row>
    <row r="1347" spans="1:9" x14ac:dyDescent="0.35">
      <c r="A1347" t="str">
        <f t="shared" ref="A1347:A1410" si="21">C1347&amp;D1347&amp;E1347&amp;G1347&amp;H1347&amp;I1347</f>
        <v>DAhours_boughtS1202641</v>
      </c>
      <c r="B1347" t="s">
        <v>95</v>
      </c>
      <c r="C1347" t="s">
        <v>99</v>
      </c>
      <c r="D1347" t="s">
        <v>113</v>
      </c>
      <c r="E1347" t="s">
        <v>110</v>
      </c>
      <c r="F1347">
        <v>6705</v>
      </c>
      <c r="G1347">
        <v>2026</v>
      </c>
      <c r="H1347">
        <v>4</v>
      </c>
      <c r="I1347">
        <v>1</v>
      </c>
    </row>
    <row r="1348" spans="1:9" x14ac:dyDescent="0.35">
      <c r="A1348" t="str">
        <f t="shared" si="21"/>
        <v>DAhours_soldS1202641</v>
      </c>
      <c r="C1348" t="s">
        <v>99</v>
      </c>
      <c r="D1348" t="s">
        <v>114</v>
      </c>
      <c r="E1348" t="s">
        <v>110</v>
      </c>
      <c r="F1348">
        <v>0</v>
      </c>
      <c r="G1348">
        <v>2026</v>
      </c>
      <c r="H1348">
        <v>4</v>
      </c>
      <c r="I1348">
        <v>1</v>
      </c>
    </row>
    <row r="1349" spans="1:9" x14ac:dyDescent="0.35">
      <c r="A1349" t="str">
        <f t="shared" si="21"/>
        <v>DAco2_emissionS1202641</v>
      </c>
      <c r="C1349" t="s">
        <v>99</v>
      </c>
      <c r="D1349" t="s">
        <v>204</v>
      </c>
      <c r="E1349" t="s">
        <v>110</v>
      </c>
      <c r="F1349">
        <v>664.25941176847755</v>
      </c>
      <c r="G1349">
        <v>2026</v>
      </c>
      <c r="H1349">
        <v>4</v>
      </c>
      <c r="I1349">
        <v>1</v>
      </c>
    </row>
    <row r="1350" spans="1:9" x14ac:dyDescent="0.35">
      <c r="A1350" t="str">
        <f t="shared" si="21"/>
        <v>fcrincomeS1202641</v>
      </c>
      <c r="C1350" t="s">
        <v>102</v>
      </c>
      <c r="D1350" t="s">
        <v>101</v>
      </c>
      <c r="E1350" t="s">
        <v>110</v>
      </c>
      <c r="F1350">
        <v>0</v>
      </c>
      <c r="G1350">
        <v>2026</v>
      </c>
      <c r="H1350">
        <v>4</v>
      </c>
      <c r="I1350">
        <v>1</v>
      </c>
    </row>
    <row r="1351" spans="1:9" x14ac:dyDescent="0.35">
      <c r="A1351" t="str">
        <f t="shared" si="21"/>
        <v>fcractivation_hoursS1202641</v>
      </c>
      <c r="C1351" t="s">
        <v>102</v>
      </c>
      <c r="D1351" t="s">
        <v>115</v>
      </c>
      <c r="E1351" t="s">
        <v>110</v>
      </c>
      <c r="F1351">
        <v>0</v>
      </c>
      <c r="G1351">
        <v>2026</v>
      </c>
      <c r="H1351">
        <v>4</v>
      </c>
      <c r="I1351">
        <v>1</v>
      </c>
    </row>
    <row r="1352" spans="1:9" x14ac:dyDescent="0.35">
      <c r="A1352" t="str">
        <f t="shared" si="21"/>
        <v>afrrincomeS1202641</v>
      </c>
      <c r="C1352" t="s">
        <v>103</v>
      </c>
      <c r="D1352" t="s">
        <v>101</v>
      </c>
      <c r="E1352" t="s">
        <v>110</v>
      </c>
      <c r="F1352">
        <v>195116.39328711299</v>
      </c>
      <c r="G1352">
        <v>2026</v>
      </c>
      <c r="H1352">
        <v>4</v>
      </c>
      <c r="I1352">
        <v>1</v>
      </c>
    </row>
    <row r="1353" spans="1:9" x14ac:dyDescent="0.35">
      <c r="A1353" t="str">
        <f t="shared" si="21"/>
        <v>afrractivation_hoursS1202641</v>
      </c>
      <c r="C1353" t="s">
        <v>103</v>
      </c>
      <c r="D1353" t="s">
        <v>115</v>
      </c>
      <c r="E1353" t="s">
        <v>110</v>
      </c>
      <c r="F1353">
        <v>8760</v>
      </c>
      <c r="G1353">
        <v>2026</v>
      </c>
      <c r="H1353">
        <v>4</v>
      </c>
      <c r="I1353">
        <v>1</v>
      </c>
    </row>
    <row r="1354" spans="1:9" x14ac:dyDescent="0.35">
      <c r="A1354" t="str">
        <f t="shared" si="21"/>
        <v>networkturpe_power_costS1202741</v>
      </c>
      <c r="C1354" t="s">
        <v>96</v>
      </c>
      <c r="D1354" t="s">
        <v>97</v>
      </c>
      <c r="E1354" t="s">
        <v>110</v>
      </c>
      <c r="F1354">
        <v>5088.8821850668637</v>
      </c>
      <c r="G1354">
        <v>2027</v>
      </c>
      <c r="H1354">
        <v>4</v>
      </c>
      <c r="I1354">
        <v>1</v>
      </c>
    </row>
    <row r="1355" spans="1:9" x14ac:dyDescent="0.35">
      <c r="A1355" t="str">
        <f t="shared" si="21"/>
        <v>networkturpe_energy_costS1202741</v>
      </c>
      <c r="C1355" t="s">
        <v>96</v>
      </c>
      <c r="D1355" t="s">
        <v>98</v>
      </c>
      <c r="E1355" t="s">
        <v>110</v>
      </c>
      <c r="F1355">
        <v>173.02444838156299</v>
      </c>
      <c r="G1355">
        <v>2027</v>
      </c>
      <c r="H1355">
        <v>4</v>
      </c>
      <c r="I1355">
        <v>1</v>
      </c>
    </row>
    <row r="1356" spans="1:9" x14ac:dyDescent="0.35">
      <c r="A1356" t="str">
        <f t="shared" si="21"/>
        <v>DAcostS1202741</v>
      </c>
      <c r="C1356" t="s">
        <v>99</v>
      </c>
      <c r="D1356" t="s">
        <v>100</v>
      </c>
      <c r="E1356" t="s">
        <v>110</v>
      </c>
      <c r="F1356">
        <v>1119.132581721193</v>
      </c>
      <c r="G1356">
        <v>2027</v>
      </c>
      <c r="H1356">
        <v>4</v>
      </c>
      <c r="I1356">
        <v>1</v>
      </c>
    </row>
    <row r="1357" spans="1:9" x14ac:dyDescent="0.35">
      <c r="A1357" t="str">
        <f t="shared" si="21"/>
        <v>DAincomeS1202741</v>
      </c>
      <c r="C1357" t="s">
        <v>99</v>
      </c>
      <c r="D1357" t="s">
        <v>101</v>
      </c>
      <c r="E1357" t="s">
        <v>110</v>
      </c>
      <c r="F1357">
        <v>4.072495782231633E-4</v>
      </c>
      <c r="G1357">
        <v>2027</v>
      </c>
      <c r="H1357">
        <v>4</v>
      </c>
      <c r="I1357">
        <v>1</v>
      </c>
    </row>
    <row r="1358" spans="1:9" x14ac:dyDescent="0.35">
      <c r="A1358" t="str">
        <f t="shared" si="21"/>
        <v>DAenergy_boughtS1202741</v>
      </c>
      <c r="B1358" t="s">
        <v>95</v>
      </c>
      <c r="C1358" t="s">
        <v>99</v>
      </c>
      <c r="D1358" t="s">
        <v>111</v>
      </c>
      <c r="E1358" t="s">
        <v>110</v>
      </c>
      <c r="F1358">
        <v>9.251897554154155</v>
      </c>
      <c r="G1358">
        <v>2027</v>
      </c>
      <c r="H1358">
        <v>4</v>
      </c>
      <c r="I1358">
        <v>1</v>
      </c>
    </row>
    <row r="1359" spans="1:9" x14ac:dyDescent="0.35">
      <c r="A1359" t="str">
        <f t="shared" si="21"/>
        <v>DAenergy_soldS1202741</v>
      </c>
      <c r="B1359" t="s">
        <v>95</v>
      </c>
      <c r="C1359" t="s">
        <v>99</v>
      </c>
      <c r="D1359" t="s">
        <v>112</v>
      </c>
      <c r="E1359" t="s">
        <v>110</v>
      </c>
      <c r="F1359">
        <v>3.0699412205681402E-6</v>
      </c>
      <c r="G1359">
        <v>2027</v>
      </c>
      <c r="H1359">
        <v>4</v>
      </c>
      <c r="I1359">
        <v>1</v>
      </c>
    </row>
    <row r="1360" spans="1:9" x14ac:dyDescent="0.35">
      <c r="A1360" t="str">
        <f t="shared" si="21"/>
        <v>DAhours_boughtS1202741</v>
      </c>
      <c r="C1360" t="s">
        <v>99</v>
      </c>
      <c r="D1360" t="s">
        <v>113</v>
      </c>
      <c r="E1360" t="s">
        <v>110</v>
      </c>
      <c r="F1360">
        <v>5910</v>
      </c>
      <c r="G1360">
        <v>2027</v>
      </c>
      <c r="H1360">
        <v>4</v>
      </c>
      <c r="I1360">
        <v>1</v>
      </c>
    </row>
    <row r="1361" spans="1:9" x14ac:dyDescent="0.35">
      <c r="A1361" t="str">
        <f t="shared" si="21"/>
        <v>DAhours_soldS1202741</v>
      </c>
      <c r="C1361" t="s">
        <v>99</v>
      </c>
      <c r="D1361" t="s">
        <v>114</v>
      </c>
      <c r="E1361" t="s">
        <v>110</v>
      </c>
      <c r="F1361">
        <v>0</v>
      </c>
      <c r="G1361">
        <v>2027</v>
      </c>
      <c r="H1361">
        <v>4</v>
      </c>
      <c r="I1361">
        <v>1</v>
      </c>
    </row>
    <row r="1362" spans="1:9" x14ac:dyDescent="0.35">
      <c r="A1362" t="str">
        <f t="shared" si="21"/>
        <v>DAco2_emissionS1202741</v>
      </c>
      <c r="C1362" t="s">
        <v>99</v>
      </c>
      <c r="D1362" t="s">
        <v>204</v>
      </c>
      <c r="E1362" t="s">
        <v>110</v>
      </c>
      <c r="F1362">
        <v>647.63282879074245</v>
      </c>
      <c r="G1362">
        <v>2027</v>
      </c>
      <c r="H1362">
        <v>4</v>
      </c>
      <c r="I1362">
        <v>1</v>
      </c>
    </row>
    <row r="1363" spans="1:9" x14ac:dyDescent="0.35">
      <c r="A1363" t="str">
        <f t="shared" si="21"/>
        <v>fcrincomeS1202741</v>
      </c>
      <c r="C1363" t="s">
        <v>102</v>
      </c>
      <c r="D1363" t="s">
        <v>101</v>
      </c>
      <c r="E1363" t="s">
        <v>110</v>
      </c>
      <c r="F1363">
        <v>0</v>
      </c>
      <c r="G1363">
        <v>2027</v>
      </c>
      <c r="H1363">
        <v>4</v>
      </c>
      <c r="I1363">
        <v>1</v>
      </c>
    </row>
    <row r="1364" spans="1:9" x14ac:dyDescent="0.35">
      <c r="A1364" t="str">
        <f t="shared" si="21"/>
        <v>fcractivation_hoursS1202741</v>
      </c>
      <c r="C1364" t="s">
        <v>102</v>
      </c>
      <c r="D1364" t="s">
        <v>115</v>
      </c>
      <c r="E1364" t="s">
        <v>110</v>
      </c>
      <c r="F1364">
        <v>0</v>
      </c>
      <c r="G1364">
        <v>2027</v>
      </c>
      <c r="H1364">
        <v>4</v>
      </c>
      <c r="I1364">
        <v>1</v>
      </c>
    </row>
    <row r="1365" spans="1:9" x14ac:dyDescent="0.35">
      <c r="A1365" t="str">
        <f t="shared" si="21"/>
        <v>afrrincomeS1202741</v>
      </c>
      <c r="C1365" t="s">
        <v>103</v>
      </c>
      <c r="D1365" t="s">
        <v>101</v>
      </c>
      <c r="E1365" t="s">
        <v>110</v>
      </c>
      <c r="F1365">
        <v>165743.5685385633</v>
      </c>
      <c r="G1365">
        <v>2027</v>
      </c>
      <c r="H1365">
        <v>4</v>
      </c>
      <c r="I1365">
        <v>1</v>
      </c>
    </row>
    <row r="1366" spans="1:9" x14ac:dyDescent="0.35">
      <c r="A1366" t="str">
        <f t="shared" si="21"/>
        <v>afrractivation_hoursS1202741</v>
      </c>
      <c r="C1366" t="s">
        <v>103</v>
      </c>
      <c r="D1366" t="s">
        <v>115</v>
      </c>
      <c r="E1366" t="s">
        <v>110</v>
      </c>
      <c r="F1366">
        <v>8760</v>
      </c>
      <c r="G1366">
        <v>2027</v>
      </c>
      <c r="H1366">
        <v>4</v>
      </c>
      <c r="I1366">
        <v>1</v>
      </c>
    </row>
    <row r="1367" spans="1:9" x14ac:dyDescent="0.35">
      <c r="A1367" t="str">
        <f t="shared" si="21"/>
        <v>networkturpe_power_costS1202841</v>
      </c>
      <c r="C1367" t="s">
        <v>96</v>
      </c>
      <c r="D1367" t="s">
        <v>97</v>
      </c>
      <c r="E1367" t="s">
        <v>110</v>
      </c>
      <c r="F1367">
        <v>4961.8299206275124</v>
      </c>
      <c r="G1367">
        <v>2028</v>
      </c>
      <c r="H1367">
        <v>4</v>
      </c>
      <c r="I1367">
        <v>1</v>
      </c>
    </row>
    <row r="1368" spans="1:9" x14ac:dyDescent="0.35">
      <c r="A1368" t="str">
        <f t="shared" si="21"/>
        <v>networkturpe_energy_costS1202841</v>
      </c>
      <c r="C1368" t="s">
        <v>96</v>
      </c>
      <c r="D1368" t="s">
        <v>98</v>
      </c>
      <c r="E1368" t="s">
        <v>110</v>
      </c>
      <c r="F1368">
        <v>168.98300383370719</v>
      </c>
      <c r="G1368">
        <v>2028</v>
      </c>
      <c r="H1368">
        <v>4</v>
      </c>
      <c r="I1368">
        <v>1</v>
      </c>
    </row>
    <row r="1369" spans="1:9" x14ac:dyDescent="0.35">
      <c r="A1369" t="str">
        <f t="shared" si="21"/>
        <v>DAcostS1202841</v>
      </c>
      <c r="C1369" t="s">
        <v>99</v>
      </c>
      <c r="D1369" t="s">
        <v>100</v>
      </c>
      <c r="E1369" t="s">
        <v>110</v>
      </c>
      <c r="F1369">
        <v>999.15057535545054</v>
      </c>
      <c r="G1369">
        <v>2028</v>
      </c>
      <c r="H1369">
        <v>4</v>
      </c>
      <c r="I1369">
        <v>1</v>
      </c>
    </row>
    <row r="1370" spans="1:9" x14ac:dyDescent="0.35">
      <c r="A1370" t="str">
        <f t="shared" si="21"/>
        <v>DAincomeS1202841</v>
      </c>
      <c r="B1370" t="s">
        <v>95</v>
      </c>
      <c r="C1370" t="s">
        <v>99</v>
      </c>
      <c r="D1370" t="s">
        <v>101</v>
      </c>
      <c r="E1370" t="s">
        <v>110</v>
      </c>
      <c r="F1370">
        <v>3.2364089162354668E-4</v>
      </c>
      <c r="G1370">
        <v>2028</v>
      </c>
      <c r="H1370">
        <v>4</v>
      </c>
      <c r="I1370">
        <v>1</v>
      </c>
    </row>
    <row r="1371" spans="1:9" x14ac:dyDescent="0.35">
      <c r="A1371" t="str">
        <f t="shared" si="21"/>
        <v>DAenergy_boughtS1202841</v>
      </c>
      <c r="B1371" t="s">
        <v>95</v>
      </c>
      <c r="C1371" t="s">
        <v>99</v>
      </c>
      <c r="D1371" t="s">
        <v>111</v>
      </c>
      <c r="E1371" t="s">
        <v>110</v>
      </c>
      <c r="F1371">
        <v>9.0205442853503683</v>
      </c>
      <c r="G1371">
        <v>2028</v>
      </c>
      <c r="H1371">
        <v>4</v>
      </c>
      <c r="I1371">
        <v>1</v>
      </c>
    </row>
    <row r="1372" spans="1:9" x14ac:dyDescent="0.35">
      <c r="A1372" t="str">
        <f t="shared" si="21"/>
        <v>DAenergy_soldS1202841</v>
      </c>
      <c r="C1372" t="s">
        <v>99</v>
      </c>
      <c r="D1372" t="s">
        <v>112</v>
      </c>
      <c r="E1372" t="s">
        <v>110</v>
      </c>
      <c r="F1372">
        <v>2.575897324330612E-6</v>
      </c>
      <c r="G1372">
        <v>2028</v>
      </c>
      <c r="H1372">
        <v>4</v>
      </c>
      <c r="I1372">
        <v>1</v>
      </c>
    </row>
    <row r="1373" spans="1:9" x14ac:dyDescent="0.35">
      <c r="A1373" t="str">
        <f t="shared" si="21"/>
        <v>DAhours_boughtS1202841</v>
      </c>
      <c r="C1373" t="s">
        <v>99</v>
      </c>
      <c r="D1373" t="s">
        <v>113</v>
      </c>
      <c r="E1373" t="s">
        <v>110</v>
      </c>
      <c r="F1373">
        <v>5820</v>
      </c>
      <c r="G1373">
        <v>2028</v>
      </c>
      <c r="H1373">
        <v>4</v>
      </c>
      <c r="I1373">
        <v>1</v>
      </c>
    </row>
    <row r="1374" spans="1:9" x14ac:dyDescent="0.35">
      <c r="A1374" t="str">
        <f t="shared" si="21"/>
        <v>DAhours_soldS1202841</v>
      </c>
      <c r="C1374" t="s">
        <v>99</v>
      </c>
      <c r="D1374" t="s">
        <v>114</v>
      </c>
      <c r="E1374" t="s">
        <v>110</v>
      </c>
      <c r="F1374">
        <v>0</v>
      </c>
      <c r="G1374">
        <v>2028</v>
      </c>
      <c r="H1374">
        <v>4</v>
      </c>
      <c r="I1374">
        <v>1</v>
      </c>
    </row>
    <row r="1375" spans="1:9" x14ac:dyDescent="0.35">
      <c r="A1375" t="str">
        <f t="shared" si="21"/>
        <v>DAco2_emissionS1202841</v>
      </c>
      <c r="C1375" t="s">
        <v>99</v>
      </c>
      <c r="D1375" t="s">
        <v>204</v>
      </c>
      <c r="E1375" t="s">
        <v>110</v>
      </c>
      <c r="F1375">
        <v>631.43809997453309</v>
      </c>
      <c r="G1375">
        <v>2028</v>
      </c>
      <c r="H1375">
        <v>4</v>
      </c>
      <c r="I1375">
        <v>1</v>
      </c>
    </row>
    <row r="1376" spans="1:9" x14ac:dyDescent="0.35">
      <c r="A1376" t="str">
        <f t="shared" si="21"/>
        <v>fcrincomeS1202841</v>
      </c>
      <c r="C1376" t="s">
        <v>102</v>
      </c>
      <c r="D1376" t="s">
        <v>101</v>
      </c>
      <c r="E1376" t="s">
        <v>110</v>
      </c>
      <c r="F1376">
        <v>0</v>
      </c>
      <c r="G1376">
        <v>2028</v>
      </c>
      <c r="H1376">
        <v>4</v>
      </c>
      <c r="I1376">
        <v>1</v>
      </c>
    </row>
    <row r="1377" spans="1:9" x14ac:dyDescent="0.35">
      <c r="A1377" t="str">
        <f t="shared" si="21"/>
        <v>fcractivation_hoursS1202841</v>
      </c>
      <c r="C1377" t="s">
        <v>102</v>
      </c>
      <c r="D1377" t="s">
        <v>115</v>
      </c>
      <c r="E1377" t="s">
        <v>110</v>
      </c>
      <c r="F1377">
        <v>0</v>
      </c>
      <c r="G1377">
        <v>2028</v>
      </c>
      <c r="H1377">
        <v>4</v>
      </c>
      <c r="I1377">
        <v>1</v>
      </c>
    </row>
    <row r="1378" spans="1:9" x14ac:dyDescent="0.35">
      <c r="A1378" t="str">
        <f t="shared" si="21"/>
        <v>afrrincomeS1202841</v>
      </c>
      <c r="C1378" t="s">
        <v>103</v>
      </c>
      <c r="D1378" t="s">
        <v>101</v>
      </c>
      <c r="E1378" t="s">
        <v>110</v>
      </c>
      <c r="F1378">
        <v>162992.75761863211</v>
      </c>
      <c r="G1378">
        <v>2028</v>
      </c>
      <c r="H1378">
        <v>4</v>
      </c>
      <c r="I1378">
        <v>1</v>
      </c>
    </row>
    <row r="1379" spans="1:9" x14ac:dyDescent="0.35">
      <c r="A1379" t="str">
        <f t="shared" si="21"/>
        <v>afrractivation_hoursS1202841</v>
      </c>
      <c r="C1379" t="s">
        <v>103</v>
      </c>
      <c r="D1379" t="s">
        <v>115</v>
      </c>
      <c r="E1379" t="s">
        <v>110</v>
      </c>
      <c r="F1379">
        <v>8760</v>
      </c>
      <c r="G1379">
        <v>2028</v>
      </c>
      <c r="H1379">
        <v>4</v>
      </c>
      <c r="I1379">
        <v>1</v>
      </c>
    </row>
    <row r="1380" spans="1:9" x14ac:dyDescent="0.35">
      <c r="A1380" t="str">
        <f t="shared" si="21"/>
        <v>networkturpe_power_costS1202941</v>
      </c>
      <c r="C1380" t="s">
        <v>96</v>
      </c>
      <c r="D1380" t="s">
        <v>97</v>
      </c>
      <c r="E1380" t="s">
        <v>110</v>
      </c>
      <c r="F1380">
        <v>4836.5273997866307</v>
      </c>
      <c r="G1380">
        <v>2029</v>
      </c>
      <c r="H1380">
        <v>4</v>
      </c>
      <c r="I1380">
        <v>1</v>
      </c>
    </row>
    <row r="1381" spans="1:9" x14ac:dyDescent="0.35">
      <c r="A1381" t="str">
        <f t="shared" si="21"/>
        <v>networkturpe_energy_costS1202941</v>
      </c>
      <c r="C1381" t="s">
        <v>96</v>
      </c>
      <c r="D1381" t="s">
        <v>98</v>
      </c>
      <c r="E1381" t="s">
        <v>110</v>
      </c>
      <c r="F1381">
        <v>183.8589135001084</v>
      </c>
      <c r="G1381">
        <v>2029</v>
      </c>
      <c r="H1381">
        <v>4</v>
      </c>
      <c r="I1381">
        <v>1</v>
      </c>
    </row>
    <row r="1382" spans="1:9" x14ac:dyDescent="0.35">
      <c r="A1382" t="str">
        <f t="shared" si="21"/>
        <v>DAcostS1202941</v>
      </c>
      <c r="B1382" t="s">
        <v>95</v>
      </c>
      <c r="C1382" t="s">
        <v>99</v>
      </c>
      <c r="D1382" t="s">
        <v>100</v>
      </c>
      <c r="E1382" t="s">
        <v>110</v>
      </c>
      <c r="F1382">
        <v>907.9103749182525</v>
      </c>
      <c r="G1382">
        <v>2029</v>
      </c>
      <c r="H1382">
        <v>4</v>
      </c>
      <c r="I1382">
        <v>1</v>
      </c>
    </row>
    <row r="1383" spans="1:9" x14ac:dyDescent="0.35">
      <c r="A1383" t="str">
        <f t="shared" si="21"/>
        <v>DAincomeS1202941</v>
      </c>
      <c r="B1383" t="s">
        <v>95</v>
      </c>
      <c r="C1383" t="s">
        <v>99</v>
      </c>
      <c r="D1383" t="s">
        <v>101</v>
      </c>
      <c r="E1383" t="s">
        <v>110</v>
      </c>
      <c r="F1383">
        <v>187.9421507478724</v>
      </c>
      <c r="G1383">
        <v>2029</v>
      </c>
      <c r="H1383">
        <v>4</v>
      </c>
      <c r="I1383">
        <v>1</v>
      </c>
    </row>
    <row r="1384" spans="1:9" x14ac:dyDescent="0.35">
      <c r="A1384" t="str">
        <f t="shared" si="21"/>
        <v>DAenergy_boughtS1202941</v>
      </c>
      <c r="C1384" t="s">
        <v>99</v>
      </c>
      <c r="D1384" t="s">
        <v>111</v>
      </c>
      <c r="E1384" t="s">
        <v>110</v>
      </c>
      <c r="F1384">
        <v>10.603106920557551</v>
      </c>
      <c r="G1384">
        <v>2029</v>
      </c>
      <c r="H1384">
        <v>4</v>
      </c>
      <c r="I1384">
        <v>1</v>
      </c>
    </row>
    <row r="1385" spans="1:9" x14ac:dyDescent="0.35">
      <c r="A1385" t="str">
        <f t="shared" si="21"/>
        <v>DAenergy_soldS1202941</v>
      </c>
      <c r="C1385" t="s">
        <v>99</v>
      </c>
      <c r="D1385" t="s">
        <v>112</v>
      </c>
      <c r="E1385" t="s">
        <v>110</v>
      </c>
      <c r="F1385">
        <v>1.466121778203233</v>
      </c>
      <c r="G1385">
        <v>2029</v>
      </c>
      <c r="H1385">
        <v>4</v>
      </c>
      <c r="I1385">
        <v>1</v>
      </c>
    </row>
    <row r="1386" spans="1:9" x14ac:dyDescent="0.35">
      <c r="A1386" t="str">
        <f t="shared" si="21"/>
        <v>DAhours_boughtS1202941</v>
      </c>
      <c r="C1386" t="s">
        <v>99</v>
      </c>
      <c r="D1386" t="s">
        <v>113</v>
      </c>
      <c r="E1386" t="s">
        <v>110</v>
      </c>
      <c r="F1386">
        <v>6399</v>
      </c>
      <c r="G1386">
        <v>2029</v>
      </c>
      <c r="H1386">
        <v>4</v>
      </c>
      <c r="I1386">
        <v>1</v>
      </c>
    </row>
    <row r="1387" spans="1:9" x14ac:dyDescent="0.35">
      <c r="A1387" t="str">
        <f t="shared" si="21"/>
        <v>DAhours_soldS1202941</v>
      </c>
      <c r="C1387" t="s">
        <v>99</v>
      </c>
      <c r="D1387" t="s">
        <v>114</v>
      </c>
      <c r="E1387" t="s">
        <v>110</v>
      </c>
      <c r="F1387">
        <v>1</v>
      </c>
      <c r="G1387">
        <v>2029</v>
      </c>
      <c r="H1387">
        <v>4</v>
      </c>
      <c r="I1387">
        <v>1</v>
      </c>
    </row>
    <row r="1388" spans="1:9" x14ac:dyDescent="0.35">
      <c r="A1388" t="str">
        <f t="shared" si="21"/>
        <v>DAco2_emissionS1202941</v>
      </c>
      <c r="C1388" t="s">
        <v>99</v>
      </c>
      <c r="D1388" t="s">
        <v>204</v>
      </c>
      <c r="E1388" t="s">
        <v>110</v>
      </c>
      <c r="F1388">
        <v>742.21748443919864</v>
      </c>
      <c r="G1388">
        <v>2029</v>
      </c>
      <c r="H1388">
        <v>4</v>
      </c>
      <c r="I1388">
        <v>1</v>
      </c>
    </row>
    <row r="1389" spans="1:9" x14ac:dyDescent="0.35">
      <c r="A1389" t="str">
        <f t="shared" si="21"/>
        <v>fcrincomeS1202941</v>
      </c>
      <c r="C1389" t="s">
        <v>102</v>
      </c>
      <c r="D1389" t="s">
        <v>101</v>
      </c>
      <c r="E1389" t="s">
        <v>110</v>
      </c>
      <c r="F1389">
        <v>0</v>
      </c>
      <c r="G1389">
        <v>2029</v>
      </c>
      <c r="H1389">
        <v>4</v>
      </c>
      <c r="I1389">
        <v>1</v>
      </c>
    </row>
    <row r="1390" spans="1:9" x14ac:dyDescent="0.35">
      <c r="A1390" t="str">
        <f t="shared" si="21"/>
        <v>fcractivation_hoursS1202941</v>
      </c>
      <c r="C1390" t="s">
        <v>102</v>
      </c>
      <c r="D1390" t="s">
        <v>115</v>
      </c>
      <c r="E1390" t="s">
        <v>110</v>
      </c>
      <c r="F1390">
        <v>0</v>
      </c>
      <c r="G1390">
        <v>2029</v>
      </c>
      <c r="H1390">
        <v>4</v>
      </c>
      <c r="I1390">
        <v>1</v>
      </c>
    </row>
    <row r="1391" spans="1:9" x14ac:dyDescent="0.35">
      <c r="A1391" t="str">
        <f t="shared" si="21"/>
        <v>afrrincomeS1202941</v>
      </c>
      <c r="C1391" t="s">
        <v>103</v>
      </c>
      <c r="D1391" t="s">
        <v>101</v>
      </c>
      <c r="E1391" t="s">
        <v>110</v>
      </c>
      <c r="F1391">
        <v>168210.08964532701</v>
      </c>
      <c r="G1391">
        <v>2029</v>
      </c>
      <c r="H1391">
        <v>4</v>
      </c>
      <c r="I1391">
        <v>1</v>
      </c>
    </row>
    <row r="1392" spans="1:9" x14ac:dyDescent="0.35">
      <c r="A1392" t="str">
        <f t="shared" si="21"/>
        <v>afrractivation_hoursS1202941</v>
      </c>
      <c r="C1392" t="s">
        <v>103</v>
      </c>
      <c r="D1392" t="s">
        <v>115</v>
      </c>
      <c r="E1392" t="s">
        <v>110</v>
      </c>
      <c r="F1392">
        <v>8758</v>
      </c>
      <c r="G1392">
        <v>2029</v>
      </c>
      <c r="H1392">
        <v>4</v>
      </c>
      <c r="I1392">
        <v>1</v>
      </c>
    </row>
    <row r="1393" spans="1:9" x14ac:dyDescent="0.35">
      <c r="A1393" t="str">
        <f t="shared" si="21"/>
        <v>networkturpe_power_costS1203041</v>
      </c>
      <c r="C1393" t="s">
        <v>96</v>
      </c>
      <c r="D1393" t="s">
        <v>97</v>
      </c>
      <c r="E1393" t="s">
        <v>110</v>
      </c>
      <c r="F1393">
        <v>4721.5752602266293</v>
      </c>
      <c r="G1393">
        <v>2030</v>
      </c>
      <c r="H1393">
        <v>4</v>
      </c>
      <c r="I1393">
        <v>1</v>
      </c>
    </row>
    <row r="1394" spans="1:9" x14ac:dyDescent="0.35">
      <c r="A1394" t="str">
        <f t="shared" si="21"/>
        <v>networkturpe_energy_costS1203041</v>
      </c>
      <c r="B1394" t="s">
        <v>95</v>
      </c>
      <c r="C1394" t="s">
        <v>96</v>
      </c>
      <c r="D1394" t="s">
        <v>98</v>
      </c>
      <c r="E1394" t="s">
        <v>110</v>
      </c>
      <c r="F1394">
        <v>552.10889657377925</v>
      </c>
      <c r="G1394">
        <v>2030</v>
      </c>
      <c r="H1394">
        <v>4</v>
      </c>
      <c r="I1394">
        <v>1</v>
      </c>
    </row>
    <row r="1395" spans="1:9" x14ac:dyDescent="0.35">
      <c r="A1395" t="str">
        <f t="shared" si="21"/>
        <v>DAcostS1203041</v>
      </c>
      <c r="B1395" t="s">
        <v>95</v>
      </c>
      <c r="C1395" t="s">
        <v>99</v>
      </c>
      <c r="D1395" t="s">
        <v>100</v>
      </c>
      <c r="E1395" t="s">
        <v>110</v>
      </c>
      <c r="F1395">
        <v>2178.296206443847</v>
      </c>
      <c r="G1395">
        <v>2030</v>
      </c>
      <c r="H1395">
        <v>4</v>
      </c>
      <c r="I1395">
        <v>1</v>
      </c>
    </row>
    <row r="1396" spans="1:9" x14ac:dyDescent="0.35">
      <c r="A1396" t="str">
        <f t="shared" si="21"/>
        <v>DAincomeS1203041</v>
      </c>
      <c r="C1396" t="s">
        <v>99</v>
      </c>
      <c r="D1396" t="s">
        <v>101</v>
      </c>
      <c r="E1396" t="s">
        <v>110</v>
      </c>
      <c r="F1396">
        <v>2930.9645443872992</v>
      </c>
      <c r="G1396">
        <v>2030</v>
      </c>
      <c r="H1396">
        <v>4</v>
      </c>
      <c r="I1396">
        <v>1</v>
      </c>
    </row>
    <row r="1397" spans="1:9" x14ac:dyDescent="0.35">
      <c r="A1397" t="str">
        <f t="shared" si="21"/>
        <v>DAenergy_boughtS1203041</v>
      </c>
      <c r="C1397" t="s">
        <v>99</v>
      </c>
      <c r="D1397" t="s">
        <v>111</v>
      </c>
      <c r="E1397" t="s">
        <v>110</v>
      </c>
      <c r="F1397">
        <v>38.355525015049068</v>
      </c>
      <c r="G1397">
        <v>2030</v>
      </c>
      <c r="H1397">
        <v>4</v>
      </c>
      <c r="I1397">
        <v>1</v>
      </c>
    </row>
    <row r="1398" spans="1:9" x14ac:dyDescent="0.35">
      <c r="A1398" t="str">
        <f t="shared" si="21"/>
        <v>DAenergy_soldS1203041</v>
      </c>
      <c r="C1398" t="s">
        <v>99</v>
      </c>
      <c r="D1398" t="s">
        <v>112</v>
      </c>
      <c r="E1398" t="s">
        <v>110</v>
      </c>
      <c r="F1398">
        <v>24.125424178007371</v>
      </c>
      <c r="G1398">
        <v>2030</v>
      </c>
      <c r="H1398">
        <v>4</v>
      </c>
      <c r="I1398">
        <v>1</v>
      </c>
    </row>
    <row r="1399" spans="1:9" x14ac:dyDescent="0.35">
      <c r="A1399" t="str">
        <f t="shared" si="21"/>
        <v>DAhours_boughtS1203041</v>
      </c>
      <c r="C1399" t="s">
        <v>99</v>
      </c>
      <c r="D1399" t="s">
        <v>113</v>
      </c>
      <c r="E1399" t="s">
        <v>110</v>
      </c>
      <c r="F1399">
        <v>4307</v>
      </c>
      <c r="G1399">
        <v>2030</v>
      </c>
      <c r="H1399">
        <v>4</v>
      </c>
      <c r="I1399">
        <v>1</v>
      </c>
    </row>
    <row r="1400" spans="1:9" x14ac:dyDescent="0.35">
      <c r="A1400" t="str">
        <f t="shared" si="21"/>
        <v>DAhours_soldS1203041</v>
      </c>
      <c r="C1400" t="s">
        <v>99</v>
      </c>
      <c r="D1400" t="s">
        <v>114</v>
      </c>
      <c r="E1400" t="s">
        <v>110</v>
      </c>
      <c r="F1400">
        <v>38</v>
      </c>
      <c r="G1400">
        <v>2030</v>
      </c>
      <c r="H1400">
        <v>4</v>
      </c>
      <c r="I1400">
        <v>1</v>
      </c>
    </row>
    <row r="1401" spans="1:9" x14ac:dyDescent="0.35">
      <c r="A1401" t="str">
        <f t="shared" si="21"/>
        <v>DAco2_emissionS1203041</v>
      </c>
      <c r="C1401" t="s">
        <v>99</v>
      </c>
      <c r="D1401" t="s">
        <v>204</v>
      </c>
      <c r="E1401" t="s">
        <v>110</v>
      </c>
      <c r="F1401">
        <v>2684.8867510533378</v>
      </c>
      <c r="G1401">
        <v>2030</v>
      </c>
      <c r="H1401">
        <v>4</v>
      </c>
      <c r="I1401">
        <v>1</v>
      </c>
    </row>
    <row r="1402" spans="1:9" x14ac:dyDescent="0.35">
      <c r="A1402" t="str">
        <f t="shared" si="21"/>
        <v>fcrincomeS1203041</v>
      </c>
      <c r="C1402" t="s">
        <v>102</v>
      </c>
      <c r="D1402" t="s">
        <v>101</v>
      </c>
      <c r="E1402" t="s">
        <v>110</v>
      </c>
      <c r="F1402">
        <v>3.312004187480326E-2</v>
      </c>
      <c r="G1402">
        <v>2030</v>
      </c>
      <c r="H1402">
        <v>4</v>
      </c>
      <c r="I1402">
        <v>1</v>
      </c>
    </row>
    <row r="1403" spans="1:9" x14ac:dyDescent="0.35">
      <c r="A1403" t="str">
        <f t="shared" si="21"/>
        <v>fcractivation_hoursS1203041</v>
      </c>
      <c r="C1403" t="s">
        <v>102</v>
      </c>
      <c r="D1403" t="s">
        <v>115</v>
      </c>
      <c r="E1403" t="s">
        <v>110</v>
      </c>
      <c r="F1403">
        <v>4</v>
      </c>
      <c r="G1403">
        <v>2030</v>
      </c>
      <c r="H1403">
        <v>4</v>
      </c>
      <c r="I1403">
        <v>1</v>
      </c>
    </row>
    <row r="1404" spans="1:9" x14ac:dyDescent="0.35">
      <c r="A1404" t="str">
        <f t="shared" si="21"/>
        <v>afrrincomeS1203041</v>
      </c>
      <c r="C1404" t="s">
        <v>103</v>
      </c>
      <c r="D1404" t="s">
        <v>101</v>
      </c>
      <c r="E1404" t="s">
        <v>110</v>
      </c>
      <c r="F1404">
        <v>99631.752213279426</v>
      </c>
      <c r="G1404">
        <v>2030</v>
      </c>
      <c r="H1404">
        <v>4</v>
      </c>
      <c r="I1404">
        <v>1</v>
      </c>
    </row>
    <row r="1405" spans="1:9" x14ac:dyDescent="0.35">
      <c r="A1405" t="str">
        <f t="shared" si="21"/>
        <v>afrractivation_hoursS1203041</v>
      </c>
      <c r="C1405" t="s">
        <v>103</v>
      </c>
      <c r="D1405" t="s">
        <v>115</v>
      </c>
      <c r="E1405" t="s">
        <v>110</v>
      </c>
      <c r="F1405">
        <v>8723</v>
      </c>
      <c r="G1405">
        <v>2030</v>
      </c>
      <c r="H1405">
        <v>4</v>
      </c>
      <c r="I1405">
        <v>1</v>
      </c>
    </row>
    <row r="1406" spans="1:9" x14ac:dyDescent="0.35">
      <c r="A1406" t="str">
        <f t="shared" si="21"/>
        <v>networkturpe_power_costS1203141</v>
      </c>
      <c r="B1406" t="s">
        <v>95</v>
      </c>
      <c r="C1406" t="s">
        <v>96</v>
      </c>
      <c r="D1406" t="s">
        <v>97</v>
      </c>
      <c r="E1406" t="s">
        <v>110</v>
      </c>
      <c r="F1406">
        <v>4603.5033430908334</v>
      </c>
      <c r="G1406">
        <v>2031</v>
      </c>
      <c r="H1406">
        <v>4</v>
      </c>
      <c r="I1406">
        <v>1</v>
      </c>
    </row>
    <row r="1407" spans="1:9" x14ac:dyDescent="0.35">
      <c r="A1407" t="str">
        <f t="shared" si="21"/>
        <v>networkturpe_energy_costS1203141</v>
      </c>
      <c r="B1407" t="s">
        <v>95</v>
      </c>
      <c r="C1407" t="s">
        <v>96</v>
      </c>
      <c r="D1407" t="s">
        <v>98</v>
      </c>
      <c r="E1407" t="s">
        <v>110</v>
      </c>
      <c r="F1407">
        <v>795.54634497979907</v>
      </c>
      <c r="G1407">
        <v>2031</v>
      </c>
      <c r="H1407">
        <v>4</v>
      </c>
      <c r="I1407">
        <v>1</v>
      </c>
    </row>
    <row r="1408" spans="1:9" x14ac:dyDescent="0.35">
      <c r="A1408" t="str">
        <f t="shared" si="21"/>
        <v>DAcostS1203141</v>
      </c>
      <c r="C1408" t="s">
        <v>99</v>
      </c>
      <c r="D1408" t="s">
        <v>100</v>
      </c>
      <c r="E1408" t="s">
        <v>110</v>
      </c>
      <c r="F1408">
        <v>2391.7779553100208</v>
      </c>
      <c r="G1408">
        <v>2031</v>
      </c>
      <c r="H1408">
        <v>4</v>
      </c>
      <c r="I1408">
        <v>1</v>
      </c>
    </row>
    <row r="1409" spans="1:9" x14ac:dyDescent="0.35">
      <c r="A1409" t="str">
        <f t="shared" si="21"/>
        <v>DAincomeS1203141</v>
      </c>
      <c r="C1409" t="s">
        <v>99</v>
      </c>
      <c r="D1409" t="s">
        <v>101</v>
      </c>
      <c r="E1409" t="s">
        <v>110</v>
      </c>
      <c r="F1409">
        <v>4201.7929480544744</v>
      </c>
      <c r="G1409">
        <v>2031</v>
      </c>
      <c r="H1409">
        <v>4</v>
      </c>
      <c r="I1409">
        <v>1</v>
      </c>
    </row>
    <row r="1410" spans="1:9" x14ac:dyDescent="0.35">
      <c r="A1410" t="str">
        <f t="shared" si="21"/>
        <v>DAenergy_boughtS1203141</v>
      </c>
      <c r="C1410" t="s">
        <v>99</v>
      </c>
      <c r="D1410" t="s">
        <v>111</v>
      </c>
      <c r="E1410" t="s">
        <v>110</v>
      </c>
      <c r="F1410">
        <v>55.776946258735947</v>
      </c>
      <c r="G1410">
        <v>2031</v>
      </c>
      <c r="H1410">
        <v>4</v>
      </c>
      <c r="I1410">
        <v>1</v>
      </c>
    </row>
    <row r="1411" spans="1:9" x14ac:dyDescent="0.35">
      <c r="A1411" t="str">
        <f t="shared" ref="A1411:A1474" si="22">C1411&amp;D1411&amp;E1411&amp;G1411&amp;H1411&amp;I1411</f>
        <v>DAenergy_soldS1203141</v>
      </c>
      <c r="C1411" t="s">
        <v>99</v>
      </c>
      <c r="D1411" t="s">
        <v>112</v>
      </c>
      <c r="E1411" t="s">
        <v>110</v>
      </c>
      <c r="F1411">
        <v>38.420174760757448</v>
      </c>
      <c r="G1411">
        <v>2031</v>
      </c>
      <c r="H1411">
        <v>4</v>
      </c>
      <c r="I1411">
        <v>1</v>
      </c>
    </row>
    <row r="1412" spans="1:9" x14ac:dyDescent="0.35">
      <c r="A1412" t="str">
        <f t="shared" si="22"/>
        <v>DAhours_boughtS1203141</v>
      </c>
      <c r="C1412" t="s">
        <v>99</v>
      </c>
      <c r="D1412" t="s">
        <v>113</v>
      </c>
      <c r="E1412" t="s">
        <v>110</v>
      </c>
      <c r="F1412">
        <v>4430</v>
      </c>
      <c r="G1412">
        <v>2031</v>
      </c>
      <c r="H1412">
        <v>4</v>
      </c>
      <c r="I1412">
        <v>1</v>
      </c>
    </row>
    <row r="1413" spans="1:9" x14ac:dyDescent="0.35">
      <c r="A1413" t="str">
        <f t="shared" si="22"/>
        <v>DAhours_soldS1203141</v>
      </c>
      <c r="C1413" t="s">
        <v>99</v>
      </c>
      <c r="D1413" t="s">
        <v>114</v>
      </c>
      <c r="E1413" t="s">
        <v>110</v>
      </c>
      <c r="F1413">
        <v>69</v>
      </c>
      <c r="G1413">
        <v>2031</v>
      </c>
      <c r="H1413">
        <v>4</v>
      </c>
      <c r="I1413">
        <v>1</v>
      </c>
    </row>
    <row r="1414" spans="1:9" x14ac:dyDescent="0.35">
      <c r="A1414" t="str">
        <f t="shared" si="22"/>
        <v>DAco2_emissionS1203141</v>
      </c>
      <c r="C1414" t="s">
        <v>99</v>
      </c>
      <c r="D1414" t="s">
        <v>204</v>
      </c>
      <c r="E1414" t="s">
        <v>110</v>
      </c>
      <c r="F1414">
        <v>3904.386238111455</v>
      </c>
      <c r="G1414">
        <v>2031</v>
      </c>
      <c r="H1414">
        <v>4</v>
      </c>
      <c r="I1414">
        <v>1</v>
      </c>
    </row>
    <row r="1415" spans="1:9" x14ac:dyDescent="0.35">
      <c r="A1415" t="str">
        <f t="shared" si="22"/>
        <v>fcrincomeS1203141</v>
      </c>
      <c r="C1415" t="s">
        <v>102</v>
      </c>
      <c r="D1415" t="s">
        <v>101</v>
      </c>
      <c r="E1415" t="s">
        <v>110</v>
      </c>
      <c r="F1415">
        <v>1.316426770326706E-2</v>
      </c>
      <c r="G1415">
        <v>2031</v>
      </c>
      <c r="H1415">
        <v>4</v>
      </c>
      <c r="I1415">
        <v>1</v>
      </c>
    </row>
    <row r="1416" spans="1:9" x14ac:dyDescent="0.35">
      <c r="A1416" t="str">
        <f t="shared" si="22"/>
        <v>fcractivation_hoursS1203141</v>
      </c>
      <c r="C1416" t="s">
        <v>102</v>
      </c>
      <c r="D1416" t="s">
        <v>115</v>
      </c>
      <c r="E1416" t="s">
        <v>110</v>
      </c>
      <c r="F1416">
        <v>4</v>
      </c>
      <c r="G1416">
        <v>2031</v>
      </c>
      <c r="H1416">
        <v>4</v>
      </c>
      <c r="I1416">
        <v>1</v>
      </c>
    </row>
    <row r="1417" spans="1:9" x14ac:dyDescent="0.35">
      <c r="A1417" t="str">
        <f t="shared" si="22"/>
        <v>afrrincomeS1203141</v>
      </c>
      <c r="C1417" t="s">
        <v>103</v>
      </c>
      <c r="D1417" t="s">
        <v>101</v>
      </c>
      <c r="E1417" t="s">
        <v>110</v>
      </c>
      <c r="F1417">
        <v>97378.231368343797</v>
      </c>
      <c r="G1417">
        <v>2031</v>
      </c>
      <c r="H1417">
        <v>4</v>
      </c>
      <c r="I1417">
        <v>1</v>
      </c>
    </row>
    <row r="1418" spans="1:9" x14ac:dyDescent="0.35">
      <c r="A1418" t="str">
        <f t="shared" si="22"/>
        <v>afrractivation_hoursS1203141</v>
      </c>
      <c r="B1418" t="s">
        <v>95</v>
      </c>
      <c r="C1418" t="s">
        <v>103</v>
      </c>
      <c r="D1418" t="s">
        <v>115</v>
      </c>
      <c r="E1418" t="s">
        <v>110</v>
      </c>
      <c r="F1418">
        <v>8700</v>
      </c>
      <c r="G1418">
        <v>2031</v>
      </c>
      <c r="H1418">
        <v>4</v>
      </c>
      <c r="I1418">
        <v>1</v>
      </c>
    </row>
    <row r="1419" spans="1:9" x14ac:dyDescent="0.35">
      <c r="A1419" t="str">
        <f t="shared" si="22"/>
        <v>networkturpe_power_costS1203241</v>
      </c>
      <c r="B1419" t="s">
        <v>95</v>
      </c>
      <c r="C1419" t="s">
        <v>96</v>
      </c>
      <c r="D1419" t="s">
        <v>97</v>
      </c>
      <c r="E1419" t="s">
        <v>110</v>
      </c>
      <c r="F1419">
        <v>4494.173610282237</v>
      </c>
      <c r="G1419">
        <v>2032</v>
      </c>
      <c r="H1419">
        <v>4</v>
      </c>
      <c r="I1419">
        <v>1</v>
      </c>
    </row>
    <row r="1420" spans="1:9" x14ac:dyDescent="0.35">
      <c r="A1420" t="str">
        <f t="shared" si="22"/>
        <v>networkturpe_energy_costS1203241</v>
      </c>
      <c r="C1420" t="s">
        <v>96</v>
      </c>
      <c r="D1420" t="s">
        <v>98</v>
      </c>
      <c r="E1420" t="s">
        <v>110</v>
      </c>
      <c r="F1420">
        <v>1224.6377107723581</v>
      </c>
      <c r="G1420">
        <v>2032</v>
      </c>
      <c r="H1420">
        <v>4</v>
      </c>
      <c r="I1420">
        <v>1</v>
      </c>
    </row>
    <row r="1421" spans="1:9" x14ac:dyDescent="0.35">
      <c r="A1421" t="str">
        <f t="shared" si="22"/>
        <v>DAcostS1203241</v>
      </c>
      <c r="C1421" t="s">
        <v>99</v>
      </c>
      <c r="D1421" t="s">
        <v>100</v>
      </c>
      <c r="E1421" t="s">
        <v>110</v>
      </c>
      <c r="F1421">
        <v>4166.5345024295684</v>
      </c>
      <c r="G1421">
        <v>2032</v>
      </c>
      <c r="H1421">
        <v>4</v>
      </c>
      <c r="I1421">
        <v>1</v>
      </c>
    </row>
    <row r="1422" spans="1:9" x14ac:dyDescent="0.35">
      <c r="A1422" t="str">
        <f t="shared" si="22"/>
        <v>DAincomeS1203241</v>
      </c>
      <c r="C1422" t="s">
        <v>99</v>
      </c>
      <c r="D1422" t="s">
        <v>101</v>
      </c>
      <c r="E1422" t="s">
        <v>110</v>
      </c>
      <c r="F1422">
        <v>7779.9781450880846</v>
      </c>
      <c r="G1422">
        <v>2032</v>
      </c>
      <c r="H1422">
        <v>4</v>
      </c>
      <c r="I1422">
        <v>1</v>
      </c>
    </row>
    <row r="1423" spans="1:9" x14ac:dyDescent="0.35">
      <c r="A1423" t="str">
        <f t="shared" si="22"/>
        <v>DAenergy_boughtS1203241</v>
      </c>
      <c r="C1423" t="s">
        <v>99</v>
      </c>
      <c r="D1423" t="s">
        <v>111</v>
      </c>
      <c r="E1423" t="s">
        <v>110</v>
      </c>
      <c r="F1423">
        <v>94.967058797518703</v>
      </c>
      <c r="G1423">
        <v>2032</v>
      </c>
      <c r="H1423">
        <v>4</v>
      </c>
      <c r="I1423">
        <v>1</v>
      </c>
    </row>
    <row r="1424" spans="1:9" x14ac:dyDescent="0.35">
      <c r="A1424" t="str">
        <f t="shared" si="22"/>
        <v>DAenergy_soldS1203241</v>
      </c>
      <c r="C1424" t="s">
        <v>99</v>
      </c>
      <c r="D1424" t="s">
        <v>112</v>
      </c>
      <c r="E1424" t="s">
        <v>110</v>
      </c>
      <c r="F1424">
        <v>70.35534202406167</v>
      </c>
      <c r="G1424">
        <v>2032</v>
      </c>
      <c r="H1424">
        <v>4</v>
      </c>
      <c r="I1424">
        <v>1</v>
      </c>
    </row>
    <row r="1425" spans="1:9" x14ac:dyDescent="0.35">
      <c r="A1425" t="str">
        <f t="shared" si="22"/>
        <v>DAhours_boughtS1203241</v>
      </c>
      <c r="C1425" t="s">
        <v>99</v>
      </c>
      <c r="D1425" t="s">
        <v>113</v>
      </c>
      <c r="E1425" t="s">
        <v>110</v>
      </c>
      <c r="F1425">
        <v>4256</v>
      </c>
      <c r="G1425">
        <v>2032</v>
      </c>
      <c r="H1425">
        <v>4</v>
      </c>
      <c r="I1425">
        <v>1</v>
      </c>
    </row>
    <row r="1426" spans="1:9" x14ac:dyDescent="0.35">
      <c r="A1426" t="str">
        <f t="shared" si="22"/>
        <v>DAhours_soldS1203241</v>
      </c>
      <c r="C1426" t="s">
        <v>99</v>
      </c>
      <c r="D1426" t="s">
        <v>114</v>
      </c>
      <c r="E1426" t="s">
        <v>110</v>
      </c>
      <c r="F1426">
        <v>96</v>
      </c>
      <c r="G1426">
        <v>2032</v>
      </c>
      <c r="H1426">
        <v>4</v>
      </c>
      <c r="I1426">
        <v>1</v>
      </c>
    </row>
    <row r="1427" spans="1:9" x14ac:dyDescent="0.35">
      <c r="A1427" t="str">
        <f t="shared" si="22"/>
        <v>DAco2_emissionS1203241</v>
      </c>
      <c r="C1427" t="s">
        <v>99</v>
      </c>
      <c r="D1427" t="s">
        <v>204</v>
      </c>
      <c r="E1427" t="s">
        <v>110</v>
      </c>
      <c r="F1427">
        <v>6647.6941158262534</v>
      </c>
      <c r="G1427">
        <v>2032</v>
      </c>
      <c r="H1427">
        <v>4</v>
      </c>
      <c r="I1427">
        <v>1</v>
      </c>
    </row>
    <row r="1428" spans="1:9" x14ac:dyDescent="0.35">
      <c r="A1428" t="str">
        <f t="shared" si="22"/>
        <v>fcrincomeS1203241</v>
      </c>
      <c r="C1428" t="s">
        <v>102</v>
      </c>
      <c r="D1428" t="s">
        <v>101</v>
      </c>
      <c r="E1428" t="s">
        <v>110</v>
      </c>
      <c r="F1428">
        <v>0.13247822149656349</v>
      </c>
      <c r="G1428">
        <v>2032</v>
      </c>
      <c r="H1428">
        <v>4</v>
      </c>
      <c r="I1428">
        <v>1</v>
      </c>
    </row>
    <row r="1429" spans="1:9" x14ac:dyDescent="0.35">
      <c r="A1429" t="str">
        <f t="shared" si="22"/>
        <v>fcractivation_hoursS1203241</v>
      </c>
      <c r="C1429" t="s">
        <v>102</v>
      </c>
      <c r="D1429" t="s">
        <v>115</v>
      </c>
      <c r="E1429" t="s">
        <v>110</v>
      </c>
      <c r="F1429">
        <v>20</v>
      </c>
      <c r="G1429">
        <v>2032</v>
      </c>
      <c r="H1429">
        <v>4</v>
      </c>
      <c r="I1429">
        <v>1</v>
      </c>
    </row>
    <row r="1430" spans="1:9" x14ac:dyDescent="0.35">
      <c r="A1430" t="str">
        <f t="shared" si="22"/>
        <v>afrrincomeS1203241</v>
      </c>
      <c r="B1430" t="s">
        <v>95</v>
      </c>
      <c r="C1430" t="s">
        <v>103</v>
      </c>
      <c r="D1430" t="s">
        <v>101</v>
      </c>
      <c r="E1430" t="s">
        <v>110</v>
      </c>
      <c r="F1430">
        <v>93524.754418477256</v>
      </c>
      <c r="G1430">
        <v>2032</v>
      </c>
      <c r="H1430">
        <v>4</v>
      </c>
      <c r="I1430">
        <v>1</v>
      </c>
    </row>
    <row r="1431" spans="1:9" x14ac:dyDescent="0.35">
      <c r="A1431" t="str">
        <f t="shared" si="22"/>
        <v>afrractivation_hoursS1203241</v>
      </c>
      <c r="B1431" t="s">
        <v>95</v>
      </c>
      <c r="C1431" t="s">
        <v>103</v>
      </c>
      <c r="D1431" t="s">
        <v>115</v>
      </c>
      <c r="E1431" t="s">
        <v>110</v>
      </c>
      <c r="F1431">
        <v>8625</v>
      </c>
      <c r="G1431">
        <v>2032</v>
      </c>
      <c r="H1431">
        <v>4</v>
      </c>
      <c r="I1431">
        <v>1</v>
      </c>
    </row>
    <row r="1432" spans="1:9" x14ac:dyDescent="0.35">
      <c r="A1432" t="str">
        <f t="shared" si="22"/>
        <v>networkturpe_power_costS1203341</v>
      </c>
      <c r="C1432" t="s">
        <v>96</v>
      </c>
      <c r="D1432" t="s">
        <v>97</v>
      </c>
      <c r="E1432" t="s">
        <v>110</v>
      </c>
      <c r="F1432">
        <v>4377.8800688327747</v>
      </c>
      <c r="G1432">
        <v>2033</v>
      </c>
      <c r="H1432">
        <v>4</v>
      </c>
      <c r="I1432">
        <v>1</v>
      </c>
    </row>
    <row r="1433" spans="1:9" x14ac:dyDescent="0.35">
      <c r="A1433" t="str">
        <f t="shared" si="22"/>
        <v>networkturpe_energy_costS1203341</v>
      </c>
      <c r="C1433" t="s">
        <v>96</v>
      </c>
      <c r="D1433" t="s">
        <v>98</v>
      </c>
      <c r="E1433" t="s">
        <v>110</v>
      </c>
      <c r="F1433">
        <v>862.31210433596846</v>
      </c>
      <c r="G1433">
        <v>2033</v>
      </c>
      <c r="H1433">
        <v>4</v>
      </c>
      <c r="I1433">
        <v>1</v>
      </c>
    </row>
    <row r="1434" spans="1:9" x14ac:dyDescent="0.35">
      <c r="A1434" t="str">
        <f t="shared" si="22"/>
        <v>DAcostS1203341</v>
      </c>
      <c r="C1434" t="s">
        <v>99</v>
      </c>
      <c r="D1434" t="s">
        <v>100</v>
      </c>
      <c r="E1434" t="s">
        <v>110</v>
      </c>
      <c r="F1434">
        <v>2919.5365814436718</v>
      </c>
      <c r="G1434">
        <v>2033</v>
      </c>
      <c r="H1434">
        <v>4</v>
      </c>
      <c r="I1434">
        <v>1</v>
      </c>
    </row>
    <row r="1435" spans="1:9" x14ac:dyDescent="0.35">
      <c r="A1435" t="str">
        <f t="shared" si="22"/>
        <v>DAincomeS1203341</v>
      </c>
      <c r="C1435" t="s">
        <v>99</v>
      </c>
      <c r="D1435" t="s">
        <v>101</v>
      </c>
      <c r="E1435" t="s">
        <v>110</v>
      </c>
      <c r="F1435">
        <v>5288.3966090198583</v>
      </c>
      <c r="G1435">
        <v>2033</v>
      </c>
      <c r="H1435">
        <v>4</v>
      </c>
      <c r="I1435">
        <v>1</v>
      </c>
    </row>
    <row r="1436" spans="1:9" x14ac:dyDescent="0.35">
      <c r="A1436" t="str">
        <f t="shared" si="22"/>
        <v>DAenergy_boughtS1203341</v>
      </c>
      <c r="C1436" t="s">
        <v>99</v>
      </c>
      <c r="D1436" t="s">
        <v>111</v>
      </c>
      <c r="E1436" t="s">
        <v>110</v>
      </c>
      <c r="F1436">
        <v>67.875249229985357</v>
      </c>
      <c r="G1436">
        <v>2033</v>
      </c>
      <c r="H1436">
        <v>4</v>
      </c>
      <c r="I1436">
        <v>1</v>
      </c>
    </row>
    <row r="1437" spans="1:9" x14ac:dyDescent="0.35">
      <c r="A1437" t="str">
        <f t="shared" si="22"/>
        <v>DAenergy_soldS1203341</v>
      </c>
      <c r="C1437" t="s">
        <v>99</v>
      </c>
      <c r="D1437" t="s">
        <v>112</v>
      </c>
      <c r="E1437" t="s">
        <v>110</v>
      </c>
      <c r="F1437">
        <v>48.588042120977683</v>
      </c>
      <c r="G1437">
        <v>2033</v>
      </c>
      <c r="H1437">
        <v>4</v>
      </c>
      <c r="I1437">
        <v>1</v>
      </c>
    </row>
    <row r="1438" spans="1:9" x14ac:dyDescent="0.35">
      <c r="A1438" t="str">
        <f t="shared" si="22"/>
        <v>DAhours_boughtS1203341</v>
      </c>
      <c r="C1438" t="s">
        <v>99</v>
      </c>
      <c r="D1438" t="s">
        <v>113</v>
      </c>
      <c r="E1438" t="s">
        <v>110</v>
      </c>
      <c r="F1438">
        <v>4449</v>
      </c>
      <c r="G1438">
        <v>2033</v>
      </c>
      <c r="H1438">
        <v>4</v>
      </c>
      <c r="I1438">
        <v>1</v>
      </c>
    </row>
    <row r="1439" spans="1:9" x14ac:dyDescent="0.35">
      <c r="A1439" t="str">
        <f t="shared" si="22"/>
        <v>DAhours_soldS1203341</v>
      </c>
      <c r="C1439" t="s">
        <v>99</v>
      </c>
      <c r="D1439" t="s">
        <v>114</v>
      </c>
      <c r="E1439" t="s">
        <v>110</v>
      </c>
      <c r="F1439">
        <v>72</v>
      </c>
      <c r="G1439">
        <v>2033</v>
      </c>
      <c r="H1439">
        <v>4</v>
      </c>
      <c r="I1439">
        <v>1</v>
      </c>
    </row>
    <row r="1440" spans="1:9" x14ac:dyDescent="0.35">
      <c r="A1440" t="str">
        <f t="shared" si="22"/>
        <v>DAco2_emissionS1203341</v>
      </c>
      <c r="C1440" t="s">
        <v>99</v>
      </c>
      <c r="D1440" t="s">
        <v>204</v>
      </c>
      <c r="E1440" t="s">
        <v>110</v>
      </c>
      <c r="F1440">
        <v>4751.2674460989338</v>
      </c>
      <c r="G1440">
        <v>2033</v>
      </c>
      <c r="H1440">
        <v>4</v>
      </c>
      <c r="I1440">
        <v>1</v>
      </c>
    </row>
    <row r="1441" spans="1:9" x14ac:dyDescent="0.35">
      <c r="A1441" t="str">
        <f t="shared" si="22"/>
        <v>fcrincomeS1203341</v>
      </c>
      <c r="C1441" t="s">
        <v>102</v>
      </c>
      <c r="D1441" t="s">
        <v>101</v>
      </c>
      <c r="E1441" t="s">
        <v>110</v>
      </c>
      <c r="F1441">
        <v>3.3456648573597578E-2</v>
      </c>
      <c r="G1441">
        <v>2033</v>
      </c>
      <c r="H1441">
        <v>4</v>
      </c>
      <c r="I1441">
        <v>1</v>
      </c>
    </row>
    <row r="1442" spans="1:9" x14ac:dyDescent="0.35">
      <c r="A1442" t="str">
        <f t="shared" si="22"/>
        <v>fcractivation_hoursS1203341</v>
      </c>
      <c r="B1442" t="s">
        <v>95</v>
      </c>
      <c r="C1442" t="s">
        <v>102</v>
      </c>
      <c r="D1442" t="s">
        <v>115</v>
      </c>
      <c r="E1442" t="s">
        <v>110</v>
      </c>
      <c r="F1442">
        <v>8</v>
      </c>
      <c r="G1442">
        <v>2033</v>
      </c>
      <c r="H1442">
        <v>4</v>
      </c>
      <c r="I1442">
        <v>1</v>
      </c>
    </row>
    <row r="1443" spans="1:9" x14ac:dyDescent="0.35">
      <c r="A1443" t="str">
        <f t="shared" si="22"/>
        <v>afrrincomeS1203341</v>
      </c>
      <c r="B1443" t="s">
        <v>95</v>
      </c>
      <c r="C1443" t="s">
        <v>103</v>
      </c>
      <c r="D1443" t="s">
        <v>101</v>
      </c>
      <c r="E1443" t="s">
        <v>110</v>
      </c>
      <c r="F1443">
        <v>94147.430847966301</v>
      </c>
      <c r="G1443">
        <v>2033</v>
      </c>
      <c r="H1443">
        <v>4</v>
      </c>
      <c r="I1443">
        <v>1</v>
      </c>
    </row>
    <row r="1444" spans="1:9" x14ac:dyDescent="0.35">
      <c r="A1444" t="str">
        <f t="shared" si="22"/>
        <v>afrractivation_hoursS1203341</v>
      </c>
      <c r="C1444" t="s">
        <v>103</v>
      </c>
      <c r="D1444" t="s">
        <v>115</v>
      </c>
      <c r="E1444" t="s">
        <v>110</v>
      </c>
      <c r="F1444">
        <v>8648</v>
      </c>
      <c r="G1444">
        <v>2033</v>
      </c>
      <c r="H1444">
        <v>4</v>
      </c>
      <c r="I1444">
        <v>1</v>
      </c>
    </row>
    <row r="1445" spans="1:9" x14ac:dyDescent="0.35">
      <c r="A1445" t="str">
        <f t="shared" si="22"/>
        <v>networkturpe_power_costS1203441</v>
      </c>
      <c r="C1445" t="s">
        <v>96</v>
      </c>
      <c r="D1445" t="s">
        <v>97</v>
      </c>
      <c r="E1445" t="s">
        <v>110</v>
      </c>
      <c r="F1445">
        <v>4267.9585897016641</v>
      </c>
      <c r="G1445">
        <v>2034</v>
      </c>
      <c r="H1445">
        <v>4</v>
      </c>
      <c r="I1445">
        <v>1</v>
      </c>
    </row>
    <row r="1446" spans="1:9" x14ac:dyDescent="0.35">
      <c r="A1446" t="str">
        <f t="shared" si="22"/>
        <v>networkturpe_energy_costS1203441</v>
      </c>
      <c r="C1446" t="s">
        <v>96</v>
      </c>
      <c r="D1446" t="s">
        <v>98</v>
      </c>
      <c r="E1446" t="s">
        <v>110</v>
      </c>
      <c r="F1446">
        <v>945.02540173675936</v>
      </c>
      <c r="G1446">
        <v>2034</v>
      </c>
      <c r="H1446">
        <v>4</v>
      </c>
      <c r="I1446">
        <v>1</v>
      </c>
    </row>
    <row r="1447" spans="1:9" x14ac:dyDescent="0.35">
      <c r="A1447" t="str">
        <f t="shared" si="22"/>
        <v>DAcostS1203441</v>
      </c>
      <c r="C1447" t="s">
        <v>99</v>
      </c>
      <c r="D1447" t="s">
        <v>100</v>
      </c>
      <c r="E1447" t="s">
        <v>110</v>
      </c>
      <c r="F1447">
        <v>3051.7131081641519</v>
      </c>
      <c r="G1447">
        <v>2034</v>
      </c>
      <c r="H1447">
        <v>4</v>
      </c>
      <c r="I1447">
        <v>1</v>
      </c>
    </row>
    <row r="1448" spans="1:9" x14ac:dyDescent="0.35">
      <c r="A1448" t="str">
        <f t="shared" si="22"/>
        <v>DAincomeS1203441</v>
      </c>
      <c r="C1448" t="s">
        <v>99</v>
      </c>
      <c r="D1448" t="s">
        <v>101</v>
      </c>
      <c r="E1448" t="s">
        <v>110</v>
      </c>
      <c r="F1448">
        <v>5499.6763492774389</v>
      </c>
      <c r="G1448">
        <v>2034</v>
      </c>
      <c r="H1448">
        <v>4</v>
      </c>
      <c r="I1448">
        <v>1</v>
      </c>
    </row>
    <row r="1449" spans="1:9" x14ac:dyDescent="0.35">
      <c r="A1449" t="str">
        <f t="shared" si="22"/>
        <v>DAenergy_boughtS1203441</v>
      </c>
      <c r="C1449" t="s">
        <v>99</v>
      </c>
      <c r="D1449" t="s">
        <v>111</v>
      </c>
      <c r="E1449" t="s">
        <v>110</v>
      </c>
      <c r="F1449">
        <v>68.875525367713237</v>
      </c>
      <c r="G1449">
        <v>2034</v>
      </c>
      <c r="H1449">
        <v>4</v>
      </c>
      <c r="I1449">
        <v>1</v>
      </c>
    </row>
    <row r="1450" spans="1:9" x14ac:dyDescent="0.35">
      <c r="A1450" t="str">
        <f t="shared" si="22"/>
        <v>DAenergy_soldS1203441</v>
      </c>
      <c r="C1450" t="s">
        <v>99</v>
      </c>
      <c r="D1450" t="s">
        <v>112</v>
      </c>
      <c r="E1450" t="s">
        <v>110</v>
      </c>
      <c r="F1450">
        <v>49.545385386633171</v>
      </c>
      <c r="G1450">
        <v>2034</v>
      </c>
      <c r="H1450">
        <v>4</v>
      </c>
      <c r="I1450">
        <v>1</v>
      </c>
    </row>
    <row r="1451" spans="1:9" x14ac:dyDescent="0.35">
      <c r="A1451" t="str">
        <f t="shared" si="22"/>
        <v>DAhours_boughtS1203441</v>
      </c>
      <c r="C1451" t="s">
        <v>99</v>
      </c>
      <c r="D1451" t="s">
        <v>113</v>
      </c>
      <c r="E1451" t="s">
        <v>110</v>
      </c>
      <c r="F1451">
        <v>4541</v>
      </c>
      <c r="G1451">
        <v>2034</v>
      </c>
      <c r="H1451">
        <v>4</v>
      </c>
      <c r="I1451">
        <v>1</v>
      </c>
    </row>
    <row r="1452" spans="1:9" x14ac:dyDescent="0.35">
      <c r="A1452" t="str">
        <f t="shared" si="22"/>
        <v>DAhours_soldS1203441</v>
      </c>
      <c r="C1452" t="s">
        <v>99</v>
      </c>
      <c r="D1452" t="s">
        <v>114</v>
      </c>
      <c r="E1452" t="s">
        <v>110</v>
      </c>
      <c r="F1452">
        <v>76</v>
      </c>
      <c r="G1452">
        <v>2034</v>
      </c>
      <c r="H1452">
        <v>4</v>
      </c>
      <c r="I1452">
        <v>1</v>
      </c>
    </row>
    <row r="1453" spans="1:9" x14ac:dyDescent="0.35">
      <c r="A1453" t="str">
        <f t="shared" si="22"/>
        <v>DAco2_emissionS1203441</v>
      </c>
      <c r="C1453" t="s">
        <v>99</v>
      </c>
      <c r="D1453" t="s">
        <v>204</v>
      </c>
      <c r="E1453" t="s">
        <v>110</v>
      </c>
      <c r="F1453">
        <v>4821.2867757398226</v>
      </c>
      <c r="G1453">
        <v>2034</v>
      </c>
      <c r="H1453">
        <v>4</v>
      </c>
      <c r="I1453">
        <v>1</v>
      </c>
    </row>
    <row r="1454" spans="1:9" x14ac:dyDescent="0.35">
      <c r="A1454" t="str">
        <f t="shared" si="22"/>
        <v>fcrincomeS1203441</v>
      </c>
      <c r="B1454" t="s">
        <v>95</v>
      </c>
      <c r="C1454" t="s">
        <v>102</v>
      </c>
      <c r="D1454" t="s">
        <v>101</v>
      </c>
      <c r="E1454" t="s">
        <v>110</v>
      </c>
      <c r="F1454">
        <v>2.8099611173967889E-2</v>
      </c>
      <c r="G1454">
        <v>2034</v>
      </c>
      <c r="H1454">
        <v>4</v>
      </c>
      <c r="I1454">
        <v>1</v>
      </c>
    </row>
    <row r="1455" spans="1:9" x14ac:dyDescent="0.35">
      <c r="A1455" t="str">
        <f t="shared" si="22"/>
        <v>fcractivation_hoursS1203441</v>
      </c>
      <c r="B1455" t="s">
        <v>95</v>
      </c>
      <c r="C1455" t="s">
        <v>102</v>
      </c>
      <c r="D1455" t="s">
        <v>115</v>
      </c>
      <c r="E1455" t="s">
        <v>110</v>
      </c>
      <c r="F1455">
        <v>4</v>
      </c>
      <c r="G1455">
        <v>2034</v>
      </c>
      <c r="H1455">
        <v>4</v>
      </c>
      <c r="I1455">
        <v>1</v>
      </c>
    </row>
    <row r="1456" spans="1:9" x14ac:dyDescent="0.35">
      <c r="A1456" t="str">
        <f t="shared" si="22"/>
        <v>afrrincomeS1203441</v>
      </c>
      <c r="C1456" t="s">
        <v>103</v>
      </c>
      <c r="D1456" t="s">
        <v>101</v>
      </c>
      <c r="E1456" t="s">
        <v>110</v>
      </c>
      <c r="F1456">
        <v>96525.240668701983</v>
      </c>
      <c r="G1456">
        <v>2034</v>
      </c>
      <c r="H1456">
        <v>4</v>
      </c>
      <c r="I1456">
        <v>1</v>
      </c>
    </row>
    <row r="1457" spans="1:9" x14ac:dyDescent="0.35">
      <c r="A1457" t="str">
        <f t="shared" si="22"/>
        <v>afrractivation_hoursS1203441</v>
      </c>
      <c r="C1457" t="s">
        <v>103</v>
      </c>
      <c r="D1457" t="s">
        <v>115</v>
      </c>
      <c r="E1457" t="s">
        <v>110</v>
      </c>
      <c r="F1457">
        <v>8659</v>
      </c>
      <c r="G1457">
        <v>2034</v>
      </c>
      <c r="H1457">
        <v>4</v>
      </c>
      <c r="I1457">
        <v>1</v>
      </c>
    </row>
    <row r="1458" spans="1:9" x14ac:dyDescent="0.35">
      <c r="A1458" t="str">
        <f t="shared" si="22"/>
        <v>networkturpe_power_costS1203541</v>
      </c>
      <c r="C1458" t="s">
        <v>96</v>
      </c>
      <c r="D1458" t="s">
        <v>97</v>
      </c>
      <c r="E1458" t="s">
        <v>110</v>
      </c>
      <c r="F1458">
        <v>4161.1590881448001</v>
      </c>
      <c r="G1458">
        <v>2035</v>
      </c>
      <c r="H1458">
        <v>4</v>
      </c>
      <c r="I1458">
        <v>1</v>
      </c>
    </row>
    <row r="1459" spans="1:9" x14ac:dyDescent="0.35">
      <c r="A1459" t="str">
        <f t="shared" si="22"/>
        <v>networkturpe_energy_costS1203541</v>
      </c>
      <c r="C1459" t="s">
        <v>96</v>
      </c>
      <c r="D1459" t="s">
        <v>98</v>
      </c>
      <c r="E1459" t="s">
        <v>110</v>
      </c>
      <c r="F1459">
        <v>821.46957632782335</v>
      </c>
      <c r="G1459">
        <v>2035</v>
      </c>
      <c r="H1459">
        <v>4</v>
      </c>
      <c r="I1459">
        <v>1</v>
      </c>
    </row>
    <row r="1460" spans="1:9" x14ac:dyDescent="0.35">
      <c r="A1460" t="str">
        <f t="shared" si="22"/>
        <v>DAcostS1203541</v>
      </c>
      <c r="C1460" t="s">
        <v>99</v>
      </c>
      <c r="D1460" t="s">
        <v>100</v>
      </c>
      <c r="E1460" t="s">
        <v>110</v>
      </c>
      <c r="F1460">
        <v>2471.9504154549181</v>
      </c>
      <c r="G1460">
        <v>2035</v>
      </c>
      <c r="H1460">
        <v>4</v>
      </c>
      <c r="I1460">
        <v>1</v>
      </c>
    </row>
    <row r="1461" spans="1:9" x14ac:dyDescent="0.35">
      <c r="A1461" t="str">
        <f t="shared" si="22"/>
        <v>DAincomeS1203541</v>
      </c>
      <c r="C1461" t="s">
        <v>99</v>
      </c>
      <c r="D1461" t="s">
        <v>101</v>
      </c>
      <c r="E1461" t="s">
        <v>110</v>
      </c>
      <c r="F1461">
        <v>4671.5165954951353</v>
      </c>
      <c r="G1461">
        <v>2035</v>
      </c>
      <c r="H1461">
        <v>4</v>
      </c>
      <c r="I1461">
        <v>1</v>
      </c>
    </row>
    <row r="1462" spans="1:9" x14ac:dyDescent="0.35">
      <c r="A1462" t="str">
        <f t="shared" si="22"/>
        <v>DAenergy_boughtS1203541</v>
      </c>
      <c r="C1462" t="s">
        <v>99</v>
      </c>
      <c r="D1462" t="s">
        <v>111</v>
      </c>
      <c r="E1462" t="s">
        <v>110</v>
      </c>
      <c r="F1462">
        <v>58.930584675196663</v>
      </c>
      <c r="G1462">
        <v>2035</v>
      </c>
      <c r="H1462">
        <v>4</v>
      </c>
      <c r="I1462">
        <v>1</v>
      </c>
    </row>
    <row r="1463" spans="1:9" x14ac:dyDescent="0.35">
      <c r="A1463" t="str">
        <f t="shared" si="22"/>
        <v>DAenergy_soldS1203541</v>
      </c>
      <c r="C1463" t="s">
        <v>99</v>
      </c>
      <c r="D1463" t="s">
        <v>112</v>
      </c>
      <c r="E1463" t="s">
        <v>110</v>
      </c>
      <c r="F1463">
        <v>41.632662455826861</v>
      </c>
      <c r="G1463">
        <v>2035</v>
      </c>
      <c r="H1463">
        <v>4</v>
      </c>
      <c r="I1463">
        <v>1</v>
      </c>
    </row>
    <row r="1464" spans="1:9" x14ac:dyDescent="0.35">
      <c r="A1464" t="str">
        <f t="shared" si="22"/>
        <v>DAhours_boughtS1203541</v>
      </c>
      <c r="C1464" t="s">
        <v>99</v>
      </c>
      <c r="D1464" t="s">
        <v>113</v>
      </c>
      <c r="E1464" t="s">
        <v>110</v>
      </c>
      <c r="F1464">
        <v>4604</v>
      </c>
      <c r="G1464">
        <v>2035</v>
      </c>
      <c r="H1464">
        <v>4</v>
      </c>
      <c r="I1464">
        <v>1</v>
      </c>
    </row>
    <row r="1465" spans="1:9" x14ac:dyDescent="0.35">
      <c r="A1465" t="str">
        <f t="shared" si="22"/>
        <v>DAhours_soldS1203541</v>
      </c>
      <c r="C1465" t="s">
        <v>99</v>
      </c>
      <c r="D1465" t="s">
        <v>114</v>
      </c>
      <c r="E1465" t="s">
        <v>110</v>
      </c>
      <c r="F1465">
        <v>73</v>
      </c>
      <c r="G1465">
        <v>2035</v>
      </c>
      <c r="H1465">
        <v>4</v>
      </c>
      <c r="I1465">
        <v>1</v>
      </c>
    </row>
    <row r="1466" spans="1:9" x14ac:dyDescent="0.35">
      <c r="A1466" t="str">
        <f t="shared" si="22"/>
        <v>DAco2_emissionS1203541</v>
      </c>
      <c r="B1466" t="s">
        <v>95</v>
      </c>
      <c r="C1466" t="s">
        <v>99</v>
      </c>
      <c r="D1466" t="s">
        <v>204</v>
      </c>
      <c r="E1466" t="s">
        <v>110</v>
      </c>
      <c r="F1466">
        <v>4125.1409272635619</v>
      </c>
      <c r="G1466">
        <v>2035</v>
      </c>
      <c r="H1466">
        <v>4</v>
      </c>
      <c r="I1466">
        <v>1</v>
      </c>
    </row>
    <row r="1467" spans="1:9" x14ac:dyDescent="0.35">
      <c r="A1467" t="str">
        <f t="shared" si="22"/>
        <v>fcrincomeS1203541</v>
      </c>
      <c r="B1467" t="s">
        <v>95</v>
      </c>
      <c r="C1467" t="s">
        <v>102</v>
      </c>
      <c r="D1467" t="s">
        <v>101</v>
      </c>
      <c r="E1467" t="s">
        <v>110</v>
      </c>
      <c r="F1467">
        <v>0</v>
      </c>
      <c r="G1467">
        <v>2035</v>
      </c>
      <c r="H1467">
        <v>4</v>
      </c>
      <c r="I1467">
        <v>1</v>
      </c>
    </row>
    <row r="1468" spans="1:9" x14ac:dyDescent="0.35">
      <c r="A1468" t="str">
        <f t="shared" si="22"/>
        <v>fcractivation_hoursS1203541</v>
      </c>
      <c r="C1468" t="s">
        <v>102</v>
      </c>
      <c r="D1468" t="s">
        <v>115</v>
      </c>
      <c r="E1468" t="s">
        <v>110</v>
      </c>
      <c r="F1468">
        <v>0</v>
      </c>
      <c r="G1468">
        <v>2035</v>
      </c>
      <c r="H1468">
        <v>4</v>
      </c>
      <c r="I1468">
        <v>1</v>
      </c>
    </row>
    <row r="1469" spans="1:9" x14ac:dyDescent="0.35">
      <c r="A1469" t="str">
        <f t="shared" si="22"/>
        <v>afrrincomeS1203541</v>
      </c>
      <c r="C1469" t="s">
        <v>103</v>
      </c>
      <c r="D1469" t="s">
        <v>101</v>
      </c>
      <c r="E1469" t="s">
        <v>110</v>
      </c>
      <c r="F1469">
        <v>93488.661295008947</v>
      </c>
      <c r="G1469">
        <v>2035</v>
      </c>
      <c r="H1469">
        <v>4</v>
      </c>
      <c r="I1469">
        <v>1</v>
      </c>
    </row>
    <row r="1470" spans="1:9" x14ac:dyDescent="0.35">
      <c r="A1470" t="str">
        <f t="shared" si="22"/>
        <v>afrractivation_hoursS1203541</v>
      </c>
      <c r="C1470" t="s">
        <v>103</v>
      </c>
      <c r="D1470" t="s">
        <v>115</v>
      </c>
      <c r="E1470" t="s">
        <v>110</v>
      </c>
      <c r="F1470">
        <v>8669</v>
      </c>
      <c r="G1470">
        <v>2035</v>
      </c>
      <c r="H1470">
        <v>4</v>
      </c>
      <c r="I1470">
        <v>1</v>
      </c>
    </row>
    <row r="1471" spans="1:9" x14ac:dyDescent="0.35">
      <c r="A1471" t="str">
        <f t="shared" si="22"/>
        <v>networkturpe_power_costS1203641</v>
      </c>
      <c r="C1471" t="s">
        <v>96</v>
      </c>
      <c r="D1471" t="s">
        <v>97</v>
      </c>
      <c r="E1471" t="s">
        <v>110</v>
      </c>
      <c r="F1471">
        <v>4063.694188590825</v>
      </c>
      <c r="G1471">
        <v>2036</v>
      </c>
      <c r="H1471">
        <v>4</v>
      </c>
      <c r="I1471">
        <v>1</v>
      </c>
    </row>
    <row r="1472" spans="1:9" x14ac:dyDescent="0.35">
      <c r="A1472" t="str">
        <f t="shared" si="22"/>
        <v>networkturpe_energy_costS1203641</v>
      </c>
      <c r="C1472" t="s">
        <v>96</v>
      </c>
      <c r="D1472" t="s">
        <v>98</v>
      </c>
      <c r="E1472" t="s">
        <v>110</v>
      </c>
      <c r="F1472">
        <v>1156.679532945124</v>
      </c>
      <c r="G1472">
        <v>2036</v>
      </c>
      <c r="H1472">
        <v>4</v>
      </c>
      <c r="I1472">
        <v>1</v>
      </c>
    </row>
    <row r="1473" spans="1:9" x14ac:dyDescent="0.35">
      <c r="A1473" t="str">
        <f t="shared" si="22"/>
        <v>DAcostS1203641</v>
      </c>
      <c r="C1473" t="s">
        <v>99</v>
      </c>
      <c r="D1473" t="s">
        <v>100</v>
      </c>
      <c r="E1473" t="s">
        <v>110</v>
      </c>
      <c r="F1473">
        <v>3321.87003802451</v>
      </c>
      <c r="G1473">
        <v>2036</v>
      </c>
      <c r="H1473">
        <v>4</v>
      </c>
      <c r="I1473">
        <v>1</v>
      </c>
    </row>
    <row r="1474" spans="1:9" x14ac:dyDescent="0.35">
      <c r="A1474" t="str">
        <f t="shared" si="22"/>
        <v>DAincomeS1203641</v>
      </c>
      <c r="C1474" t="s">
        <v>99</v>
      </c>
      <c r="D1474" t="s">
        <v>101</v>
      </c>
      <c r="E1474" t="s">
        <v>110</v>
      </c>
      <c r="F1474">
        <v>6363.5075023866766</v>
      </c>
      <c r="G1474">
        <v>2036</v>
      </c>
      <c r="H1474">
        <v>4</v>
      </c>
      <c r="I1474">
        <v>1</v>
      </c>
    </row>
    <row r="1475" spans="1:9" x14ac:dyDescent="0.35">
      <c r="A1475" t="str">
        <f t="shared" ref="A1475:A1538" si="23">C1475&amp;D1475&amp;E1475&amp;G1475&amp;H1475&amp;I1475</f>
        <v>DAenergy_boughtS1203641</v>
      </c>
      <c r="C1475" t="s">
        <v>99</v>
      </c>
      <c r="D1475" t="s">
        <v>111</v>
      </c>
      <c r="E1475" t="s">
        <v>110</v>
      </c>
      <c r="F1475">
        <v>77.773442131324956</v>
      </c>
      <c r="G1475">
        <v>2036</v>
      </c>
      <c r="H1475">
        <v>4</v>
      </c>
      <c r="I1475">
        <v>1</v>
      </c>
    </row>
    <row r="1476" spans="1:9" x14ac:dyDescent="0.35">
      <c r="A1476" t="str">
        <f t="shared" si="23"/>
        <v>DAenergy_soldS1203641</v>
      </c>
      <c r="C1476" t="s">
        <v>99</v>
      </c>
      <c r="D1476" t="s">
        <v>112</v>
      </c>
      <c r="E1476" t="s">
        <v>110</v>
      </c>
      <c r="F1476">
        <v>57.027554164931139</v>
      </c>
      <c r="G1476">
        <v>2036</v>
      </c>
      <c r="H1476">
        <v>4</v>
      </c>
      <c r="I1476">
        <v>1</v>
      </c>
    </row>
    <row r="1477" spans="1:9" x14ac:dyDescent="0.35">
      <c r="A1477" t="str">
        <f t="shared" si="23"/>
        <v>DAhours_boughtS1203641</v>
      </c>
      <c r="C1477" t="s">
        <v>99</v>
      </c>
      <c r="D1477" t="s">
        <v>113</v>
      </c>
      <c r="E1477" t="s">
        <v>110</v>
      </c>
      <c r="F1477">
        <v>4205</v>
      </c>
      <c r="G1477">
        <v>2036</v>
      </c>
      <c r="H1477">
        <v>4</v>
      </c>
      <c r="I1477">
        <v>1</v>
      </c>
    </row>
    <row r="1478" spans="1:9" x14ac:dyDescent="0.35">
      <c r="A1478" t="str">
        <f t="shared" si="23"/>
        <v>DAhours_soldS1203641</v>
      </c>
      <c r="B1478" t="s">
        <v>95</v>
      </c>
      <c r="C1478" t="s">
        <v>99</v>
      </c>
      <c r="D1478" t="s">
        <v>114</v>
      </c>
      <c r="E1478" t="s">
        <v>110</v>
      </c>
      <c r="F1478">
        <v>111</v>
      </c>
      <c r="G1478">
        <v>2036</v>
      </c>
      <c r="H1478">
        <v>4</v>
      </c>
      <c r="I1478">
        <v>1</v>
      </c>
    </row>
    <row r="1479" spans="1:9" x14ac:dyDescent="0.35">
      <c r="A1479" t="str">
        <f t="shared" si="23"/>
        <v>DAco2_emissionS1203641</v>
      </c>
      <c r="B1479" t="s">
        <v>95</v>
      </c>
      <c r="C1479" t="s">
        <v>99</v>
      </c>
      <c r="D1479" t="s">
        <v>204</v>
      </c>
      <c r="E1479" t="s">
        <v>110</v>
      </c>
      <c r="F1479">
        <v>5444.1409491928389</v>
      </c>
      <c r="G1479">
        <v>2036</v>
      </c>
      <c r="H1479">
        <v>4</v>
      </c>
      <c r="I1479">
        <v>1</v>
      </c>
    </row>
    <row r="1480" spans="1:9" x14ac:dyDescent="0.35">
      <c r="A1480" t="str">
        <f t="shared" si="23"/>
        <v>fcrincomeS1203641</v>
      </c>
      <c r="C1480" t="s">
        <v>102</v>
      </c>
      <c r="D1480" t="s">
        <v>101</v>
      </c>
      <c r="E1480" t="s">
        <v>110</v>
      </c>
      <c r="F1480">
        <v>0</v>
      </c>
      <c r="G1480">
        <v>2036</v>
      </c>
      <c r="H1480">
        <v>4</v>
      </c>
      <c r="I1480">
        <v>1</v>
      </c>
    </row>
    <row r="1481" spans="1:9" x14ac:dyDescent="0.35">
      <c r="A1481" t="str">
        <f t="shared" si="23"/>
        <v>fcractivation_hoursS1203641</v>
      </c>
      <c r="C1481" t="s">
        <v>102</v>
      </c>
      <c r="D1481" t="s">
        <v>115</v>
      </c>
      <c r="E1481" t="s">
        <v>110</v>
      </c>
      <c r="F1481">
        <v>0</v>
      </c>
      <c r="G1481">
        <v>2036</v>
      </c>
      <c r="H1481">
        <v>4</v>
      </c>
      <c r="I1481">
        <v>1</v>
      </c>
    </row>
    <row r="1482" spans="1:9" x14ac:dyDescent="0.35">
      <c r="A1482" t="str">
        <f t="shared" si="23"/>
        <v>afrrincomeS1203641</v>
      </c>
      <c r="C1482" t="s">
        <v>103</v>
      </c>
      <c r="D1482" t="s">
        <v>101</v>
      </c>
      <c r="E1482" t="s">
        <v>110</v>
      </c>
      <c r="F1482">
        <v>86643.524478365391</v>
      </c>
      <c r="G1482">
        <v>2036</v>
      </c>
      <c r="H1482">
        <v>4</v>
      </c>
      <c r="I1482">
        <v>1</v>
      </c>
    </row>
    <row r="1483" spans="1:9" x14ac:dyDescent="0.35">
      <c r="A1483" t="str">
        <f t="shared" si="23"/>
        <v>afrractivation_hoursS1203641</v>
      </c>
      <c r="C1483" t="s">
        <v>103</v>
      </c>
      <c r="D1483" t="s">
        <v>115</v>
      </c>
      <c r="E1483" t="s">
        <v>110</v>
      </c>
      <c r="F1483">
        <v>8638</v>
      </c>
      <c r="G1483">
        <v>2036</v>
      </c>
      <c r="H1483">
        <v>4</v>
      </c>
      <c r="I1483">
        <v>1</v>
      </c>
    </row>
    <row r="1484" spans="1:9" x14ac:dyDescent="0.35">
      <c r="A1484" t="str">
        <f t="shared" si="23"/>
        <v>networkturpe_power_costS1203741</v>
      </c>
      <c r="C1484" t="s">
        <v>96</v>
      </c>
      <c r="D1484" t="s">
        <v>97</v>
      </c>
      <c r="E1484" t="s">
        <v>110</v>
      </c>
      <c r="F1484">
        <v>3955.5036072222938</v>
      </c>
      <c r="G1484">
        <v>2037</v>
      </c>
      <c r="H1484">
        <v>4</v>
      </c>
      <c r="I1484">
        <v>1</v>
      </c>
    </row>
    <row r="1485" spans="1:9" x14ac:dyDescent="0.35">
      <c r="A1485" t="str">
        <f t="shared" si="23"/>
        <v>networkturpe_energy_costS1203741</v>
      </c>
      <c r="C1485" t="s">
        <v>96</v>
      </c>
      <c r="D1485" t="s">
        <v>98</v>
      </c>
      <c r="E1485" t="s">
        <v>110</v>
      </c>
      <c r="F1485">
        <v>847.27539992103414</v>
      </c>
      <c r="G1485">
        <v>2037</v>
      </c>
      <c r="H1485">
        <v>4</v>
      </c>
      <c r="I1485">
        <v>1</v>
      </c>
    </row>
    <row r="1486" spans="1:9" x14ac:dyDescent="0.35">
      <c r="A1486" t="str">
        <f t="shared" si="23"/>
        <v>DAcostS1203741</v>
      </c>
      <c r="C1486" t="s">
        <v>99</v>
      </c>
      <c r="D1486" t="s">
        <v>100</v>
      </c>
      <c r="E1486" t="s">
        <v>110</v>
      </c>
      <c r="F1486">
        <v>2601.933829752264</v>
      </c>
      <c r="G1486">
        <v>2037</v>
      </c>
      <c r="H1486">
        <v>4</v>
      </c>
      <c r="I1486">
        <v>1</v>
      </c>
    </row>
    <row r="1487" spans="1:9" x14ac:dyDescent="0.35">
      <c r="A1487" t="str">
        <f t="shared" si="23"/>
        <v>DAincomeS1203741</v>
      </c>
      <c r="C1487" t="s">
        <v>99</v>
      </c>
      <c r="D1487" t="s">
        <v>101</v>
      </c>
      <c r="E1487" t="s">
        <v>110</v>
      </c>
      <c r="F1487">
        <v>4734.321737666447</v>
      </c>
      <c r="G1487">
        <v>2037</v>
      </c>
      <c r="H1487">
        <v>4</v>
      </c>
      <c r="I1487">
        <v>1</v>
      </c>
    </row>
    <row r="1488" spans="1:9" x14ac:dyDescent="0.35">
      <c r="A1488" t="str">
        <f t="shared" si="23"/>
        <v>DAenergy_boughtS1203741</v>
      </c>
      <c r="C1488" t="s">
        <v>99</v>
      </c>
      <c r="D1488" t="s">
        <v>111</v>
      </c>
      <c r="E1488" t="s">
        <v>110</v>
      </c>
      <c r="F1488">
        <v>60.34119927566293</v>
      </c>
      <c r="G1488">
        <v>2037</v>
      </c>
      <c r="H1488">
        <v>4</v>
      </c>
      <c r="I1488">
        <v>1</v>
      </c>
    </row>
    <row r="1489" spans="1:9" x14ac:dyDescent="0.35">
      <c r="A1489" t="str">
        <f t="shared" si="23"/>
        <v>DAenergy_soldS1203741</v>
      </c>
      <c r="C1489" t="s">
        <v>99</v>
      </c>
      <c r="D1489" t="s">
        <v>112</v>
      </c>
      <c r="E1489" t="s">
        <v>110</v>
      </c>
      <c r="F1489">
        <v>43.059095651945299</v>
      </c>
      <c r="G1489">
        <v>2037</v>
      </c>
      <c r="H1489">
        <v>4</v>
      </c>
      <c r="I1489">
        <v>1</v>
      </c>
    </row>
    <row r="1490" spans="1:9" x14ac:dyDescent="0.35">
      <c r="A1490" t="str">
        <f t="shared" si="23"/>
        <v>DAhours_boughtS1203741</v>
      </c>
      <c r="B1490" t="s">
        <v>95</v>
      </c>
      <c r="C1490" t="s">
        <v>99</v>
      </c>
      <c r="D1490" t="s">
        <v>113</v>
      </c>
      <c r="E1490" t="s">
        <v>110</v>
      </c>
      <c r="F1490">
        <v>4711</v>
      </c>
      <c r="G1490">
        <v>2037</v>
      </c>
      <c r="H1490">
        <v>4</v>
      </c>
      <c r="I1490">
        <v>1</v>
      </c>
    </row>
    <row r="1491" spans="1:9" x14ac:dyDescent="0.35">
      <c r="A1491" t="str">
        <f t="shared" si="23"/>
        <v>DAhours_soldS1203741</v>
      </c>
      <c r="B1491" t="s">
        <v>95</v>
      </c>
      <c r="C1491" t="s">
        <v>99</v>
      </c>
      <c r="D1491" t="s">
        <v>114</v>
      </c>
      <c r="E1491" t="s">
        <v>110</v>
      </c>
      <c r="F1491">
        <v>89</v>
      </c>
      <c r="G1491">
        <v>2037</v>
      </c>
      <c r="H1491">
        <v>4</v>
      </c>
      <c r="I1491">
        <v>1</v>
      </c>
    </row>
    <row r="1492" spans="1:9" x14ac:dyDescent="0.35">
      <c r="A1492" t="str">
        <f t="shared" si="23"/>
        <v>DAco2_emissionS1203741</v>
      </c>
      <c r="C1492" t="s">
        <v>99</v>
      </c>
      <c r="D1492" t="s">
        <v>204</v>
      </c>
      <c r="E1492" t="s">
        <v>110</v>
      </c>
      <c r="F1492">
        <v>4223.8839492964462</v>
      </c>
      <c r="G1492">
        <v>2037</v>
      </c>
      <c r="H1492">
        <v>4</v>
      </c>
      <c r="I1492">
        <v>1</v>
      </c>
    </row>
    <row r="1493" spans="1:9" x14ac:dyDescent="0.35">
      <c r="A1493" t="str">
        <f t="shared" si="23"/>
        <v>fcrincomeS1203741</v>
      </c>
      <c r="C1493" t="s">
        <v>102</v>
      </c>
      <c r="D1493" t="s">
        <v>101</v>
      </c>
      <c r="E1493" t="s">
        <v>110</v>
      </c>
      <c r="F1493">
        <v>3.2785115434895033E-2</v>
      </c>
      <c r="G1493">
        <v>2037</v>
      </c>
      <c r="H1493">
        <v>4</v>
      </c>
      <c r="I1493">
        <v>1</v>
      </c>
    </row>
    <row r="1494" spans="1:9" x14ac:dyDescent="0.35">
      <c r="A1494" t="str">
        <f t="shared" si="23"/>
        <v>fcractivation_hoursS1203741</v>
      </c>
      <c r="C1494" t="s">
        <v>102</v>
      </c>
      <c r="D1494" t="s">
        <v>115</v>
      </c>
      <c r="E1494" t="s">
        <v>110</v>
      </c>
      <c r="F1494">
        <v>4</v>
      </c>
      <c r="G1494">
        <v>2037</v>
      </c>
      <c r="H1494">
        <v>4</v>
      </c>
      <c r="I1494">
        <v>1</v>
      </c>
    </row>
    <row r="1495" spans="1:9" x14ac:dyDescent="0.35">
      <c r="A1495" t="str">
        <f t="shared" si="23"/>
        <v>afrrincomeS1203741</v>
      </c>
      <c r="C1495" t="s">
        <v>103</v>
      </c>
      <c r="D1495" t="s">
        <v>101</v>
      </c>
      <c r="E1495" t="s">
        <v>110</v>
      </c>
      <c r="F1495">
        <v>87227.183130356847</v>
      </c>
      <c r="G1495">
        <v>2037</v>
      </c>
      <c r="H1495">
        <v>4</v>
      </c>
      <c r="I1495">
        <v>1</v>
      </c>
    </row>
    <row r="1496" spans="1:9" x14ac:dyDescent="0.35">
      <c r="A1496" t="str">
        <f t="shared" si="23"/>
        <v>afrractivation_hoursS1203741</v>
      </c>
      <c r="C1496" t="s">
        <v>103</v>
      </c>
      <c r="D1496" t="s">
        <v>115</v>
      </c>
      <c r="E1496" t="s">
        <v>110</v>
      </c>
      <c r="F1496">
        <v>8668</v>
      </c>
      <c r="G1496">
        <v>2037</v>
      </c>
      <c r="H1496">
        <v>4</v>
      </c>
      <c r="I1496">
        <v>1</v>
      </c>
    </row>
    <row r="1497" spans="1:9" x14ac:dyDescent="0.35">
      <c r="A1497" t="str">
        <f t="shared" si="23"/>
        <v>networkturpe_power_costS1203841</v>
      </c>
      <c r="C1497" t="s">
        <v>96</v>
      </c>
      <c r="D1497" t="s">
        <v>97</v>
      </c>
      <c r="E1497" t="s">
        <v>110</v>
      </c>
      <c r="F1497">
        <v>3865.908251429556</v>
      </c>
      <c r="G1497">
        <v>2038</v>
      </c>
      <c r="H1497">
        <v>4</v>
      </c>
      <c r="I1497">
        <v>1</v>
      </c>
    </row>
    <row r="1498" spans="1:9" x14ac:dyDescent="0.35">
      <c r="A1498" t="str">
        <f t="shared" si="23"/>
        <v>networkturpe_energy_costS1203841</v>
      </c>
      <c r="C1498" t="s">
        <v>96</v>
      </c>
      <c r="D1498" t="s">
        <v>98</v>
      </c>
      <c r="E1498" t="s">
        <v>110</v>
      </c>
      <c r="F1498">
        <v>1459.6058059186601</v>
      </c>
      <c r="G1498">
        <v>2038</v>
      </c>
      <c r="H1498">
        <v>4</v>
      </c>
      <c r="I1498">
        <v>1</v>
      </c>
    </row>
    <row r="1499" spans="1:9" x14ac:dyDescent="0.35">
      <c r="A1499" t="str">
        <f t="shared" si="23"/>
        <v>DAcostS1203841</v>
      </c>
      <c r="C1499" t="s">
        <v>99</v>
      </c>
      <c r="D1499" t="s">
        <v>100</v>
      </c>
      <c r="E1499" t="s">
        <v>110</v>
      </c>
      <c r="F1499">
        <v>3772.8164066819968</v>
      </c>
      <c r="G1499">
        <v>2038</v>
      </c>
      <c r="H1499">
        <v>4</v>
      </c>
      <c r="I1499">
        <v>1</v>
      </c>
    </row>
    <row r="1500" spans="1:9" x14ac:dyDescent="0.35">
      <c r="A1500" t="str">
        <f t="shared" si="23"/>
        <v>DAincomeS1203841</v>
      </c>
      <c r="C1500" t="s">
        <v>99</v>
      </c>
      <c r="D1500" t="s">
        <v>101</v>
      </c>
      <c r="E1500" t="s">
        <v>110</v>
      </c>
      <c r="F1500">
        <v>7883.1977584163133</v>
      </c>
      <c r="G1500">
        <v>2038</v>
      </c>
      <c r="H1500">
        <v>4</v>
      </c>
      <c r="I1500">
        <v>1</v>
      </c>
    </row>
    <row r="1501" spans="1:9" x14ac:dyDescent="0.35">
      <c r="A1501" t="str">
        <f t="shared" si="23"/>
        <v>DAenergy_boughtS1203841</v>
      </c>
      <c r="C1501" t="s">
        <v>99</v>
      </c>
      <c r="D1501" t="s">
        <v>111</v>
      </c>
      <c r="E1501" t="s">
        <v>110</v>
      </c>
      <c r="F1501">
        <v>94.915200660425896</v>
      </c>
      <c r="G1501">
        <v>2038</v>
      </c>
      <c r="H1501">
        <v>4</v>
      </c>
      <c r="I1501">
        <v>1</v>
      </c>
    </row>
    <row r="1502" spans="1:9" x14ac:dyDescent="0.35">
      <c r="A1502" t="str">
        <f t="shared" si="23"/>
        <v>DAenergy_soldS1203841</v>
      </c>
      <c r="B1502" t="s">
        <v>95</v>
      </c>
      <c r="C1502" t="s">
        <v>99</v>
      </c>
      <c r="D1502" t="s">
        <v>112</v>
      </c>
      <c r="E1502" t="s">
        <v>110</v>
      </c>
      <c r="F1502">
        <v>71.188392091219242</v>
      </c>
      <c r="G1502">
        <v>2038</v>
      </c>
      <c r="H1502">
        <v>4</v>
      </c>
      <c r="I1502">
        <v>1</v>
      </c>
    </row>
    <row r="1503" spans="1:9" x14ac:dyDescent="0.35">
      <c r="A1503" t="str">
        <f t="shared" si="23"/>
        <v>DAhours_boughtS1203841</v>
      </c>
      <c r="B1503" t="s">
        <v>95</v>
      </c>
      <c r="C1503" t="s">
        <v>99</v>
      </c>
      <c r="D1503" t="s">
        <v>113</v>
      </c>
      <c r="E1503" t="s">
        <v>110</v>
      </c>
      <c r="F1503">
        <v>4496</v>
      </c>
      <c r="G1503">
        <v>2038</v>
      </c>
      <c r="H1503">
        <v>4</v>
      </c>
      <c r="I1503">
        <v>1</v>
      </c>
    </row>
    <row r="1504" spans="1:9" x14ac:dyDescent="0.35">
      <c r="A1504" t="str">
        <f t="shared" si="23"/>
        <v>DAhours_soldS1203841</v>
      </c>
      <c r="C1504" t="s">
        <v>99</v>
      </c>
      <c r="D1504" t="s">
        <v>114</v>
      </c>
      <c r="E1504" t="s">
        <v>110</v>
      </c>
      <c r="F1504">
        <v>126</v>
      </c>
      <c r="G1504">
        <v>2038</v>
      </c>
      <c r="H1504">
        <v>4</v>
      </c>
      <c r="I1504">
        <v>1</v>
      </c>
    </row>
    <row r="1505" spans="1:9" x14ac:dyDescent="0.35">
      <c r="A1505" t="str">
        <f t="shared" si="23"/>
        <v>DAco2_emissionS1203841</v>
      </c>
      <c r="C1505" t="s">
        <v>99</v>
      </c>
      <c r="D1505" t="s">
        <v>204</v>
      </c>
      <c r="E1505" t="s">
        <v>110</v>
      </c>
      <c r="F1505">
        <v>6644.0640462294032</v>
      </c>
      <c r="G1505">
        <v>2038</v>
      </c>
      <c r="H1505">
        <v>4</v>
      </c>
      <c r="I1505">
        <v>1</v>
      </c>
    </row>
    <row r="1506" spans="1:9" x14ac:dyDescent="0.35">
      <c r="A1506" t="str">
        <f t="shared" si="23"/>
        <v>fcrincomeS1203841</v>
      </c>
      <c r="C1506" t="s">
        <v>102</v>
      </c>
      <c r="D1506" t="s">
        <v>101</v>
      </c>
      <c r="E1506" t="s">
        <v>110</v>
      </c>
      <c r="F1506">
        <v>8.3336775598352729E-7</v>
      </c>
      <c r="G1506">
        <v>2038</v>
      </c>
      <c r="H1506">
        <v>4</v>
      </c>
      <c r="I1506">
        <v>1</v>
      </c>
    </row>
    <row r="1507" spans="1:9" x14ac:dyDescent="0.35">
      <c r="A1507" t="str">
        <f t="shared" si="23"/>
        <v>fcractivation_hoursS1203841</v>
      </c>
      <c r="C1507" t="s">
        <v>102</v>
      </c>
      <c r="D1507" t="s">
        <v>115</v>
      </c>
      <c r="E1507" t="s">
        <v>110</v>
      </c>
      <c r="F1507">
        <v>0</v>
      </c>
      <c r="G1507">
        <v>2038</v>
      </c>
      <c r="H1507">
        <v>4</v>
      </c>
      <c r="I1507">
        <v>1</v>
      </c>
    </row>
    <row r="1508" spans="1:9" x14ac:dyDescent="0.35">
      <c r="A1508" t="str">
        <f t="shared" si="23"/>
        <v>afrrincomeS1203841</v>
      </c>
      <c r="C1508" t="s">
        <v>103</v>
      </c>
      <c r="D1508" t="s">
        <v>101</v>
      </c>
      <c r="E1508" t="s">
        <v>110</v>
      </c>
      <c r="F1508">
        <v>84779.657365031802</v>
      </c>
      <c r="G1508">
        <v>2038</v>
      </c>
      <c r="H1508">
        <v>4</v>
      </c>
      <c r="I1508">
        <v>1</v>
      </c>
    </row>
    <row r="1509" spans="1:9" x14ac:dyDescent="0.35">
      <c r="A1509" t="str">
        <f t="shared" si="23"/>
        <v>afrractivation_hoursS1203841</v>
      </c>
      <c r="C1509" t="s">
        <v>103</v>
      </c>
      <c r="D1509" t="s">
        <v>115</v>
      </c>
      <c r="E1509" t="s">
        <v>110</v>
      </c>
      <c r="F1509">
        <v>8604</v>
      </c>
      <c r="G1509">
        <v>2038</v>
      </c>
      <c r="H1509">
        <v>4</v>
      </c>
      <c r="I1509">
        <v>1</v>
      </c>
    </row>
    <row r="1510" spans="1:9" x14ac:dyDescent="0.35">
      <c r="A1510" t="str">
        <f t="shared" si="23"/>
        <v>networkturpe_power_costS1203941</v>
      </c>
      <c r="C1510" t="s">
        <v>96</v>
      </c>
      <c r="D1510" t="s">
        <v>97</v>
      </c>
      <c r="E1510" t="s">
        <v>110</v>
      </c>
      <c r="F1510">
        <v>3763.82111869144</v>
      </c>
      <c r="G1510">
        <v>2039</v>
      </c>
      <c r="H1510">
        <v>4</v>
      </c>
      <c r="I1510">
        <v>1</v>
      </c>
    </row>
    <row r="1511" spans="1:9" x14ac:dyDescent="0.35">
      <c r="A1511" t="str">
        <f t="shared" si="23"/>
        <v>networkturpe_energy_costS1203941</v>
      </c>
      <c r="C1511" t="s">
        <v>96</v>
      </c>
      <c r="D1511" t="s">
        <v>98</v>
      </c>
      <c r="E1511" t="s">
        <v>110</v>
      </c>
      <c r="F1511">
        <v>1170.941483793883</v>
      </c>
      <c r="G1511">
        <v>2039</v>
      </c>
      <c r="H1511">
        <v>4</v>
      </c>
      <c r="I1511">
        <v>1</v>
      </c>
    </row>
    <row r="1512" spans="1:9" x14ac:dyDescent="0.35">
      <c r="A1512" t="str">
        <f t="shared" si="23"/>
        <v>DAcostS1203941</v>
      </c>
      <c r="C1512" t="s">
        <v>99</v>
      </c>
      <c r="D1512" t="s">
        <v>100</v>
      </c>
      <c r="E1512" t="s">
        <v>110</v>
      </c>
      <c r="F1512">
        <v>3228.9017524544188</v>
      </c>
      <c r="G1512">
        <v>2039</v>
      </c>
      <c r="H1512">
        <v>4</v>
      </c>
      <c r="I1512">
        <v>1</v>
      </c>
    </row>
    <row r="1513" spans="1:9" x14ac:dyDescent="0.35">
      <c r="A1513" t="str">
        <f t="shared" si="23"/>
        <v>DAincomeS1203941</v>
      </c>
      <c r="C1513" t="s">
        <v>99</v>
      </c>
      <c r="D1513" t="s">
        <v>101</v>
      </c>
      <c r="E1513" t="s">
        <v>110</v>
      </c>
      <c r="F1513">
        <v>6516.1419716429828</v>
      </c>
      <c r="G1513">
        <v>2039</v>
      </c>
      <c r="H1513">
        <v>4</v>
      </c>
      <c r="I1513">
        <v>1</v>
      </c>
    </row>
    <row r="1514" spans="1:9" x14ac:dyDescent="0.35">
      <c r="A1514" t="str">
        <f t="shared" si="23"/>
        <v>DAenergy_boughtS1203941</v>
      </c>
      <c r="B1514" t="s">
        <v>95</v>
      </c>
      <c r="C1514" t="s">
        <v>99</v>
      </c>
      <c r="D1514" t="s">
        <v>111</v>
      </c>
      <c r="E1514" t="s">
        <v>110</v>
      </c>
      <c r="F1514">
        <v>78.676572462718639</v>
      </c>
      <c r="G1514">
        <v>2039</v>
      </c>
      <c r="H1514">
        <v>4</v>
      </c>
      <c r="I1514">
        <v>1</v>
      </c>
    </row>
    <row r="1515" spans="1:9" x14ac:dyDescent="0.35">
      <c r="A1515" t="str">
        <f t="shared" si="23"/>
        <v>DAenergy_soldS1203941</v>
      </c>
      <c r="B1515" t="s">
        <v>95</v>
      </c>
      <c r="C1515" t="s">
        <v>99</v>
      </c>
      <c r="D1515" t="s">
        <v>112</v>
      </c>
      <c r="E1515" t="s">
        <v>110</v>
      </c>
      <c r="F1515">
        <v>58.178014676087273</v>
      </c>
      <c r="G1515">
        <v>2039</v>
      </c>
      <c r="H1515">
        <v>4</v>
      </c>
      <c r="I1515">
        <v>1</v>
      </c>
    </row>
    <row r="1516" spans="1:9" x14ac:dyDescent="0.35">
      <c r="A1516" t="str">
        <f t="shared" si="23"/>
        <v>DAhours_boughtS1203941</v>
      </c>
      <c r="C1516" t="s">
        <v>99</v>
      </c>
      <c r="D1516" t="s">
        <v>113</v>
      </c>
      <c r="E1516" t="s">
        <v>110</v>
      </c>
      <c r="F1516">
        <v>4843</v>
      </c>
      <c r="G1516">
        <v>2039</v>
      </c>
      <c r="H1516">
        <v>4</v>
      </c>
      <c r="I1516">
        <v>1</v>
      </c>
    </row>
    <row r="1517" spans="1:9" x14ac:dyDescent="0.35">
      <c r="A1517" t="str">
        <f t="shared" si="23"/>
        <v>DAhours_soldS1203941</v>
      </c>
      <c r="C1517" t="s">
        <v>99</v>
      </c>
      <c r="D1517" t="s">
        <v>114</v>
      </c>
      <c r="E1517" t="s">
        <v>110</v>
      </c>
      <c r="F1517">
        <v>103</v>
      </c>
      <c r="G1517">
        <v>2039</v>
      </c>
      <c r="H1517">
        <v>4</v>
      </c>
      <c r="I1517">
        <v>1</v>
      </c>
    </row>
    <row r="1518" spans="1:9" x14ac:dyDescent="0.35">
      <c r="A1518" t="str">
        <f t="shared" si="23"/>
        <v>DAco2_emissionS1203941</v>
      </c>
      <c r="C1518" t="s">
        <v>99</v>
      </c>
      <c r="D1518" t="s">
        <v>204</v>
      </c>
      <c r="E1518" t="s">
        <v>110</v>
      </c>
      <c r="F1518">
        <v>5507.3600723903974</v>
      </c>
      <c r="G1518">
        <v>2039</v>
      </c>
      <c r="H1518">
        <v>4</v>
      </c>
      <c r="I1518">
        <v>1</v>
      </c>
    </row>
    <row r="1519" spans="1:9" x14ac:dyDescent="0.35">
      <c r="A1519" t="str">
        <f t="shared" si="23"/>
        <v>fcrincomeS1203941</v>
      </c>
      <c r="C1519" t="s">
        <v>102</v>
      </c>
      <c r="D1519" t="s">
        <v>101</v>
      </c>
      <c r="E1519" t="s">
        <v>110</v>
      </c>
      <c r="F1519">
        <v>0</v>
      </c>
      <c r="G1519">
        <v>2039</v>
      </c>
      <c r="H1519">
        <v>4</v>
      </c>
      <c r="I1519">
        <v>1</v>
      </c>
    </row>
    <row r="1520" spans="1:9" x14ac:dyDescent="0.35">
      <c r="A1520" t="str">
        <f t="shared" si="23"/>
        <v>fcractivation_hoursS1203941</v>
      </c>
      <c r="C1520" t="s">
        <v>102</v>
      </c>
      <c r="D1520" t="s">
        <v>115</v>
      </c>
      <c r="E1520" t="s">
        <v>110</v>
      </c>
      <c r="F1520">
        <v>0</v>
      </c>
      <c r="G1520">
        <v>2039</v>
      </c>
      <c r="H1520">
        <v>4</v>
      </c>
      <c r="I1520">
        <v>1</v>
      </c>
    </row>
    <row r="1521" spans="1:9" x14ac:dyDescent="0.35">
      <c r="A1521" t="str">
        <f t="shared" si="23"/>
        <v>afrrincomeS1203941</v>
      </c>
      <c r="C1521" t="s">
        <v>103</v>
      </c>
      <c r="D1521" t="s">
        <v>101</v>
      </c>
      <c r="E1521" t="s">
        <v>110</v>
      </c>
      <c r="F1521">
        <v>85226.712669944158</v>
      </c>
      <c r="G1521">
        <v>2039</v>
      </c>
      <c r="H1521">
        <v>4</v>
      </c>
      <c r="I1521">
        <v>1</v>
      </c>
    </row>
    <row r="1522" spans="1:9" x14ac:dyDescent="0.35">
      <c r="A1522" t="str">
        <f t="shared" si="23"/>
        <v>afrractivation_hoursS1203941</v>
      </c>
      <c r="C1522" t="s">
        <v>103</v>
      </c>
      <c r="D1522" t="s">
        <v>115</v>
      </c>
      <c r="E1522" t="s">
        <v>110</v>
      </c>
      <c r="F1522">
        <v>8620</v>
      </c>
      <c r="G1522">
        <v>2039</v>
      </c>
      <c r="H1522">
        <v>4</v>
      </c>
      <c r="I1522">
        <v>1</v>
      </c>
    </row>
    <row r="1523" spans="1:9" x14ac:dyDescent="0.35">
      <c r="A1523" t="str">
        <f t="shared" si="23"/>
        <v>networkturpe_power_costS1204041</v>
      </c>
      <c r="C1523" t="s">
        <v>96</v>
      </c>
      <c r="D1523" t="s">
        <v>97</v>
      </c>
      <c r="E1523" t="s">
        <v>110</v>
      </c>
      <c r="F1523">
        <v>3778.905351533082</v>
      </c>
      <c r="G1523">
        <v>2040</v>
      </c>
      <c r="H1523">
        <v>4</v>
      </c>
      <c r="I1523">
        <v>1</v>
      </c>
    </row>
    <row r="1524" spans="1:9" x14ac:dyDescent="0.35">
      <c r="A1524" t="str">
        <f t="shared" si="23"/>
        <v>networkturpe_energy_costS1204041</v>
      </c>
      <c r="C1524" t="s">
        <v>96</v>
      </c>
      <c r="D1524" t="s">
        <v>98</v>
      </c>
      <c r="E1524" t="s">
        <v>110</v>
      </c>
      <c r="F1524">
        <v>2970.699499809411</v>
      </c>
      <c r="G1524">
        <v>2040</v>
      </c>
      <c r="H1524">
        <v>4</v>
      </c>
      <c r="I1524">
        <v>1</v>
      </c>
    </row>
    <row r="1525" spans="1:9" x14ac:dyDescent="0.35">
      <c r="A1525" t="str">
        <f t="shared" si="23"/>
        <v>DAcostS1204041</v>
      </c>
      <c r="C1525" t="s">
        <v>99</v>
      </c>
      <c r="D1525" t="s">
        <v>100</v>
      </c>
      <c r="E1525" t="s">
        <v>110</v>
      </c>
      <c r="F1525">
        <v>7387.1228346670059</v>
      </c>
      <c r="G1525">
        <v>2040</v>
      </c>
      <c r="H1525">
        <v>4</v>
      </c>
      <c r="I1525">
        <v>1</v>
      </c>
    </row>
    <row r="1526" spans="1:9" x14ac:dyDescent="0.35">
      <c r="A1526" t="str">
        <f t="shared" si="23"/>
        <v>DAincomeS1204041</v>
      </c>
      <c r="B1526" t="s">
        <v>95</v>
      </c>
      <c r="C1526" t="s">
        <v>99</v>
      </c>
      <c r="D1526" t="s">
        <v>101</v>
      </c>
      <c r="E1526" t="s">
        <v>110</v>
      </c>
      <c r="F1526">
        <v>16381.16050455404</v>
      </c>
      <c r="G1526">
        <v>2040</v>
      </c>
      <c r="H1526">
        <v>4</v>
      </c>
      <c r="I1526">
        <v>1</v>
      </c>
    </row>
    <row r="1527" spans="1:9" x14ac:dyDescent="0.35">
      <c r="A1527" t="str">
        <f t="shared" si="23"/>
        <v>DAenergy_boughtS1204041</v>
      </c>
      <c r="B1527" t="s">
        <v>95</v>
      </c>
      <c r="C1527" t="s">
        <v>99</v>
      </c>
      <c r="D1527" t="s">
        <v>111</v>
      </c>
      <c r="E1527" t="s">
        <v>110</v>
      </c>
      <c r="F1527">
        <v>190.65739569417721</v>
      </c>
      <c r="G1527">
        <v>2040</v>
      </c>
      <c r="H1527">
        <v>4</v>
      </c>
      <c r="I1527">
        <v>1</v>
      </c>
    </row>
    <row r="1528" spans="1:9" x14ac:dyDescent="0.35">
      <c r="A1528" t="str">
        <f t="shared" si="23"/>
        <v>DAenergy_soldS1204041</v>
      </c>
      <c r="C1528" t="s">
        <v>99</v>
      </c>
      <c r="D1528" t="s">
        <v>112</v>
      </c>
      <c r="E1528" t="s">
        <v>110</v>
      </c>
      <c r="F1528">
        <v>148.89862568530569</v>
      </c>
      <c r="G1528">
        <v>2040</v>
      </c>
      <c r="H1528">
        <v>4</v>
      </c>
      <c r="I1528">
        <v>1</v>
      </c>
    </row>
    <row r="1529" spans="1:9" x14ac:dyDescent="0.35">
      <c r="A1529" t="str">
        <f t="shared" si="23"/>
        <v>DAhours_boughtS1204041</v>
      </c>
      <c r="C1529" t="s">
        <v>99</v>
      </c>
      <c r="D1529" t="s">
        <v>113</v>
      </c>
      <c r="E1529" t="s">
        <v>110</v>
      </c>
      <c r="F1529">
        <v>3698</v>
      </c>
      <c r="G1529">
        <v>2040</v>
      </c>
      <c r="H1529">
        <v>4</v>
      </c>
      <c r="I1529">
        <v>1</v>
      </c>
    </row>
    <row r="1530" spans="1:9" x14ac:dyDescent="0.35">
      <c r="A1530" t="str">
        <f t="shared" si="23"/>
        <v>DAhours_soldS1204041</v>
      </c>
      <c r="C1530" t="s">
        <v>99</v>
      </c>
      <c r="D1530" t="s">
        <v>114</v>
      </c>
      <c r="E1530" t="s">
        <v>110</v>
      </c>
      <c r="F1530">
        <v>223</v>
      </c>
      <c r="G1530">
        <v>2040</v>
      </c>
      <c r="H1530">
        <v>4</v>
      </c>
      <c r="I1530">
        <v>1</v>
      </c>
    </row>
    <row r="1531" spans="1:9" x14ac:dyDescent="0.35">
      <c r="A1531" t="str">
        <f t="shared" si="23"/>
        <v>DAco2_emissionS1204041</v>
      </c>
      <c r="C1531" t="s">
        <v>99</v>
      </c>
      <c r="D1531" t="s">
        <v>204</v>
      </c>
      <c r="E1531" t="s">
        <v>110</v>
      </c>
      <c r="F1531">
        <v>13346.017698592021</v>
      </c>
      <c r="G1531">
        <v>2040</v>
      </c>
      <c r="H1531">
        <v>4</v>
      </c>
      <c r="I1531">
        <v>1</v>
      </c>
    </row>
    <row r="1532" spans="1:9" x14ac:dyDescent="0.35">
      <c r="A1532" t="str">
        <f t="shared" si="23"/>
        <v>fcrincomeS1204041</v>
      </c>
      <c r="C1532" t="s">
        <v>102</v>
      </c>
      <c r="D1532" t="s">
        <v>101</v>
      </c>
      <c r="E1532" t="s">
        <v>110</v>
      </c>
      <c r="F1532">
        <v>0.41224883638445747</v>
      </c>
      <c r="G1532">
        <v>2040</v>
      </c>
      <c r="H1532">
        <v>4</v>
      </c>
      <c r="I1532">
        <v>1</v>
      </c>
    </row>
    <row r="1533" spans="1:9" x14ac:dyDescent="0.35">
      <c r="A1533" t="str">
        <f t="shared" si="23"/>
        <v>fcractivation_hoursS1204041</v>
      </c>
      <c r="C1533" t="s">
        <v>102</v>
      </c>
      <c r="D1533" t="s">
        <v>115</v>
      </c>
      <c r="E1533" t="s">
        <v>110</v>
      </c>
      <c r="F1533">
        <v>20</v>
      </c>
      <c r="G1533">
        <v>2040</v>
      </c>
      <c r="H1533">
        <v>4</v>
      </c>
      <c r="I1533">
        <v>1</v>
      </c>
    </row>
    <row r="1534" spans="1:9" x14ac:dyDescent="0.35">
      <c r="A1534" t="str">
        <f t="shared" si="23"/>
        <v>afrrincomeS1204041</v>
      </c>
      <c r="C1534" t="s">
        <v>103</v>
      </c>
      <c r="D1534" t="s">
        <v>101</v>
      </c>
      <c r="E1534" t="s">
        <v>110</v>
      </c>
      <c r="F1534">
        <v>59425.782814354527</v>
      </c>
      <c r="G1534">
        <v>2040</v>
      </c>
      <c r="H1534">
        <v>4</v>
      </c>
      <c r="I1534">
        <v>1</v>
      </c>
    </row>
    <row r="1535" spans="1:9" x14ac:dyDescent="0.35">
      <c r="A1535" t="str">
        <f t="shared" si="23"/>
        <v>afrractivation_hoursS1204041</v>
      </c>
      <c r="C1535" t="s">
        <v>103</v>
      </c>
      <c r="D1535" t="s">
        <v>115</v>
      </c>
      <c r="E1535" t="s">
        <v>110</v>
      </c>
      <c r="F1535">
        <v>8386</v>
      </c>
      <c r="G1535">
        <v>2040</v>
      </c>
      <c r="H1535">
        <v>4</v>
      </c>
      <c r="I1535">
        <v>1</v>
      </c>
    </row>
    <row r="1536" spans="1:9" x14ac:dyDescent="0.35">
      <c r="A1536" t="str">
        <f t="shared" si="23"/>
        <v>networkturpe_power_costS1204141</v>
      </c>
      <c r="C1536" t="s">
        <v>96</v>
      </c>
      <c r="D1536" t="s">
        <v>97</v>
      </c>
      <c r="E1536" t="s">
        <v>110</v>
      </c>
      <c r="F1536">
        <v>3885.820261757754</v>
      </c>
      <c r="G1536">
        <v>2041</v>
      </c>
      <c r="H1536">
        <v>4</v>
      </c>
      <c r="I1536">
        <v>1</v>
      </c>
    </row>
    <row r="1537" spans="1:9" x14ac:dyDescent="0.35">
      <c r="A1537" t="str">
        <f t="shared" si="23"/>
        <v>networkturpe_energy_costS1204141</v>
      </c>
      <c r="C1537" t="s">
        <v>96</v>
      </c>
      <c r="D1537" t="s">
        <v>98</v>
      </c>
      <c r="E1537" t="s">
        <v>110</v>
      </c>
      <c r="F1537">
        <v>4339.9742064667462</v>
      </c>
      <c r="G1537">
        <v>2041</v>
      </c>
      <c r="H1537">
        <v>4</v>
      </c>
      <c r="I1537">
        <v>1</v>
      </c>
    </row>
    <row r="1538" spans="1:9" x14ac:dyDescent="0.35">
      <c r="A1538" t="str">
        <f t="shared" si="23"/>
        <v>DAcostS1204141</v>
      </c>
      <c r="B1538" t="s">
        <v>95</v>
      </c>
      <c r="C1538" t="s">
        <v>99</v>
      </c>
      <c r="D1538" t="s">
        <v>100</v>
      </c>
      <c r="E1538" t="s">
        <v>110</v>
      </c>
      <c r="F1538">
        <v>10855.515619056379</v>
      </c>
      <c r="G1538">
        <v>2041</v>
      </c>
      <c r="H1538">
        <v>4</v>
      </c>
      <c r="I1538">
        <v>1</v>
      </c>
    </row>
    <row r="1539" spans="1:9" x14ac:dyDescent="0.35">
      <c r="A1539" t="str">
        <f t="shared" ref="A1539:A1602" si="24">C1539&amp;D1539&amp;E1539&amp;G1539&amp;H1539&amp;I1539</f>
        <v>DAincomeS1204141</v>
      </c>
      <c r="B1539" t="s">
        <v>95</v>
      </c>
      <c r="C1539" t="s">
        <v>99</v>
      </c>
      <c r="D1539" t="s">
        <v>101</v>
      </c>
      <c r="E1539" t="s">
        <v>110</v>
      </c>
      <c r="F1539">
        <v>23816.13610206161</v>
      </c>
      <c r="G1539">
        <v>2041</v>
      </c>
      <c r="H1539">
        <v>4</v>
      </c>
      <c r="I1539">
        <v>1</v>
      </c>
    </row>
    <row r="1540" spans="1:9" x14ac:dyDescent="0.35">
      <c r="A1540" t="str">
        <f t="shared" si="24"/>
        <v>DAenergy_boughtS1204141</v>
      </c>
      <c r="C1540" t="s">
        <v>99</v>
      </c>
      <c r="D1540" t="s">
        <v>111</v>
      </c>
      <c r="E1540" t="s">
        <v>110</v>
      </c>
      <c r="F1540">
        <v>276.71134090544319</v>
      </c>
      <c r="G1540">
        <v>2041</v>
      </c>
      <c r="H1540">
        <v>4</v>
      </c>
      <c r="I1540">
        <v>1</v>
      </c>
    </row>
    <row r="1541" spans="1:9" x14ac:dyDescent="0.35">
      <c r="A1541" t="str">
        <f t="shared" si="24"/>
        <v>DAenergy_soldS1204141</v>
      </c>
      <c r="C1541" t="s">
        <v>99</v>
      </c>
      <c r="D1541" t="s">
        <v>112</v>
      </c>
      <c r="E1541" t="s">
        <v>110</v>
      </c>
      <c r="F1541">
        <v>218.82946951731401</v>
      </c>
      <c r="G1541">
        <v>2041</v>
      </c>
      <c r="H1541">
        <v>4</v>
      </c>
      <c r="I1541">
        <v>1</v>
      </c>
    </row>
    <row r="1542" spans="1:9" x14ac:dyDescent="0.35">
      <c r="A1542" t="str">
        <f t="shared" si="24"/>
        <v>DAhours_boughtS1204141</v>
      </c>
      <c r="C1542" t="s">
        <v>99</v>
      </c>
      <c r="D1542" t="s">
        <v>113</v>
      </c>
      <c r="E1542" t="s">
        <v>110</v>
      </c>
      <c r="F1542">
        <v>3757</v>
      </c>
      <c r="G1542">
        <v>2041</v>
      </c>
      <c r="H1542">
        <v>4</v>
      </c>
      <c r="I1542">
        <v>1</v>
      </c>
    </row>
    <row r="1543" spans="1:9" x14ac:dyDescent="0.35">
      <c r="A1543" t="str">
        <f t="shared" si="24"/>
        <v>DAhours_soldS1204141</v>
      </c>
      <c r="C1543" t="s">
        <v>99</v>
      </c>
      <c r="D1543" t="s">
        <v>114</v>
      </c>
      <c r="E1543" t="s">
        <v>110</v>
      </c>
      <c r="F1543">
        <v>254</v>
      </c>
      <c r="G1543">
        <v>2041</v>
      </c>
      <c r="H1543">
        <v>4</v>
      </c>
      <c r="I1543">
        <v>1</v>
      </c>
    </row>
    <row r="1544" spans="1:9" x14ac:dyDescent="0.35">
      <c r="A1544" t="str">
        <f t="shared" si="24"/>
        <v>DAco2_emissionS1204141</v>
      </c>
      <c r="C1544" t="s">
        <v>99</v>
      </c>
      <c r="D1544" t="s">
        <v>204</v>
      </c>
      <c r="E1544" t="s">
        <v>110</v>
      </c>
      <c r="F1544">
        <v>19369.79386338131</v>
      </c>
      <c r="G1544">
        <v>2041</v>
      </c>
      <c r="H1544">
        <v>4</v>
      </c>
      <c r="I1544">
        <v>1</v>
      </c>
    </row>
    <row r="1545" spans="1:9" x14ac:dyDescent="0.35">
      <c r="A1545" t="str">
        <f t="shared" si="24"/>
        <v>fcrincomeS1204141</v>
      </c>
      <c r="C1545" t="s">
        <v>102</v>
      </c>
      <c r="D1545" t="s">
        <v>101</v>
      </c>
      <c r="E1545" t="s">
        <v>110</v>
      </c>
      <c r="F1545">
        <v>2.106293196796504</v>
      </c>
      <c r="G1545">
        <v>2041</v>
      </c>
      <c r="H1545">
        <v>4</v>
      </c>
      <c r="I1545">
        <v>1</v>
      </c>
    </row>
    <row r="1546" spans="1:9" x14ac:dyDescent="0.35">
      <c r="A1546" t="str">
        <f t="shared" si="24"/>
        <v>fcractivation_hoursS1204141</v>
      </c>
      <c r="C1546" t="s">
        <v>102</v>
      </c>
      <c r="D1546" t="s">
        <v>115</v>
      </c>
      <c r="E1546" t="s">
        <v>110</v>
      </c>
      <c r="F1546">
        <v>20</v>
      </c>
      <c r="G1546">
        <v>2041</v>
      </c>
      <c r="H1546">
        <v>4</v>
      </c>
      <c r="I1546">
        <v>1</v>
      </c>
    </row>
    <row r="1547" spans="1:9" x14ac:dyDescent="0.35">
      <c r="A1547" t="str">
        <f t="shared" si="24"/>
        <v>afrrincomeS1204141</v>
      </c>
      <c r="C1547" t="s">
        <v>103</v>
      </c>
      <c r="D1547" t="s">
        <v>101</v>
      </c>
      <c r="E1547" t="s">
        <v>110</v>
      </c>
      <c r="F1547">
        <v>53167.340095150779</v>
      </c>
      <c r="G1547">
        <v>2041</v>
      </c>
      <c r="H1547">
        <v>4</v>
      </c>
      <c r="I1547">
        <v>1</v>
      </c>
    </row>
    <row r="1548" spans="1:9" x14ac:dyDescent="0.35">
      <c r="A1548" t="str">
        <f t="shared" si="24"/>
        <v>afrractivation_hoursS1204141</v>
      </c>
      <c r="C1548" t="s">
        <v>103</v>
      </c>
      <c r="D1548" t="s">
        <v>115</v>
      </c>
      <c r="E1548" t="s">
        <v>110</v>
      </c>
      <c r="F1548">
        <v>8175</v>
      </c>
      <c r="G1548">
        <v>2041</v>
      </c>
      <c r="H1548">
        <v>4</v>
      </c>
      <c r="I1548">
        <v>1</v>
      </c>
    </row>
    <row r="1549" spans="1:9" x14ac:dyDescent="0.35">
      <c r="A1549" t="str">
        <f t="shared" si="24"/>
        <v>networkturpe_power_costS1202542</v>
      </c>
      <c r="C1549" t="s">
        <v>96</v>
      </c>
      <c r="D1549" t="s">
        <v>97</v>
      </c>
      <c r="E1549" t="s">
        <v>110</v>
      </c>
      <c r="F1549">
        <v>8286.7284197176959</v>
      </c>
      <c r="G1549">
        <v>2025</v>
      </c>
      <c r="H1549">
        <v>4</v>
      </c>
      <c r="I1549">
        <v>2</v>
      </c>
    </row>
    <row r="1550" spans="1:9" x14ac:dyDescent="0.35">
      <c r="A1550" t="str">
        <f t="shared" si="24"/>
        <v>networkturpe_energy_costS1202542</v>
      </c>
      <c r="B1550" t="s">
        <v>95</v>
      </c>
      <c r="C1550" t="s">
        <v>96</v>
      </c>
      <c r="D1550" t="s">
        <v>98</v>
      </c>
      <c r="E1550" t="s">
        <v>110</v>
      </c>
      <c r="F1550">
        <v>8023.2892440541127</v>
      </c>
      <c r="G1550">
        <v>2025</v>
      </c>
      <c r="H1550">
        <v>4</v>
      </c>
      <c r="I1550">
        <v>2</v>
      </c>
    </row>
    <row r="1551" spans="1:9" x14ac:dyDescent="0.35">
      <c r="A1551" t="str">
        <f t="shared" si="24"/>
        <v>DAcostS1202542</v>
      </c>
      <c r="B1551" t="s">
        <v>95</v>
      </c>
      <c r="C1551" t="s">
        <v>99</v>
      </c>
      <c r="D1551" t="s">
        <v>100</v>
      </c>
      <c r="E1551" t="s">
        <v>110</v>
      </c>
      <c r="F1551">
        <v>72923.620656213388</v>
      </c>
      <c r="G1551">
        <v>2025</v>
      </c>
      <c r="H1551">
        <v>4</v>
      </c>
      <c r="I1551">
        <v>2</v>
      </c>
    </row>
    <row r="1552" spans="1:9" x14ac:dyDescent="0.35">
      <c r="A1552" t="str">
        <f t="shared" si="24"/>
        <v>DAincomeS1202542</v>
      </c>
      <c r="C1552" t="s">
        <v>99</v>
      </c>
      <c r="D1552" t="s">
        <v>101</v>
      </c>
      <c r="E1552" t="s">
        <v>110</v>
      </c>
      <c r="F1552">
        <v>91991.56337213052</v>
      </c>
      <c r="G1552">
        <v>2025</v>
      </c>
      <c r="H1552">
        <v>4</v>
      </c>
      <c r="I1552">
        <v>2</v>
      </c>
    </row>
    <row r="1553" spans="1:9" x14ac:dyDescent="0.35">
      <c r="A1553" t="str">
        <f t="shared" si="24"/>
        <v>DAenergy_boughtS1202542</v>
      </c>
      <c r="C1553" t="s">
        <v>99</v>
      </c>
      <c r="D1553" t="s">
        <v>111</v>
      </c>
      <c r="E1553" t="s">
        <v>110</v>
      </c>
      <c r="F1553">
        <v>515.23365234582536</v>
      </c>
      <c r="G1553">
        <v>2025</v>
      </c>
      <c r="H1553">
        <v>4</v>
      </c>
      <c r="I1553">
        <v>2</v>
      </c>
    </row>
    <row r="1554" spans="1:9" x14ac:dyDescent="0.35">
      <c r="A1554" t="str">
        <f t="shared" si="24"/>
        <v>DAenergy_soldS1202542</v>
      </c>
      <c r="C1554" t="s">
        <v>99</v>
      </c>
      <c r="D1554" t="s">
        <v>112</v>
      </c>
      <c r="E1554" t="s">
        <v>110</v>
      </c>
      <c r="F1554">
        <v>403.32770445288332</v>
      </c>
      <c r="G1554">
        <v>2025</v>
      </c>
      <c r="H1554">
        <v>4</v>
      </c>
      <c r="I1554">
        <v>2</v>
      </c>
    </row>
    <row r="1555" spans="1:9" x14ac:dyDescent="0.35">
      <c r="A1555" t="str">
        <f t="shared" si="24"/>
        <v>DAhours_boughtS1202542</v>
      </c>
      <c r="C1555" t="s">
        <v>99</v>
      </c>
      <c r="D1555" t="s">
        <v>113</v>
      </c>
      <c r="E1555" t="s">
        <v>110</v>
      </c>
      <c r="F1555">
        <v>921</v>
      </c>
      <c r="G1555">
        <v>2025</v>
      </c>
      <c r="H1555">
        <v>4</v>
      </c>
      <c r="I1555">
        <v>2</v>
      </c>
    </row>
    <row r="1556" spans="1:9" x14ac:dyDescent="0.35">
      <c r="A1556" t="str">
        <f t="shared" si="24"/>
        <v>DAhours_soldS1202542</v>
      </c>
      <c r="C1556" t="s">
        <v>99</v>
      </c>
      <c r="D1556" t="s">
        <v>114</v>
      </c>
      <c r="E1556" t="s">
        <v>110</v>
      </c>
      <c r="F1556">
        <v>181</v>
      </c>
      <c r="G1556">
        <v>2025</v>
      </c>
      <c r="H1556">
        <v>4</v>
      </c>
      <c r="I1556">
        <v>2</v>
      </c>
    </row>
    <row r="1557" spans="1:9" x14ac:dyDescent="0.35">
      <c r="A1557" t="str">
        <f t="shared" si="24"/>
        <v>DAco2_emissionS1202542</v>
      </c>
      <c r="C1557" t="s">
        <v>99</v>
      </c>
      <c r="D1557" t="s">
        <v>204</v>
      </c>
      <c r="E1557" t="s">
        <v>110</v>
      </c>
      <c r="F1557">
        <v>36066.355664208073</v>
      </c>
      <c r="G1557">
        <v>2025</v>
      </c>
      <c r="H1557">
        <v>4</v>
      </c>
      <c r="I1557">
        <v>2</v>
      </c>
    </row>
    <row r="1558" spans="1:9" x14ac:dyDescent="0.35">
      <c r="A1558" t="str">
        <f t="shared" si="24"/>
        <v>fcrincomeS1202542</v>
      </c>
      <c r="C1558" t="s">
        <v>102</v>
      </c>
      <c r="D1558" t="s">
        <v>101</v>
      </c>
      <c r="E1558" t="s">
        <v>110</v>
      </c>
      <c r="F1558">
        <v>0</v>
      </c>
      <c r="G1558">
        <v>2025</v>
      </c>
      <c r="H1558">
        <v>4</v>
      </c>
      <c r="I1558">
        <v>2</v>
      </c>
    </row>
    <row r="1559" spans="1:9" x14ac:dyDescent="0.35">
      <c r="A1559" t="str">
        <f t="shared" si="24"/>
        <v>fcractivation_hoursS1202542</v>
      </c>
      <c r="C1559" t="s">
        <v>102</v>
      </c>
      <c r="D1559" t="s">
        <v>115</v>
      </c>
      <c r="E1559" t="s">
        <v>110</v>
      </c>
      <c r="F1559">
        <v>0</v>
      </c>
      <c r="G1559">
        <v>2025</v>
      </c>
      <c r="H1559">
        <v>4</v>
      </c>
      <c r="I1559">
        <v>2</v>
      </c>
    </row>
    <row r="1560" spans="1:9" x14ac:dyDescent="0.35">
      <c r="A1560" t="str">
        <f t="shared" si="24"/>
        <v>afrrincomeS1202542</v>
      </c>
      <c r="C1560" t="s">
        <v>103</v>
      </c>
      <c r="D1560" t="s">
        <v>101</v>
      </c>
      <c r="E1560" t="s">
        <v>110</v>
      </c>
      <c r="F1560">
        <v>199826.85448750071</v>
      </c>
      <c r="G1560">
        <v>2025</v>
      </c>
      <c r="H1560">
        <v>4</v>
      </c>
      <c r="I1560">
        <v>2</v>
      </c>
    </row>
    <row r="1561" spans="1:9" x14ac:dyDescent="0.35">
      <c r="A1561" t="str">
        <f t="shared" si="24"/>
        <v>afrractivation_hoursS1202542</v>
      </c>
      <c r="C1561" t="s">
        <v>103</v>
      </c>
      <c r="D1561" t="s">
        <v>115</v>
      </c>
      <c r="E1561" t="s">
        <v>110</v>
      </c>
      <c r="F1561">
        <v>8737</v>
      </c>
      <c r="G1561">
        <v>2025</v>
      </c>
      <c r="H1561">
        <v>4</v>
      </c>
      <c r="I1561">
        <v>2</v>
      </c>
    </row>
    <row r="1562" spans="1:9" x14ac:dyDescent="0.35">
      <c r="A1562" t="str">
        <f t="shared" si="24"/>
        <v>networkturpe_power_costS1202642</v>
      </c>
      <c r="B1562" t="s">
        <v>95</v>
      </c>
      <c r="C1562" t="s">
        <v>96</v>
      </c>
      <c r="D1562" t="s">
        <v>97</v>
      </c>
      <c r="E1562" t="s">
        <v>110</v>
      </c>
      <c r="F1562">
        <v>7095.7642771724086</v>
      </c>
      <c r="G1562">
        <v>2026</v>
      </c>
      <c r="H1562">
        <v>4</v>
      </c>
      <c r="I1562">
        <v>2</v>
      </c>
    </row>
    <row r="1563" spans="1:9" x14ac:dyDescent="0.35">
      <c r="A1563" t="str">
        <f t="shared" si="24"/>
        <v>networkturpe_energy_costS1202642</v>
      </c>
      <c r="B1563" t="s">
        <v>95</v>
      </c>
      <c r="C1563" t="s">
        <v>96</v>
      </c>
      <c r="D1563" t="s">
        <v>98</v>
      </c>
      <c r="E1563" t="s">
        <v>110</v>
      </c>
      <c r="F1563">
        <v>4449.8612212575772</v>
      </c>
      <c r="G1563">
        <v>2026</v>
      </c>
      <c r="H1563">
        <v>4</v>
      </c>
      <c r="I1563">
        <v>2</v>
      </c>
    </row>
    <row r="1564" spans="1:9" x14ac:dyDescent="0.35">
      <c r="A1564" t="str">
        <f t="shared" si="24"/>
        <v>DAcostS1202642</v>
      </c>
      <c r="C1564" t="s">
        <v>99</v>
      </c>
      <c r="D1564" t="s">
        <v>100</v>
      </c>
      <c r="E1564" t="s">
        <v>110</v>
      </c>
      <c r="F1564">
        <v>37469.817603890173</v>
      </c>
      <c r="G1564">
        <v>2026</v>
      </c>
      <c r="H1564">
        <v>4</v>
      </c>
      <c r="I1564">
        <v>2</v>
      </c>
    </row>
    <row r="1565" spans="1:9" x14ac:dyDescent="0.35">
      <c r="A1565" t="str">
        <f t="shared" si="24"/>
        <v>DAincomeS1202642</v>
      </c>
      <c r="C1565" t="s">
        <v>99</v>
      </c>
      <c r="D1565" t="s">
        <v>101</v>
      </c>
      <c r="E1565" t="s">
        <v>110</v>
      </c>
      <c r="F1565">
        <v>47686.011509681201</v>
      </c>
      <c r="G1565">
        <v>2026</v>
      </c>
      <c r="H1565">
        <v>4</v>
      </c>
      <c r="I1565">
        <v>2</v>
      </c>
    </row>
    <row r="1566" spans="1:9" x14ac:dyDescent="0.35">
      <c r="A1566" t="str">
        <f t="shared" si="24"/>
        <v>DAenergy_boughtS1202642</v>
      </c>
      <c r="C1566" t="s">
        <v>99</v>
      </c>
      <c r="D1566" t="s">
        <v>111</v>
      </c>
      <c r="E1566" t="s">
        <v>110</v>
      </c>
      <c r="F1566">
        <v>299.86174846989348</v>
      </c>
      <c r="G1566">
        <v>2026</v>
      </c>
      <c r="H1566">
        <v>4</v>
      </c>
      <c r="I1566">
        <v>2</v>
      </c>
    </row>
    <row r="1567" spans="1:9" x14ac:dyDescent="0.35">
      <c r="A1567" t="str">
        <f t="shared" si="24"/>
        <v>DAenergy_soldS1202642</v>
      </c>
      <c r="C1567" t="s">
        <v>99</v>
      </c>
      <c r="D1567" t="s">
        <v>112</v>
      </c>
      <c r="E1567" t="s">
        <v>110</v>
      </c>
      <c r="F1567">
        <v>230.10234023641181</v>
      </c>
      <c r="G1567">
        <v>2026</v>
      </c>
      <c r="H1567">
        <v>4</v>
      </c>
      <c r="I1567">
        <v>2</v>
      </c>
    </row>
    <row r="1568" spans="1:9" x14ac:dyDescent="0.35">
      <c r="A1568" t="str">
        <f t="shared" si="24"/>
        <v>DAhours_boughtS1202642</v>
      </c>
      <c r="C1568" t="s">
        <v>99</v>
      </c>
      <c r="D1568" t="s">
        <v>113</v>
      </c>
      <c r="E1568" t="s">
        <v>110</v>
      </c>
      <c r="F1568">
        <v>812</v>
      </c>
      <c r="G1568">
        <v>2026</v>
      </c>
      <c r="H1568">
        <v>4</v>
      </c>
      <c r="I1568">
        <v>2</v>
      </c>
    </row>
    <row r="1569" spans="1:9" x14ac:dyDescent="0.35">
      <c r="A1569" t="str">
        <f t="shared" si="24"/>
        <v>DAhours_soldS1202642</v>
      </c>
      <c r="C1569" t="s">
        <v>99</v>
      </c>
      <c r="D1569" t="s">
        <v>114</v>
      </c>
      <c r="E1569" t="s">
        <v>110</v>
      </c>
      <c r="F1569">
        <v>122</v>
      </c>
      <c r="G1569">
        <v>2026</v>
      </c>
      <c r="H1569">
        <v>4</v>
      </c>
      <c r="I1569">
        <v>2</v>
      </c>
    </row>
    <row r="1570" spans="1:9" x14ac:dyDescent="0.35">
      <c r="A1570" t="str">
        <f t="shared" si="24"/>
        <v>DAco2_emissionS1202642</v>
      </c>
      <c r="C1570" t="s">
        <v>99</v>
      </c>
      <c r="D1570" t="s">
        <v>204</v>
      </c>
      <c r="E1570" t="s">
        <v>110</v>
      </c>
      <c r="F1570">
        <v>20990.322392892609</v>
      </c>
      <c r="G1570">
        <v>2026</v>
      </c>
      <c r="H1570">
        <v>4</v>
      </c>
      <c r="I1570">
        <v>2</v>
      </c>
    </row>
    <row r="1571" spans="1:9" x14ac:dyDescent="0.35">
      <c r="A1571" t="str">
        <f t="shared" si="24"/>
        <v>fcrincomeS1202642</v>
      </c>
      <c r="C1571" t="s">
        <v>102</v>
      </c>
      <c r="D1571" t="s">
        <v>101</v>
      </c>
      <c r="E1571" t="s">
        <v>110</v>
      </c>
      <c r="F1571">
        <v>0</v>
      </c>
      <c r="G1571">
        <v>2026</v>
      </c>
      <c r="H1571">
        <v>4</v>
      </c>
      <c r="I1571">
        <v>2</v>
      </c>
    </row>
    <row r="1572" spans="1:9" x14ac:dyDescent="0.35">
      <c r="A1572" t="str">
        <f t="shared" si="24"/>
        <v>fcractivation_hoursS1202642</v>
      </c>
      <c r="C1572" t="s">
        <v>102</v>
      </c>
      <c r="D1572" t="s">
        <v>115</v>
      </c>
      <c r="E1572" t="s">
        <v>110</v>
      </c>
      <c r="F1572">
        <v>0</v>
      </c>
      <c r="G1572">
        <v>2026</v>
      </c>
      <c r="H1572">
        <v>4</v>
      </c>
      <c r="I1572">
        <v>2</v>
      </c>
    </row>
    <row r="1573" spans="1:9" x14ac:dyDescent="0.35">
      <c r="A1573" t="str">
        <f t="shared" si="24"/>
        <v>afrrincomeS1202642</v>
      </c>
      <c r="C1573" t="s">
        <v>103</v>
      </c>
      <c r="D1573" t="s">
        <v>101</v>
      </c>
      <c r="E1573" t="s">
        <v>110</v>
      </c>
      <c r="F1573">
        <v>196718.40163108229</v>
      </c>
      <c r="G1573">
        <v>2026</v>
      </c>
      <c r="H1573">
        <v>4</v>
      </c>
      <c r="I1573">
        <v>2</v>
      </c>
    </row>
    <row r="1574" spans="1:9" x14ac:dyDescent="0.35">
      <c r="A1574" t="str">
        <f t="shared" si="24"/>
        <v>afrractivation_hoursS1202642</v>
      </c>
      <c r="B1574" t="s">
        <v>95</v>
      </c>
      <c r="C1574" t="s">
        <v>103</v>
      </c>
      <c r="D1574" t="s">
        <v>115</v>
      </c>
      <c r="E1574" t="s">
        <v>110</v>
      </c>
      <c r="F1574">
        <v>8746</v>
      </c>
      <c r="G1574">
        <v>2026</v>
      </c>
      <c r="H1574">
        <v>4</v>
      </c>
      <c r="I1574">
        <v>2</v>
      </c>
    </row>
    <row r="1575" spans="1:9" x14ac:dyDescent="0.35">
      <c r="A1575" t="str">
        <f t="shared" si="24"/>
        <v>networkturpe_power_costS1202742</v>
      </c>
      <c r="B1575" t="s">
        <v>95</v>
      </c>
      <c r="C1575" t="s">
        <v>96</v>
      </c>
      <c r="D1575" t="s">
        <v>97</v>
      </c>
      <c r="E1575" t="s">
        <v>110</v>
      </c>
      <c r="F1575">
        <v>8019.4144967805441</v>
      </c>
      <c r="G1575">
        <v>2027</v>
      </c>
      <c r="H1575">
        <v>4</v>
      </c>
      <c r="I1575">
        <v>2</v>
      </c>
    </row>
    <row r="1576" spans="1:9" x14ac:dyDescent="0.35">
      <c r="A1576" t="str">
        <f t="shared" si="24"/>
        <v>networkturpe_energy_costS1202742</v>
      </c>
      <c r="C1576" t="s">
        <v>96</v>
      </c>
      <c r="D1576" t="s">
        <v>98</v>
      </c>
      <c r="E1576" t="s">
        <v>110</v>
      </c>
      <c r="F1576">
        <v>7645.7458028572573</v>
      </c>
      <c r="G1576">
        <v>2027</v>
      </c>
      <c r="H1576">
        <v>4</v>
      </c>
      <c r="I1576">
        <v>2</v>
      </c>
    </row>
    <row r="1577" spans="1:9" x14ac:dyDescent="0.35">
      <c r="A1577" t="str">
        <f t="shared" si="24"/>
        <v>DAcostS1202742</v>
      </c>
      <c r="C1577" t="s">
        <v>99</v>
      </c>
      <c r="D1577" t="s">
        <v>100</v>
      </c>
      <c r="E1577" t="s">
        <v>110</v>
      </c>
      <c r="F1577">
        <v>50811.232122307163</v>
      </c>
      <c r="G1577">
        <v>2027</v>
      </c>
      <c r="H1577">
        <v>4</v>
      </c>
      <c r="I1577">
        <v>2</v>
      </c>
    </row>
    <row r="1578" spans="1:9" x14ac:dyDescent="0.35">
      <c r="A1578" t="str">
        <f t="shared" si="24"/>
        <v>DAincomeS1202742</v>
      </c>
      <c r="C1578" t="s">
        <v>99</v>
      </c>
      <c r="D1578" t="s">
        <v>101</v>
      </c>
      <c r="E1578" t="s">
        <v>110</v>
      </c>
      <c r="F1578">
        <v>69222.108048682247</v>
      </c>
      <c r="G1578">
        <v>2027</v>
      </c>
      <c r="H1578">
        <v>4</v>
      </c>
      <c r="I1578">
        <v>2</v>
      </c>
    </row>
    <row r="1579" spans="1:9" x14ac:dyDescent="0.35">
      <c r="A1579" t="str">
        <f t="shared" si="24"/>
        <v>DAenergy_boughtS1202742</v>
      </c>
      <c r="C1579" t="s">
        <v>99</v>
      </c>
      <c r="D1579" t="s">
        <v>111</v>
      </c>
      <c r="E1579" t="s">
        <v>110</v>
      </c>
      <c r="F1579">
        <v>522.3718737232474</v>
      </c>
      <c r="G1579">
        <v>2027</v>
      </c>
      <c r="H1579">
        <v>4</v>
      </c>
      <c r="I1579">
        <v>2</v>
      </c>
    </row>
    <row r="1580" spans="1:9" x14ac:dyDescent="0.35">
      <c r="A1580" t="str">
        <f t="shared" si="24"/>
        <v>DAenergy_soldS1202742</v>
      </c>
      <c r="C1580" t="s">
        <v>99</v>
      </c>
      <c r="D1580" t="s">
        <v>112</v>
      </c>
      <c r="E1580" t="s">
        <v>110</v>
      </c>
      <c r="F1580">
        <v>409.51484502168393</v>
      </c>
      <c r="G1580">
        <v>2027</v>
      </c>
      <c r="H1580">
        <v>4</v>
      </c>
      <c r="I1580">
        <v>2</v>
      </c>
    </row>
    <row r="1581" spans="1:9" x14ac:dyDescent="0.35">
      <c r="A1581" t="str">
        <f t="shared" si="24"/>
        <v>DAhours_boughtS1202742</v>
      </c>
      <c r="C1581" t="s">
        <v>99</v>
      </c>
      <c r="D1581" t="s">
        <v>113</v>
      </c>
      <c r="E1581" t="s">
        <v>110</v>
      </c>
      <c r="F1581">
        <v>1033</v>
      </c>
      <c r="G1581">
        <v>2027</v>
      </c>
      <c r="H1581">
        <v>4</v>
      </c>
      <c r="I1581">
        <v>2</v>
      </c>
    </row>
    <row r="1582" spans="1:9" x14ac:dyDescent="0.35">
      <c r="A1582" t="str">
        <f t="shared" si="24"/>
        <v>DAhours_soldS1202742</v>
      </c>
      <c r="C1582" t="s">
        <v>99</v>
      </c>
      <c r="D1582" t="s">
        <v>114</v>
      </c>
      <c r="E1582" t="s">
        <v>110</v>
      </c>
      <c r="F1582">
        <v>192</v>
      </c>
      <c r="G1582">
        <v>2027</v>
      </c>
      <c r="H1582">
        <v>4</v>
      </c>
      <c r="I1582">
        <v>2</v>
      </c>
    </row>
    <row r="1583" spans="1:9" x14ac:dyDescent="0.35">
      <c r="A1583" t="str">
        <f t="shared" si="24"/>
        <v>DAco2_emissionS1202742</v>
      </c>
      <c r="C1583" t="s">
        <v>99</v>
      </c>
      <c r="D1583" t="s">
        <v>204</v>
      </c>
      <c r="E1583" t="s">
        <v>110</v>
      </c>
      <c r="F1583">
        <v>36566.031160627463</v>
      </c>
      <c r="G1583">
        <v>2027</v>
      </c>
      <c r="H1583">
        <v>4</v>
      </c>
      <c r="I1583">
        <v>2</v>
      </c>
    </row>
    <row r="1584" spans="1:9" x14ac:dyDescent="0.35">
      <c r="A1584" t="str">
        <f t="shared" si="24"/>
        <v>fcrincomeS1202742</v>
      </c>
      <c r="C1584" t="s">
        <v>102</v>
      </c>
      <c r="D1584" t="s">
        <v>101</v>
      </c>
      <c r="E1584" t="s">
        <v>110</v>
      </c>
      <c r="F1584">
        <v>0</v>
      </c>
      <c r="G1584">
        <v>2027</v>
      </c>
      <c r="H1584">
        <v>4</v>
      </c>
      <c r="I1584">
        <v>2</v>
      </c>
    </row>
    <row r="1585" spans="1:9" x14ac:dyDescent="0.35">
      <c r="A1585" t="str">
        <f t="shared" si="24"/>
        <v>fcractivation_hoursS1202742</v>
      </c>
      <c r="C1585" t="s">
        <v>102</v>
      </c>
      <c r="D1585" t="s">
        <v>115</v>
      </c>
      <c r="E1585" t="s">
        <v>110</v>
      </c>
      <c r="F1585">
        <v>0</v>
      </c>
      <c r="G1585">
        <v>2027</v>
      </c>
      <c r="H1585">
        <v>4</v>
      </c>
      <c r="I1585">
        <v>2</v>
      </c>
    </row>
    <row r="1586" spans="1:9" x14ac:dyDescent="0.35">
      <c r="A1586" t="str">
        <f t="shared" si="24"/>
        <v>afrrincomeS1202742</v>
      </c>
      <c r="B1586" t="s">
        <v>95</v>
      </c>
      <c r="C1586" t="s">
        <v>103</v>
      </c>
      <c r="D1586" t="s">
        <v>101</v>
      </c>
      <c r="E1586" t="s">
        <v>110</v>
      </c>
      <c r="F1586">
        <v>169168.85837140851</v>
      </c>
      <c r="G1586">
        <v>2027</v>
      </c>
      <c r="H1586">
        <v>4</v>
      </c>
      <c r="I1586">
        <v>2</v>
      </c>
    </row>
    <row r="1587" spans="1:9" x14ac:dyDescent="0.35">
      <c r="A1587" t="str">
        <f t="shared" si="24"/>
        <v>afrractivation_hoursS1202742</v>
      </c>
      <c r="B1587" t="s">
        <v>95</v>
      </c>
      <c r="C1587" t="s">
        <v>103</v>
      </c>
      <c r="D1587" t="s">
        <v>115</v>
      </c>
      <c r="E1587" t="s">
        <v>110</v>
      </c>
      <c r="F1587">
        <v>8720</v>
      </c>
      <c r="G1587">
        <v>2027</v>
      </c>
      <c r="H1587">
        <v>4</v>
      </c>
      <c r="I1587">
        <v>2</v>
      </c>
    </row>
    <row r="1588" spans="1:9" x14ac:dyDescent="0.35">
      <c r="A1588" t="str">
        <f t="shared" si="24"/>
        <v>networkturpe_power_costS1202842</v>
      </c>
      <c r="C1588" t="s">
        <v>96</v>
      </c>
      <c r="D1588" t="s">
        <v>97</v>
      </c>
      <c r="E1588" t="s">
        <v>110</v>
      </c>
      <c r="F1588">
        <v>8725.5943095948951</v>
      </c>
      <c r="G1588">
        <v>2028</v>
      </c>
      <c r="H1588">
        <v>4</v>
      </c>
      <c r="I1588">
        <v>2</v>
      </c>
    </row>
    <row r="1589" spans="1:9" x14ac:dyDescent="0.35">
      <c r="A1589" t="str">
        <f t="shared" si="24"/>
        <v>networkturpe_energy_costS1202842</v>
      </c>
      <c r="C1589" t="s">
        <v>96</v>
      </c>
      <c r="D1589" t="s">
        <v>98</v>
      </c>
      <c r="E1589" t="s">
        <v>110</v>
      </c>
      <c r="F1589">
        <v>10657.26450171121</v>
      </c>
      <c r="G1589">
        <v>2028</v>
      </c>
      <c r="H1589">
        <v>4</v>
      </c>
      <c r="I1589">
        <v>2</v>
      </c>
    </row>
    <row r="1590" spans="1:9" x14ac:dyDescent="0.35">
      <c r="A1590" t="str">
        <f t="shared" si="24"/>
        <v>DAcostS1202842</v>
      </c>
      <c r="C1590" t="s">
        <v>99</v>
      </c>
      <c r="D1590" t="s">
        <v>100</v>
      </c>
      <c r="E1590" t="s">
        <v>110</v>
      </c>
      <c r="F1590">
        <v>64551.94027373023</v>
      </c>
      <c r="G1590">
        <v>2028</v>
      </c>
      <c r="H1590">
        <v>4</v>
      </c>
      <c r="I1590">
        <v>2</v>
      </c>
    </row>
    <row r="1591" spans="1:9" x14ac:dyDescent="0.35">
      <c r="A1591" t="str">
        <f t="shared" si="24"/>
        <v>DAincomeS1202842</v>
      </c>
      <c r="C1591" t="s">
        <v>99</v>
      </c>
      <c r="D1591" t="s">
        <v>101</v>
      </c>
      <c r="E1591" t="s">
        <v>110</v>
      </c>
      <c r="F1591">
        <v>90587.577885230028</v>
      </c>
      <c r="G1591">
        <v>2028</v>
      </c>
      <c r="H1591">
        <v>4</v>
      </c>
      <c r="I1591">
        <v>2</v>
      </c>
    </row>
    <row r="1592" spans="1:9" x14ac:dyDescent="0.35">
      <c r="A1592" t="str">
        <f t="shared" si="24"/>
        <v>DAenergy_boughtS1202842</v>
      </c>
      <c r="C1592" t="s">
        <v>99</v>
      </c>
      <c r="D1592" t="s">
        <v>111</v>
      </c>
      <c r="E1592" t="s">
        <v>110</v>
      </c>
      <c r="F1592">
        <v>722.18267619563881</v>
      </c>
      <c r="G1592">
        <v>2028</v>
      </c>
      <c r="H1592">
        <v>4</v>
      </c>
      <c r="I1592">
        <v>2</v>
      </c>
    </row>
    <row r="1593" spans="1:9" x14ac:dyDescent="0.35">
      <c r="A1593" t="str">
        <f t="shared" si="24"/>
        <v>DAenergy_soldS1202842</v>
      </c>
      <c r="C1593" t="s">
        <v>99</v>
      </c>
      <c r="D1593" t="s">
        <v>112</v>
      </c>
      <c r="E1593" t="s">
        <v>110</v>
      </c>
      <c r="F1593">
        <v>571.02786495697922</v>
      </c>
      <c r="G1593">
        <v>2028</v>
      </c>
      <c r="H1593">
        <v>4</v>
      </c>
      <c r="I1593">
        <v>2</v>
      </c>
    </row>
    <row r="1594" spans="1:9" x14ac:dyDescent="0.35">
      <c r="A1594" t="str">
        <f t="shared" si="24"/>
        <v>DAhours_boughtS1202842</v>
      </c>
      <c r="C1594" t="s">
        <v>99</v>
      </c>
      <c r="D1594" t="s">
        <v>113</v>
      </c>
      <c r="E1594" t="s">
        <v>110</v>
      </c>
      <c r="F1594">
        <v>1242</v>
      </c>
      <c r="G1594">
        <v>2028</v>
      </c>
      <c r="H1594">
        <v>4</v>
      </c>
      <c r="I1594">
        <v>2</v>
      </c>
    </row>
    <row r="1595" spans="1:9" x14ac:dyDescent="0.35">
      <c r="A1595" t="str">
        <f t="shared" si="24"/>
        <v>DAhours_soldS1202842</v>
      </c>
      <c r="C1595" t="s">
        <v>99</v>
      </c>
      <c r="D1595" t="s">
        <v>114</v>
      </c>
      <c r="E1595" t="s">
        <v>110</v>
      </c>
      <c r="F1595">
        <v>249</v>
      </c>
      <c r="G1595">
        <v>2028</v>
      </c>
      <c r="H1595">
        <v>4</v>
      </c>
      <c r="I1595">
        <v>2</v>
      </c>
    </row>
    <row r="1596" spans="1:9" x14ac:dyDescent="0.35">
      <c r="A1596" t="str">
        <f t="shared" si="24"/>
        <v>DAco2_emissionS1202842</v>
      </c>
      <c r="C1596" t="s">
        <v>99</v>
      </c>
      <c r="D1596" t="s">
        <v>204</v>
      </c>
      <c r="E1596" t="s">
        <v>110</v>
      </c>
      <c r="F1596">
        <v>50552.787333694949</v>
      </c>
      <c r="G1596">
        <v>2028</v>
      </c>
      <c r="H1596">
        <v>4</v>
      </c>
      <c r="I1596">
        <v>2</v>
      </c>
    </row>
    <row r="1597" spans="1:9" x14ac:dyDescent="0.35">
      <c r="A1597" t="str">
        <f t="shared" si="24"/>
        <v>fcrincomeS1202842</v>
      </c>
      <c r="C1597" t="s">
        <v>102</v>
      </c>
      <c r="D1597" t="s">
        <v>101</v>
      </c>
      <c r="E1597" t="s">
        <v>110</v>
      </c>
      <c r="F1597">
        <v>0</v>
      </c>
      <c r="G1597">
        <v>2028</v>
      </c>
      <c r="H1597">
        <v>4</v>
      </c>
      <c r="I1597">
        <v>2</v>
      </c>
    </row>
    <row r="1598" spans="1:9" x14ac:dyDescent="0.35">
      <c r="A1598" t="str">
        <f t="shared" si="24"/>
        <v>fcractivation_hoursS1202842</v>
      </c>
      <c r="B1598" t="s">
        <v>95</v>
      </c>
      <c r="C1598" t="s">
        <v>102</v>
      </c>
      <c r="D1598" t="s">
        <v>115</v>
      </c>
      <c r="E1598" t="s">
        <v>110</v>
      </c>
      <c r="F1598">
        <v>0</v>
      </c>
      <c r="G1598">
        <v>2028</v>
      </c>
      <c r="H1598">
        <v>4</v>
      </c>
      <c r="I1598">
        <v>2</v>
      </c>
    </row>
    <row r="1599" spans="1:9" x14ac:dyDescent="0.35">
      <c r="A1599" t="str">
        <f t="shared" si="24"/>
        <v>afrrincomeS1202842</v>
      </c>
      <c r="B1599" t="s">
        <v>95</v>
      </c>
      <c r="C1599" t="s">
        <v>103</v>
      </c>
      <c r="D1599" t="s">
        <v>101</v>
      </c>
      <c r="E1599" t="s">
        <v>110</v>
      </c>
      <c r="F1599">
        <v>168736.5332899745</v>
      </c>
      <c r="G1599">
        <v>2028</v>
      </c>
      <c r="H1599">
        <v>4</v>
      </c>
      <c r="I1599">
        <v>2</v>
      </c>
    </row>
    <row r="1600" spans="1:9" x14ac:dyDescent="0.35">
      <c r="A1600" t="str">
        <f t="shared" si="24"/>
        <v>afrractivation_hoursS1202842</v>
      </c>
      <c r="C1600" t="s">
        <v>103</v>
      </c>
      <c r="D1600" t="s">
        <v>115</v>
      </c>
      <c r="E1600" t="s">
        <v>110</v>
      </c>
      <c r="F1600">
        <v>8723</v>
      </c>
      <c r="G1600">
        <v>2028</v>
      </c>
      <c r="H1600">
        <v>4</v>
      </c>
      <c r="I1600">
        <v>2</v>
      </c>
    </row>
    <row r="1601" spans="1:9" x14ac:dyDescent="0.35">
      <c r="A1601" t="str">
        <f t="shared" si="24"/>
        <v>networkturpe_power_costS1202942</v>
      </c>
      <c r="C1601" t="s">
        <v>96</v>
      </c>
      <c r="D1601" t="s">
        <v>97</v>
      </c>
      <c r="E1601" t="s">
        <v>110</v>
      </c>
      <c r="F1601">
        <v>9296.4930320756557</v>
      </c>
      <c r="G1601">
        <v>2029</v>
      </c>
      <c r="H1601">
        <v>4</v>
      </c>
      <c r="I1601">
        <v>2</v>
      </c>
    </row>
    <row r="1602" spans="1:9" x14ac:dyDescent="0.35">
      <c r="A1602" t="str">
        <f t="shared" si="24"/>
        <v>networkturpe_energy_costS1202942</v>
      </c>
      <c r="C1602" t="s">
        <v>96</v>
      </c>
      <c r="D1602" t="s">
        <v>98</v>
      </c>
      <c r="E1602" t="s">
        <v>110</v>
      </c>
      <c r="F1602">
        <v>11424.954744025499</v>
      </c>
      <c r="G1602">
        <v>2029</v>
      </c>
      <c r="H1602">
        <v>4</v>
      </c>
      <c r="I1602">
        <v>2</v>
      </c>
    </row>
    <row r="1603" spans="1:9" x14ac:dyDescent="0.35">
      <c r="A1603" t="str">
        <f t="shared" ref="A1603:A1666" si="25">C1603&amp;D1603&amp;E1603&amp;G1603&amp;H1603&amp;I1603</f>
        <v>DAcostS1202942</v>
      </c>
      <c r="C1603" t="s">
        <v>99</v>
      </c>
      <c r="D1603" t="s">
        <v>100</v>
      </c>
      <c r="E1603" t="s">
        <v>110</v>
      </c>
      <c r="F1603">
        <v>54668.074784931909</v>
      </c>
      <c r="G1603">
        <v>2029</v>
      </c>
      <c r="H1603">
        <v>4</v>
      </c>
      <c r="I1603">
        <v>2</v>
      </c>
    </row>
    <row r="1604" spans="1:9" x14ac:dyDescent="0.35">
      <c r="A1604" t="str">
        <f t="shared" si="25"/>
        <v>DAincomeS1202942</v>
      </c>
      <c r="C1604" t="s">
        <v>99</v>
      </c>
      <c r="D1604" t="s">
        <v>101</v>
      </c>
      <c r="E1604" t="s">
        <v>110</v>
      </c>
      <c r="F1604">
        <v>84135.851142795698</v>
      </c>
      <c r="G1604">
        <v>2029</v>
      </c>
      <c r="H1604">
        <v>4</v>
      </c>
      <c r="I1604">
        <v>2</v>
      </c>
    </row>
    <row r="1605" spans="1:9" x14ac:dyDescent="0.35">
      <c r="A1605" t="str">
        <f t="shared" si="25"/>
        <v>DAenergy_boughtS1202942</v>
      </c>
      <c r="C1605" t="s">
        <v>99</v>
      </c>
      <c r="D1605" t="s">
        <v>111</v>
      </c>
      <c r="E1605" t="s">
        <v>110</v>
      </c>
      <c r="F1605">
        <v>766.91313358267655</v>
      </c>
      <c r="G1605">
        <v>2029</v>
      </c>
      <c r="H1605">
        <v>4</v>
      </c>
      <c r="I1605">
        <v>2</v>
      </c>
    </row>
    <row r="1606" spans="1:9" x14ac:dyDescent="0.35">
      <c r="A1606" t="str">
        <f t="shared" si="25"/>
        <v>DAenergy_soldS1202942</v>
      </c>
      <c r="C1606" t="s">
        <v>99</v>
      </c>
      <c r="D1606" t="s">
        <v>112</v>
      </c>
      <c r="E1606" t="s">
        <v>110</v>
      </c>
      <c r="F1606">
        <v>607.22053913768082</v>
      </c>
      <c r="G1606">
        <v>2029</v>
      </c>
      <c r="H1606">
        <v>4</v>
      </c>
      <c r="I1606">
        <v>2</v>
      </c>
    </row>
    <row r="1607" spans="1:9" x14ac:dyDescent="0.35">
      <c r="A1607" t="str">
        <f t="shared" si="25"/>
        <v>DAhours_boughtS1202942</v>
      </c>
      <c r="C1607" t="s">
        <v>99</v>
      </c>
      <c r="D1607" t="s">
        <v>113</v>
      </c>
      <c r="E1607" t="s">
        <v>110</v>
      </c>
      <c r="F1607">
        <v>1333</v>
      </c>
      <c r="G1607">
        <v>2029</v>
      </c>
      <c r="H1607">
        <v>4</v>
      </c>
      <c r="I1607">
        <v>2</v>
      </c>
    </row>
    <row r="1608" spans="1:9" x14ac:dyDescent="0.35">
      <c r="A1608" t="str">
        <f t="shared" si="25"/>
        <v>DAhours_soldS1202942</v>
      </c>
      <c r="C1608" t="s">
        <v>99</v>
      </c>
      <c r="D1608" t="s">
        <v>114</v>
      </c>
      <c r="E1608" t="s">
        <v>110</v>
      </c>
      <c r="F1608">
        <v>261</v>
      </c>
      <c r="G1608">
        <v>2029</v>
      </c>
      <c r="H1608">
        <v>4</v>
      </c>
      <c r="I1608">
        <v>2</v>
      </c>
    </row>
    <row r="1609" spans="1:9" x14ac:dyDescent="0.35">
      <c r="A1609" t="str">
        <f t="shared" si="25"/>
        <v>DAco2_emissionS1202942</v>
      </c>
      <c r="C1609" t="s">
        <v>99</v>
      </c>
      <c r="D1609" t="s">
        <v>204</v>
      </c>
      <c r="E1609" t="s">
        <v>110</v>
      </c>
      <c r="F1609">
        <v>53683.919350786629</v>
      </c>
      <c r="G1609">
        <v>2029</v>
      </c>
      <c r="H1609">
        <v>4</v>
      </c>
      <c r="I1609">
        <v>2</v>
      </c>
    </row>
    <row r="1610" spans="1:9" x14ac:dyDescent="0.35">
      <c r="A1610" t="str">
        <f t="shared" si="25"/>
        <v>fcrincomeS1202942</v>
      </c>
      <c r="B1610" t="s">
        <v>95</v>
      </c>
      <c r="C1610" t="s">
        <v>102</v>
      </c>
      <c r="D1610" t="s">
        <v>101</v>
      </c>
      <c r="E1610" t="s">
        <v>110</v>
      </c>
      <c r="F1610">
        <v>0</v>
      </c>
      <c r="G1610">
        <v>2029</v>
      </c>
      <c r="H1610">
        <v>4</v>
      </c>
      <c r="I1610">
        <v>2</v>
      </c>
    </row>
    <row r="1611" spans="1:9" x14ac:dyDescent="0.35">
      <c r="A1611" t="str">
        <f t="shared" si="25"/>
        <v>fcractivation_hoursS1202942</v>
      </c>
      <c r="B1611" t="s">
        <v>95</v>
      </c>
      <c r="C1611" t="s">
        <v>102</v>
      </c>
      <c r="D1611" t="s">
        <v>115</v>
      </c>
      <c r="E1611" t="s">
        <v>110</v>
      </c>
      <c r="F1611">
        <v>0</v>
      </c>
      <c r="G1611">
        <v>2029</v>
      </c>
      <c r="H1611">
        <v>4</v>
      </c>
      <c r="I1611">
        <v>2</v>
      </c>
    </row>
    <row r="1612" spans="1:9" x14ac:dyDescent="0.35">
      <c r="A1612" t="str">
        <f t="shared" si="25"/>
        <v>afrrincomeS1202942</v>
      </c>
      <c r="C1612" t="s">
        <v>103</v>
      </c>
      <c r="D1612" t="s">
        <v>101</v>
      </c>
      <c r="E1612" t="s">
        <v>110</v>
      </c>
      <c r="F1612">
        <v>178544.685931135</v>
      </c>
      <c r="G1612">
        <v>2029</v>
      </c>
      <c r="H1612">
        <v>4</v>
      </c>
      <c r="I1612">
        <v>2</v>
      </c>
    </row>
    <row r="1613" spans="1:9" x14ac:dyDescent="0.35">
      <c r="A1613" t="str">
        <f t="shared" si="25"/>
        <v>afrractivation_hoursS1202942</v>
      </c>
      <c r="C1613" t="s">
        <v>103</v>
      </c>
      <c r="D1613" t="s">
        <v>115</v>
      </c>
      <c r="E1613" t="s">
        <v>110</v>
      </c>
      <c r="F1613">
        <v>8733</v>
      </c>
      <c r="G1613">
        <v>2029</v>
      </c>
      <c r="H1613">
        <v>4</v>
      </c>
      <c r="I1613">
        <v>2</v>
      </c>
    </row>
    <row r="1614" spans="1:9" x14ac:dyDescent="0.35">
      <c r="A1614" t="str">
        <f t="shared" si="25"/>
        <v>networkturpe_power_costS1203042</v>
      </c>
      <c r="C1614" t="s">
        <v>96</v>
      </c>
      <c r="D1614" t="s">
        <v>97</v>
      </c>
      <c r="E1614" t="s">
        <v>110</v>
      </c>
      <c r="F1614">
        <v>10937.1865692108</v>
      </c>
      <c r="G1614">
        <v>2030</v>
      </c>
      <c r="H1614">
        <v>4</v>
      </c>
      <c r="I1614">
        <v>2</v>
      </c>
    </row>
    <row r="1615" spans="1:9" x14ac:dyDescent="0.35">
      <c r="A1615" t="str">
        <f t="shared" si="25"/>
        <v>networkturpe_energy_costS1203042</v>
      </c>
      <c r="C1615" t="s">
        <v>96</v>
      </c>
      <c r="D1615" t="s">
        <v>98</v>
      </c>
      <c r="E1615" t="s">
        <v>110</v>
      </c>
      <c r="F1615">
        <v>18038.514698427301</v>
      </c>
      <c r="G1615">
        <v>2030</v>
      </c>
      <c r="H1615">
        <v>4</v>
      </c>
      <c r="I1615">
        <v>2</v>
      </c>
    </row>
    <row r="1616" spans="1:9" x14ac:dyDescent="0.35">
      <c r="A1616" t="str">
        <f t="shared" si="25"/>
        <v>DAcostS1203042</v>
      </c>
      <c r="C1616" t="s">
        <v>99</v>
      </c>
      <c r="D1616" t="s">
        <v>100</v>
      </c>
      <c r="E1616" t="s">
        <v>110</v>
      </c>
      <c r="F1616">
        <v>65007.16571252366</v>
      </c>
      <c r="G1616">
        <v>2030</v>
      </c>
      <c r="H1616">
        <v>4</v>
      </c>
      <c r="I1616">
        <v>2</v>
      </c>
    </row>
    <row r="1617" spans="1:9" x14ac:dyDescent="0.35">
      <c r="A1617" t="str">
        <f t="shared" si="25"/>
        <v>DAincomeS1203042</v>
      </c>
      <c r="C1617" t="s">
        <v>99</v>
      </c>
      <c r="D1617" t="s">
        <v>101</v>
      </c>
      <c r="E1617" t="s">
        <v>110</v>
      </c>
      <c r="F1617">
        <v>111464.48838354601</v>
      </c>
      <c r="G1617">
        <v>2030</v>
      </c>
      <c r="H1617">
        <v>4</v>
      </c>
      <c r="I1617">
        <v>2</v>
      </c>
    </row>
    <row r="1618" spans="1:9" x14ac:dyDescent="0.35">
      <c r="A1618" t="str">
        <f t="shared" si="25"/>
        <v>DAenergy_boughtS1203042</v>
      </c>
      <c r="C1618" t="s">
        <v>99</v>
      </c>
      <c r="D1618" t="s">
        <v>111</v>
      </c>
      <c r="E1618" t="s">
        <v>110</v>
      </c>
      <c r="F1618">
        <v>1175.2230190378541</v>
      </c>
      <c r="G1618">
        <v>2030</v>
      </c>
      <c r="H1618">
        <v>4</v>
      </c>
      <c r="I1618">
        <v>2</v>
      </c>
    </row>
    <row r="1619" spans="1:9" x14ac:dyDescent="0.35">
      <c r="A1619" t="str">
        <f t="shared" si="25"/>
        <v>DAenergy_soldS1203042</v>
      </c>
      <c r="C1619" t="s">
        <v>99</v>
      </c>
      <c r="D1619" t="s">
        <v>112</v>
      </c>
      <c r="E1619" t="s">
        <v>110</v>
      </c>
      <c r="F1619">
        <v>937.89143146068284</v>
      </c>
      <c r="G1619">
        <v>2030</v>
      </c>
      <c r="H1619">
        <v>4</v>
      </c>
      <c r="I1619">
        <v>2</v>
      </c>
    </row>
    <row r="1620" spans="1:9" x14ac:dyDescent="0.35">
      <c r="A1620" t="str">
        <f t="shared" si="25"/>
        <v>DAhours_boughtS1203042</v>
      </c>
      <c r="C1620" t="s">
        <v>99</v>
      </c>
      <c r="D1620" t="s">
        <v>113</v>
      </c>
      <c r="E1620" t="s">
        <v>110</v>
      </c>
      <c r="F1620">
        <v>1770</v>
      </c>
      <c r="G1620">
        <v>2030</v>
      </c>
      <c r="H1620">
        <v>4</v>
      </c>
      <c r="I1620">
        <v>2</v>
      </c>
    </row>
    <row r="1621" spans="1:9" x14ac:dyDescent="0.35">
      <c r="A1621" t="str">
        <f t="shared" si="25"/>
        <v>DAhours_soldS1203042</v>
      </c>
      <c r="C1621" t="s">
        <v>99</v>
      </c>
      <c r="D1621" t="s">
        <v>114</v>
      </c>
      <c r="E1621" t="s">
        <v>110</v>
      </c>
      <c r="F1621">
        <v>386</v>
      </c>
      <c r="G1621">
        <v>2030</v>
      </c>
      <c r="H1621">
        <v>4</v>
      </c>
      <c r="I1621">
        <v>2</v>
      </c>
    </row>
    <row r="1622" spans="1:9" x14ac:dyDescent="0.35">
      <c r="A1622" t="str">
        <f t="shared" si="25"/>
        <v>DAco2_emissionS1203042</v>
      </c>
      <c r="B1622" t="s">
        <v>95</v>
      </c>
      <c r="C1622" t="s">
        <v>99</v>
      </c>
      <c r="D1622" t="s">
        <v>204</v>
      </c>
      <c r="E1622" t="s">
        <v>110</v>
      </c>
      <c r="F1622">
        <v>82265.611332649467</v>
      </c>
      <c r="G1622">
        <v>2030</v>
      </c>
      <c r="H1622">
        <v>4</v>
      </c>
      <c r="I1622">
        <v>2</v>
      </c>
    </row>
    <row r="1623" spans="1:9" x14ac:dyDescent="0.35">
      <c r="A1623" t="str">
        <f t="shared" si="25"/>
        <v>fcrincomeS1203042</v>
      </c>
      <c r="B1623" t="s">
        <v>95</v>
      </c>
      <c r="C1623" t="s">
        <v>102</v>
      </c>
      <c r="D1623" t="s">
        <v>101</v>
      </c>
      <c r="E1623" t="s">
        <v>110</v>
      </c>
      <c r="F1623">
        <v>1.8941931573378401</v>
      </c>
      <c r="G1623">
        <v>2030</v>
      </c>
      <c r="H1623">
        <v>4</v>
      </c>
      <c r="I1623">
        <v>2</v>
      </c>
    </row>
    <row r="1624" spans="1:9" x14ac:dyDescent="0.35">
      <c r="A1624" t="str">
        <f t="shared" si="25"/>
        <v>fcractivation_hoursS1203042</v>
      </c>
      <c r="C1624" t="s">
        <v>102</v>
      </c>
      <c r="D1624" t="s">
        <v>115</v>
      </c>
      <c r="E1624" t="s">
        <v>110</v>
      </c>
      <c r="F1624">
        <v>12</v>
      </c>
      <c r="G1624">
        <v>2030</v>
      </c>
      <c r="H1624">
        <v>4</v>
      </c>
      <c r="I1624">
        <v>2</v>
      </c>
    </row>
    <row r="1625" spans="1:9" x14ac:dyDescent="0.35">
      <c r="A1625" t="str">
        <f t="shared" si="25"/>
        <v>afrrincomeS1203042</v>
      </c>
      <c r="C1625" t="s">
        <v>103</v>
      </c>
      <c r="D1625" t="s">
        <v>101</v>
      </c>
      <c r="E1625" t="s">
        <v>110</v>
      </c>
      <c r="F1625">
        <v>105137.6112791145</v>
      </c>
      <c r="G1625">
        <v>2030</v>
      </c>
      <c r="H1625">
        <v>4</v>
      </c>
      <c r="I1625">
        <v>2</v>
      </c>
    </row>
    <row r="1626" spans="1:9" x14ac:dyDescent="0.35">
      <c r="A1626" t="str">
        <f t="shared" si="25"/>
        <v>afrractivation_hoursS1203042</v>
      </c>
      <c r="C1626" t="s">
        <v>103</v>
      </c>
      <c r="D1626" t="s">
        <v>115</v>
      </c>
      <c r="E1626" t="s">
        <v>110</v>
      </c>
      <c r="F1626">
        <v>8596</v>
      </c>
      <c r="G1626">
        <v>2030</v>
      </c>
      <c r="H1626">
        <v>4</v>
      </c>
      <c r="I1626">
        <v>2</v>
      </c>
    </row>
    <row r="1627" spans="1:9" x14ac:dyDescent="0.35">
      <c r="A1627" t="str">
        <f t="shared" si="25"/>
        <v>networkturpe_power_costS1203142</v>
      </c>
      <c r="C1627" t="s">
        <v>96</v>
      </c>
      <c r="D1627" t="s">
        <v>97</v>
      </c>
      <c r="E1627" t="s">
        <v>110</v>
      </c>
      <c r="F1627">
        <v>10637.97117595971</v>
      </c>
      <c r="G1627">
        <v>2031</v>
      </c>
      <c r="H1627">
        <v>4</v>
      </c>
      <c r="I1627">
        <v>2</v>
      </c>
    </row>
    <row r="1628" spans="1:9" x14ac:dyDescent="0.35">
      <c r="A1628" t="str">
        <f t="shared" si="25"/>
        <v>networkturpe_energy_costS1203142</v>
      </c>
      <c r="C1628" t="s">
        <v>96</v>
      </c>
      <c r="D1628" t="s">
        <v>98</v>
      </c>
      <c r="E1628" t="s">
        <v>110</v>
      </c>
      <c r="F1628">
        <v>17624.404234373629</v>
      </c>
      <c r="G1628">
        <v>2031</v>
      </c>
      <c r="H1628">
        <v>4</v>
      </c>
      <c r="I1628">
        <v>2</v>
      </c>
    </row>
    <row r="1629" spans="1:9" x14ac:dyDescent="0.35">
      <c r="A1629" t="str">
        <f t="shared" si="25"/>
        <v>DAcostS1203142</v>
      </c>
      <c r="C1629" t="s">
        <v>99</v>
      </c>
      <c r="D1629" t="s">
        <v>100</v>
      </c>
      <c r="E1629" t="s">
        <v>110</v>
      </c>
      <c r="F1629">
        <v>53797.542565516233</v>
      </c>
      <c r="G1629">
        <v>2031</v>
      </c>
      <c r="H1629">
        <v>4</v>
      </c>
      <c r="I1629">
        <v>2</v>
      </c>
    </row>
    <row r="1630" spans="1:9" x14ac:dyDescent="0.35">
      <c r="A1630" t="str">
        <f t="shared" si="25"/>
        <v>DAincomeS1203142</v>
      </c>
      <c r="C1630" t="s">
        <v>99</v>
      </c>
      <c r="D1630" t="s">
        <v>101</v>
      </c>
      <c r="E1630" t="s">
        <v>110</v>
      </c>
      <c r="F1630">
        <v>99058.075489540963</v>
      </c>
      <c r="G1630">
        <v>2031</v>
      </c>
      <c r="H1630">
        <v>4</v>
      </c>
      <c r="I1630">
        <v>2</v>
      </c>
    </row>
    <row r="1631" spans="1:9" x14ac:dyDescent="0.35">
      <c r="A1631" t="str">
        <f t="shared" si="25"/>
        <v>DAenergy_boughtS1203142</v>
      </c>
      <c r="C1631" t="s">
        <v>99</v>
      </c>
      <c r="D1631" t="s">
        <v>111</v>
      </c>
      <c r="E1631" t="s">
        <v>110</v>
      </c>
      <c r="F1631">
        <v>1142.1278071007689</v>
      </c>
      <c r="G1631">
        <v>2031</v>
      </c>
      <c r="H1631">
        <v>4</v>
      </c>
      <c r="I1631">
        <v>2</v>
      </c>
    </row>
    <row r="1632" spans="1:9" x14ac:dyDescent="0.35">
      <c r="A1632" t="str">
        <f t="shared" si="25"/>
        <v>DAenergy_soldS1203142</v>
      </c>
      <c r="C1632" t="s">
        <v>99</v>
      </c>
      <c r="D1632" t="s">
        <v>112</v>
      </c>
      <c r="E1632" t="s">
        <v>110</v>
      </c>
      <c r="F1632">
        <v>911.49191548461545</v>
      </c>
      <c r="G1632">
        <v>2031</v>
      </c>
      <c r="H1632">
        <v>4</v>
      </c>
      <c r="I1632">
        <v>2</v>
      </c>
    </row>
    <row r="1633" spans="1:9" x14ac:dyDescent="0.35">
      <c r="A1633" t="str">
        <f t="shared" si="25"/>
        <v>DAhours_boughtS1203142</v>
      </c>
      <c r="C1633" t="s">
        <v>99</v>
      </c>
      <c r="D1633" t="s">
        <v>113</v>
      </c>
      <c r="E1633" t="s">
        <v>110</v>
      </c>
      <c r="F1633">
        <v>1707</v>
      </c>
      <c r="G1633">
        <v>2031</v>
      </c>
      <c r="H1633">
        <v>4</v>
      </c>
      <c r="I1633">
        <v>2</v>
      </c>
    </row>
    <row r="1634" spans="1:9" x14ac:dyDescent="0.35">
      <c r="A1634" t="str">
        <f t="shared" si="25"/>
        <v>DAhours_soldS1203142</v>
      </c>
      <c r="B1634" t="s">
        <v>95</v>
      </c>
      <c r="C1634" t="s">
        <v>99</v>
      </c>
      <c r="D1634" t="s">
        <v>114</v>
      </c>
      <c r="E1634" t="s">
        <v>110</v>
      </c>
      <c r="F1634">
        <v>414</v>
      </c>
      <c r="G1634">
        <v>2031</v>
      </c>
      <c r="H1634">
        <v>4</v>
      </c>
      <c r="I1634">
        <v>2</v>
      </c>
    </row>
    <row r="1635" spans="1:9" x14ac:dyDescent="0.35">
      <c r="A1635" t="str">
        <f t="shared" si="25"/>
        <v>DAco2_emissionS1203142</v>
      </c>
      <c r="B1635" t="s">
        <v>95</v>
      </c>
      <c r="C1635" t="s">
        <v>99</v>
      </c>
      <c r="D1635" t="s">
        <v>204</v>
      </c>
      <c r="E1635" t="s">
        <v>110</v>
      </c>
      <c r="F1635">
        <v>79948.946497053606</v>
      </c>
      <c r="G1635">
        <v>2031</v>
      </c>
      <c r="H1635">
        <v>4</v>
      </c>
      <c r="I1635">
        <v>2</v>
      </c>
    </row>
    <row r="1636" spans="1:9" x14ac:dyDescent="0.35">
      <c r="A1636" t="str">
        <f t="shared" si="25"/>
        <v>fcrincomeS1203142</v>
      </c>
      <c r="C1636" t="s">
        <v>102</v>
      </c>
      <c r="D1636" t="s">
        <v>101</v>
      </c>
      <c r="E1636" t="s">
        <v>110</v>
      </c>
      <c r="F1636">
        <v>0.73334007283181435</v>
      </c>
      <c r="G1636">
        <v>2031</v>
      </c>
      <c r="H1636">
        <v>4</v>
      </c>
      <c r="I1636">
        <v>2</v>
      </c>
    </row>
    <row r="1637" spans="1:9" x14ac:dyDescent="0.35">
      <c r="A1637" t="str">
        <f t="shared" si="25"/>
        <v>fcractivation_hoursS1203142</v>
      </c>
      <c r="C1637" t="s">
        <v>102</v>
      </c>
      <c r="D1637" t="s">
        <v>115</v>
      </c>
      <c r="E1637" t="s">
        <v>110</v>
      </c>
      <c r="F1637">
        <v>4</v>
      </c>
      <c r="G1637">
        <v>2031</v>
      </c>
      <c r="H1637">
        <v>4</v>
      </c>
      <c r="I1637">
        <v>2</v>
      </c>
    </row>
    <row r="1638" spans="1:9" x14ac:dyDescent="0.35">
      <c r="A1638" t="str">
        <f t="shared" si="25"/>
        <v>afrrincomeS1203142</v>
      </c>
      <c r="C1638" t="s">
        <v>103</v>
      </c>
      <c r="D1638" t="s">
        <v>101</v>
      </c>
      <c r="E1638" t="s">
        <v>110</v>
      </c>
      <c r="F1638">
        <v>105843.5404436894</v>
      </c>
      <c r="G1638">
        <v>2031</v>
      </c>
      <c r="H1638">
        <v>4</v>
      </c>
      <c r="I1638">
        <v>2</v>
      </c>
    </row>
    <row r="1639" spans="1:9" x14ac:dyDescent="0.35">
      <c r="A1639" t="str">
        <f t="shared" si="25"/>
        <v>afrractivation_hoursS1203142</v>
      </c>
      <c r="C1639" t="s">
        <v>103</v>
      </c>
      <c r="D1639" t="s">
        <v>115</v>
      </c>
      <c r="E1639" t="s">
        <v>110</v>
      </c>
      <c r="F1639">
        <v>8556</v>
      </c>
      <c r="G1639">
        <v>2031</v>
      </c>
      <c r="H1639">
        <v>4</v>
      </c>
      <c r="I1639">
        <v>2</v>
      </c>
    </row>
    <row r="1640" spans="1:9" x14ac:dyDescent="0.35">
      <c r="A1640" t="str">
        <f t="shared" si="25"/>
        <v>networkturpe_power_costS1203242</v>
      </c>
      <c r="C1640" t="s">
        <v>96</v>
      </c>
      <c r="D1640" t="s">
        <v>97</v>
      </c>
      <c r="E1640" t="s">
        <v>110</v>
      </c>
      <c r="F1640">
        <v>10333.00439543199</v>
      </c>
      <c r="G1640">
        <v>2032</v>
      </c>
      <c r="H1640">
        <v>4</v>
      </c>
      <c r="I1640">
        <v>2</v>
      </c>
    </row>
    <row r="1641" spans="1:9" x14ac:dyDescent="0.35">
      <c r="A1641" t="str">
        <f t="shared" si="25"/>
        <v>networkturpe_energy_costS1203242</v>
      </c>
      <c r="C1641" t="s">
        <v>96</v>
      </c>
      <c r="D1641" t="s">
        <v>98</v>
      </c>
      <c r="E1641" t="s">
        <v>110</v>
      </c>
      <c r="F1641">
        <v>16271.759583255111</v>
      </c>
      <c r="G1641">
        <v>2032</v>
      </c>
      <c r="H1641">
        <v>4</v>
      </c>
      <c r="I1641">
        <v>2</v>
      </c>
    </row>
    <row r="1642" spans="1:9" x14ac:dyDescent="0.35">
      <c r="A1642" t="str">
        <f t="shared" si="25"/>
        <v>DAcostS1203242</v>
      </c>
      <c r="C1642" t="s">
        <v>99</v>
      </c>
      <c r="D1642" t="s">
        <v>100</v>
      </c>
      <c r="E1642" t="s">
        <v>110</v>
      </c>
      <c r="F1642">
        <v>51661.824233586587</v>
      </c>
      <c r="G1642">
        <v>2032</v>
      </c>
      <c r="H1642">
        <v>4</v>
      </c>
      <c r="I1642">
        <v>2</v>
      </c>
    </row>
    <row r="1643" spans="1:9" x14ac:dyDescent="0.35">
      <c r="A1643" t="str">
        <f t="shared" si="25"/>
        <v>DAincomeS1203242</v>
      </c>
      <c r="C1643" t="s">
        <v>99</v>
      </c>
      <c r="D1643" t="s">
        <v>101</v>
      </c>
      <c r="E1643" t="s">
        <v>110</v>
      </c>
      <c r="F1643">
        <v>97086.864858931222</v>
      </c>
      <c r="G1643">
        <v>2032</v>
      </c>
      <c r="H1643">
        <v>4</v>
      </c>
      <c r="I1643">
        <v>2</v>
      </c>
    </row>
    <row r="1644" spans="1:9" x14ac:dyDescent="0.35">
      <c r="A1644" t="str">
        <f t="shared" si="25"/>
        <v>DAenergy_boughtS1203242</v>
      </c>
      <c r="C1644" t="s">
        <v>99</v>
      </c>
      <c r="D1644" t="s">
        <v>111</v>
      </c>
      <c r="E1644" t="s">
        <v>110</v>
      </c>
      <c r="F1644">
        <v>1107.259737213408</v>
      </c>
      <c r="G1644">
        <v>2032</v>
      </c>
      <c r="H1644">
        <v>4</v>
      </c>
      <c r="I1644">
        <v>2</v>
      </c>
    </row>
    <row r="1645" spans="1:9" x14ac:dyDescent="0.35">
      <c r="A1645" t="str">
        <f t="shared" si="25"/>
        <v>DAenergy_soldS1203242</v>
      </c>
      <c r="C1645" t="s">
        <v>99</v>
      </c>
      <c r="D1645" t="s">
        <v>112</v>
      </c>
      <c r="E1645" t="s">
        <v>110</v>
      </c>
      <c r="F1645">
        <v>883.82692879193905</v>
      </c>
      <c r="G1645">
        <v>2032</v>
      </c>
      <c r="H1645">
        <v>4</v>
      </c>
      <c r="I1645">
        <v>2</v>
      </c>
    </row>
    <row r="1646" spans="1:9" x14ac:dyDescent="0.35">
      <c r="A1646" t="str">
        <f t="shared" si="25"/>
        <v>DAhours_boughtS1203242</v>
      </c>
      <c r="B1646" t="s">
        <v>95</v>
      </c>
      <c r="C1646" t="s">
        <v>99</v>
      </c>
      <c r="D1646" t="s">
        <v>113</v>
      </c>
      <c r="E1646" t="s">
        <v>110</v>
      </c>
      <c r="F1646">
        <v>1787</v>
      </c>
      <c r="G1646">
        <v>2032</v>
      </c>
      <c r="H1646">
        <v>4</v>
      </c>
      <c r="I1646">
        <v>2</v>
      </c>
    </row>
    <row r="1647" spans="1:9" x14ac:dyDescent="0.35">
      <c r="A1647" t="str">
        <f t="shared" si="25"/>
        <v>DAhours_soldS1203242</v>
      </c>
      <c r="B1647" t="s">
        <v>95</v>
      </c>
      <c r="C1647" t="s">
        <v>99</v>
      </c>
      <c r="D1647" t="s">
        <v>114</v>
      </c>
      <c r="E1647" t="s">
        <v>110</v>
      </c>
      <c r="F1647">
        <v>416</v>
      </c>
      <c r="G1647">
        <v>2032</v>
      </c>
      <c r="H1647">
        <v>4</v>
      </c>
      <c r="I1647">
        <v>2</v>
      </c>
    </row>
    <row r="1648" spans="1:9" x14ac:dyDescent="0.35">
      <c r="A1648" t="str">
        <f t="shared" si="25"/>
        <v>DAco2_emissionS1203242</v>
      </c>
      <c r="C1648" t="s">
        <v>99</v>
      </c>
      <c r="D1648" t="s">
        <v>204</v>
      </c>
      <c r="E1648" t="s">
        <v>110</v>
      </c>
      <c r="F1648">
        <v>77508.181604938669</v>
      </c>
      <c r="G1648">
        <v>2032</v>
      </c>
      <c r="H1648">
        <v>4</v>
      </c>
      <c r="I1648">
        <v>2</v>
      </c>
    </row>
    <row r="1649" spans="1:9" x14ac:dyDescent="0.35">
      <c r="A1649" t="str">
        <f t="shared" si="25"/>
        <v>fcrincomeS1203242</v>
      </c>
      <c r="C1649" t="s">
        <v>102</v>
      </c>
      <c r="D1649" t="s">
        <v>101</v>
      </c>
      <c r="E1649" t="s">
        <v>110</v>
      </c>
      <c r="F1649">
        <v>21.845757610894331</v>
      </c>
      <c r="G1649">
        <v>2032</v>
      </c>
      <c r="H1649">
        <v>4</v>
      </c>
      <c r="I1649">
        <v>2</v>
      </c>
    </row>
    <row r="1650" spans="1:9" x14ac:dyDescent="0.35">
      <c r="A1650" t="str">
        <f t="shared" si="25"/>
        <v>fcractivation_hoursS1203242</v>
      </c>
      <c r="C1650" t="s">
        <v>102</v>
      </c>
      <c r="D1650" t="s">
        <v>115</v>
      </c>
      <c r="E1650" t="s">
        <v>110</v>
      </c>
      <c r="F1650">
        <v>16</v>
      </c>
      <c r="G1650">
        <v>2032</v>
      </c>
      <c r="H1650">
        <v>4</v>
      </c>
      <c r="I1650">
        <v>2</v>
      </c>
    </row>
    <row r="1651" spans="1:9" x14ac:dyDescent="0.35">
      <c r="A1651" t="str">
        <f t="shared" si="25"/>
        <v>afrrincomeS1203242</v>
      </c>
      <c r="C1651" t="s">
        <v>103</v>
      </c>
      <c r="D1651" t="s">
        <v>101</v>
      </c>
      <c r="E1651" t="s">
        <v>110</v>
      </c>
      <c r="F1651">
        <v>104854.4359328593</v>
      </c>
      <c r="G1651">
        <v>2032</v>
      </c>
      <c r="H1651">
        <v>4</v>
      </c>
      <c r="I1651">
        <v>2</v>
      </c>
    </row>
    <row r="1652" spans="1:9" x14ac:dyDescent="0.35">
      <c r="A1652" t="str">
        <f t="shared" si="25"/>
        <v>afrractivation_hoursS1203242</v>
      </c>
      <c r="C1652" t="s">
        <v>103</v>
      </c>
      <c r="D1652" t="s">
        <v>115</v>
      </c>
      <c r="E1652" t="s">
        <v>110</v>
      </c>
      <c r="F1652">
        <v>8488</v>
      </c>
      <c r="G1652">
        <v>2032</v>
      </c>
      <c r="H1652">
        <v>4</v>
      </c>
      <c r="I1652">
        <v>2</v>
      </c>
    </row>
    <row r="1653" spans="1:9" x14ac:dyDescent="0.35">
      <c r="A1653" t="str">
        <f t="shared" si="25"/>
        <v>networkturpe_power_costS1203342</v>
      </c>
      <c r="C1653" t="s">
        <v>96</v>
      </c>
      <c r="D1653" t="s">
        <v>97</v>
      </c>
      <c r="E1653" t="s">
        <v>110</v>
      </c>
      <c r="F1653">
        <v>9702.9513616334807</v>
      </c>
      <c r="G1653">
        <v>2033</v>
      </c>
      <c r="H1653">
        <v>4</v>
      </c>
      <c r="I1653">
        <v>2</v>
      </c>
    </row>
    <row r="1654" spans="1:9" x14ac:dyDescent="0.35">
      <c r="A1654" t="str">
        <f t="shared" si="25"/>
        <v>networkturpe_energy_costS1203342</v>
      </c>
      <c r="C1654" t="s">
        <v>96</v>
      </c>
      <c r="D1654" t="s">
        <v>98</v>
      </c>
      <c r="E1654" t="s">
        <v>110</v>
      </c>
      <c r="F1654">
        <v>15323.11793783547</v>
      </c>
      <c r="G1654">
        <v>2033</v>
      </c>
      <c r="H1654">
        <v>4</v>
      </c>
      <c r="I1654">
        <v>2</v>
      </c>
    </row>
    <row r="1655" spans="1:9" x14ac:dyDescent="0.35">
      <c r="A1655" t="str">
        <f t="shared" si="25"/>
        <v>DAcostS1203342</v>
      </c>
      <c r="C1655" t="s">
        <v>99</v>
      </c>
      <c r="D1655" t="s">
        <v>100</v>
      </c>
      <c r="E1655" t="s">
        <v>110</v>
      </c>
      <c r="F1655">
        <v>47304.418036268537</v>
      </c>
      <c r="G1655">
        <v>2033</v>
      </c>
      <c r="H1655">
        <v>4</v>
      </c>
      <c r="I1655">
        <v>2</v>
      </c>
    </row>
    <row r="1656" spans="1:9" x14ac:dyDescent="0.35">
      <c r="A1656" t="str">
        <f t="shared" si="25"/>
        <v>DAincomeS1203342</v>
      </c>
      <c r="C1656" t="s">
        <v>99</v>
      </c>
      <c r="D1656" t="s">
        <v>101</v>
      </c>
      <c r="E1656" t="s">
        <v>110</v>
      </c>
      <c r="F1656">
        <v>89051.788327410919</v>
      </c>
      <c r="G1656">
        <v>2033</v>
      </c>
      <c r="H1656">
        <v>4</v>
      </c>
      <c r="I1656">
        <v>2</v>
      </c>
    </row>
    <row r="1657" spans="1:9" x14ac:dyDescent="0.35">
      <c r="A1657" t="str">
        <f t="shared" si="25"/>
        <v>DAenergy_boughtS1203342</v>
      </c>
      <c r="C1657" t="s">
        <v>99</v>
      </c>
      <c r="D1657" t="s">
        <v>111</v>
      </c>
      <c r="E1657" t="s">
        <v>110</v>
      </c>
      <c r="F1657">
        <v>1030.7182015244091</v>
      </c>
      <c r="G1657">
        <v>2033</v>
      </c>
      <c r="H1657">
        <v>4</v>
      </c>
      <c r="I1657">
        <v>2</v>
      </c>
    </row>
    <row r="1658" spans="1:9" x14ac:dyDescent="0.35">
      <c r="A1658" t="str">
        <f t="shared" si="25"/>
        <v>DAenergy_soldS1203342</v>
      </c>
      <c r="B1658" t="s">
        <v>95</v>
      </c>
      <c r="C1658" t="s">
        <v>99</v>
      </c>
      <c r="D1658" t="s">
        <v>112</v>
      </c>
      <c r="E1658" t="s">
        <v>110</v>
      </c>
      <c r="F1658">
        <v>822.12107353660042</v>
      </c>
      <c r="G1658">
        <v>2033</v>
      </c>
      <c r="H1658">
        <v>4</v>
      </c>
      <c r="I1658">
        <v>2</v>
      </c>
    </row>
    <row r="1659" spans="1:9" x14ac:dyDescent="0.35">
      <c r="A1659" t="str">
        <f t="shared" si="25"/>
        <v>DAhours_boughtS1203342</v>
      </c>
      <c r="B1659" t="s">
        <v>95</v>
      </c>
      <c r="C1659" t="s">
        <v>99</v>
      </c>
      <c r="D1659" t="s">
        <v>113</v>
      </c>
      <c r="E1659" t="s">
        <v>110</v>
      </c>
      <c r="F1659">
        <v>1778</v>
      </c>
      <c r="G1659">
        <v>2033</v>
      </c>
      <c r="H1659">
        <v>4</v>
      </c>
      <c r="I1659">
        <v>2</v>
      </c>
    </row>
    <row r="1660" spans="1:9" x14ac:dyDescent="0.35">
      <c r="A1660" t="str">
        <f t="shared" si="25"/>
        <v>DAhours_soldS1203342</v>
      </c>
      <c r="C1660" t="s">
        <v>99</v>
      </c>
      <c r="D1660" t="s">
        <v>114</v>
      </c>
      <c r="E1660" t="s">
        <v>110</v>
      </c>
      <c r="F1660">
        <v>410</v>
      </c>
      <c r="G1660">
        <v>2033</v>
      </c>
      <c r="H1660">
        <v>4</v>
      </c>
      <c r="I1660">
        <v>2</v>
      </c>
    </row>
    <row r="1661" spans="1:9" x14ac:dyDescent="0.35">
      <c r="A1661" t="str">
        <f t="shared" si="25"/>
        <v>DAco2_emissionS1203342</v>
      </c>
      <c r="C1661" t="s">
        <v>99</v>
      </c>
      <c r="D1661" t="s">
        <v>204</v>
      </c>
      <c r="E1661" t="s">
        <v>110</v>
      </c>
      <c r="F1661">
        <v>72150.274106708792</v>
      </c>
      <c r="G1661">
        <v>2033</v>
      </c>
      <c r="H1661">
        <v>4</v>
      </c>
      <c r="I1661">
        <v>2</v>
      </c>
    </row>
    <row r="1662" spans="1:9" x14ac:dyDescent="0.35">
      <c r="A1662" t="str">
        <f t="shared" si="25"/>
        <v>fcrincomeS1203342</v>
      </c>
      <c r="C1662" t="s">
        <v>102</v>
      </c>
      <c r="D1662" t="s">
        <v>101</v>
      </c>
      <c r="E1662" t="s">
        <v>110</v>
      </c>
      <c r="F1662">
        <v>9.4159185113711459</v>
      </c>
      <c r="G1662">
        <v>2033</v>
      </c>
      <c r="H1662">
        <v>4</v>
      </c>
      <c r="I1662">
        <v>2</v>
      </c>
    </row>
    <row r="1663" spans="1:9" x14ac:dyDescent="0.35">
      <c r="A1663" t="str">
        <f t="shared" si="25"/>
        <v>fcractivation_hoursS1203342</v>
      </c>
      <c r="C1663" t="s">
        <v>102</v>
      </c>
      <c r="D1663" t="s">
        <v>115</v>
      </c>
      <c r="E1663" t="s">
        <v>110</v>
      </c>
      <c r="F1663">
        <v>12</v>
      </c>
      <c r="G1663">
        <v>2033</v>
      </c>
      <c r="H1663">
        <v>4</v>
      </c>
      <c r="I1663">
        <v>2</v>
      </c>
    </row>
    <row r="1664" spans="1:9" x14ac:dyDescent="0.35">
      <c r="A1664" t="str">
        <f t="shared" si="25"/>
        <v>afrrincomeS1203342</v>
      </c>
      <c r="C1664" t="s">
        <v>103</v>
      </c>
      <c r="D1664" t="s">
        <v>101</v>
      </c>
      <c r="E1664" t="s">
        <v>110</v>
      </c>
      <c r="F1664">
        <v>108135.1182661161</v>
      </c>
      <c r="G1664">
        <v>2033</v>
      </c>
      <c r="H1664">
        <v>4</v>
      </c>
      <c r="I1664">
        <v>2</v>
      </c>
    </row>
    <row r="1665" spans="1:9" x14ac:dyDescent="0.35">
      <c r="A1665" t="str">
        <f t="shared" si="25"/>
        <v>afrractivation_hoursS1203342</v>
      </c>
      <c r="C1665" t="s">
        <v>103</v>
      </c>
      <c r="D1665" t="s">
        <v>115</v>
      </c>
      <c r="E1665" t="s">
        <v>110</v>
      </c>
      <c r="F1665">
        <v>8533</v>
      </c>
      <c r="G1665">
        <v>2033</v>
      </c>
      <c r="H1665">
        <v>4</v>
      </c>
      <c r="I1665">
        <v>2</v>
      </c>
    </row>
    <row r="1666" spans="1:9" x14ac:dyDescent="0.35">
      <c r="A1666" t="str">
        <f t="shared" si="25"/>
        <v>networkturpe_power_costS1203442</v>
      </c>
      <c r="C1666" t="s">
        <v>96</v>
      </c>
      <c r="D1666" t="s">
        <v>97</v>
      </c>
      <c r="E1666" t="s">
        <v>110</v>
      </c>
      <c r="F1666">
        <v>9727.9663820041205</v>
      </c>
      <c r="G1666">
        <v>2034</v>
      </c>
      <c r="H1666">
        <v>4</v>
      </c>
      <c r="I1666">
        <v>2</v>
      </c>
    </row>
    <row r="1667" spans="1:9" x14ac:dyDescent="0.35">
      <c r="A1667" t="str">
        <f t="shared" ref="A1667:A1730" si="26">C1667&amp;D1667&amp;E1667&amp;G1667&amp;H1667&amp;I1667</f>
        <v>networkturpe_energy_costS1203442</v>
      </c>
      <c r="C1667" t="s">
        <v>96</v>
      </c>
      <c r="D1667" t="s">
        <v>98</v>
      </c>
      <c r="E1667" t="s">
        <v>110</v>
      </c>
      <c r="F1667">
        <v>16286.77180952139</v>
      </c>
      <c r="G1667">
        <v>2034</v>
      </c>
      <c r="H1667">
        <v>4</v>
      </c>
      <c r="I1667">
        <v>2</v>
      </c>
    </row>
    <row r="1668" spans="1:9" x14ac:dyDescent="0.35">
      <c r="A1668" t="str">
        <f t="shared" si="26"/>
        <v>DAcostS1203442</v>
      </c>
      <c r="C1668" t="s">
        <v>99</v>
      </c>
      <c r="D1668" t="s">
        <v>100</v>
      </c>
      <c r="E1668" t="s">
        <v>110</v>
      </c>
      <c r="F1668">
        <v>48756.196409906363</v>
      </c>
      <c r="G1668">
        <v>2034</v>
      </c>
      <c r="H1668">
        <v>4</v>
      </c>
      <c r="I1668">
        <v>2</v>
      </c>
    </row>
    <row r="1669" spans="1:9" x14ac:dyDescent="0.35">
      <c r="A1669" t="str">
        <f t="shared" si="26"/>
        <v>DAincomeS1203442</v>
      </c>
      <c r="C1669" t="s">
        <v>99</v>
      </c>
      <c r="D1669" t="s">
        <v>101</v>
      </c>
      <c r="E1669" t="s">
        <v>110</v>
      </c>
      <c r="F1669">
        <v>92149.050391955039</v>
      </c>
      <c r="G1669">
        <v>2034</v>
      </c>
      <c r="H1669">
        <v>4</v>
      </c>
      <c r="I1669">
        <v>2</v>
      </c>
    </row>
    <row r="1670" spans="1:9" x14ac:dyDescent="0.35">
      <c r="A1670" t="str">
        <f t="shared" si="26"/>
        <v>DAenergy_boughtS1203442</v>
      </c>
      <c r="B1670" t="s">
        <v>95</v>
      </c>
      <c r="C1670" t="s">
        <v>99</v>
      </c>
      <c r="D1670" t="s">
        <v>111</v>
      </c>
      <c r="E1670" t="s">
        <v>110</v>
      </c>
      <c r="F1670">
        <v>1047.8340056859361</v>
      </c>
      <c r="G1670">
        <v>2034</v>
      </c>
      <c r="H1670">
        <v>4</v>
      </c>
      <c r="I1670">
        <v>2</v>
      </c>
    </row>
    <row r="1671" spans="1:9" x14ac:dyDescent="0.35">
      <c r="A1671" t="str">
        <f t="shared" si="26"/>
        <v>DAenergy_soldS1203442</v>
      </c>
      <c r="B1671" t="s">
        <v>95</v>
      </c>
      <c r="C1671" t="s">
        <v>99</v>
      </c>
      <c r="D1671" t="s">
        <v>112</v>
      </c>
      <c r="E1671" t="s">
        <v>110</v>
      </c>
      <c r="F1671">
        <v>836.36943758858763</v>
      </c>
      <c r="G1671">
        <v>2034</v>
      </c>
      <c r="H1671">
        <v>4</v>
      </c>
      <c r="I1671">
        <v>2</v>
      </c>
    </row>
    <row r="1672" spans="1:9" x14ac:dyDescent="0.35">
      <c r="A1672" t="str">
        <f t="shared" si="26"/>
        <v>DAhours_boughtS1203442</v>
      </c>
      <c r="C1672" t="s">
        <v>99</v>
      </c>
      <c r="D1672" t="s">
        <v>113</v>
      </c>
      <c r="E1672" t="s">
        <v>110</v>
      </c>
      <c r="F1672">
        <v>1908</v>
      </c>
      <c r="G1672">
        <v>2034</v>
      </c>
      <c r="H1672">
        <v>4</v>
      </c>
      <c r="I1672">
        <v>2</v>
      </c>
    </row>
    <row r="1673" spans="1:9" x14ac:dyDescent="0.35">
      <c r="A1673" t="str">
        <f t="shared" si="26"/>
        <v>DAhours_soldS1203442</v>
      </c>
      <c r="C1673" t="s">
        <v>99</v>
      </c>
      <c r="D1673" t="s">
        <v>114</v>
      </c>
      <c r="E1673" t="s">
        <v>110</v>
      </c>
      <c r="F1673">
        <v>398</v>
      </c>
      <c r="G1673">
        <v>2034</v>
      </c>
      <c r="H1673">
        <v>4</v>
      </c>
      <c r="I1673">
        <v>2</v>
      </c>
    </row>
    <row r="1674" spans="1:9" x14ac:dyDescent="0.35">
      <c r="A1674" t="str">
        <f t="shared" si="26"/>
        <v>DAco2_emissionS1203442</v>
      </c>
      <c r="C1674" t="s">
        <v>99</v>
      </c>
      <c r="D1674" t="s">
        <v>204</v>
      </c>
      <c r="E1674" t="s">
        <v>110</v>
      </c>
      <c r="F1674">
        <v>73348.380398015972</v>
      </c>
      <c r="G1674">
        <v>2034</v>
      </c>
      <c r="H1674">
        <v>4</v>
      </c>
      <c r="I1674">
        <v>2</v>
      </c>
    </row>
    <row r="1675" spans="1:9" x14ac:dyDescent="0.35">
      <c r="A1675" t="str">
        <f t="shared" si="26"/>
        <v>fcrincomeS1203442</v>
      </c>
      <c r="C1675" t="s">
        <v>102</v>
      </c>
      <c r="D1675" t="s">
        <v>101</v>
      </c>
      <c r="E1675" t="s">
        <v>110</v>
      </c>
      <c r="F1675">
        <v>1.414443911444774</v>
      </c>
      <c r="G1675">
        <v>2034</v>
      </c>
      <c r="H1675">
        <v>4</v>
      </c>
      <c r="I1675">
        <v>2</v>
      </c>
    </row>
    <row r="1676" spans="1:9" x14ac:dyDescent="0.35">
      <c r="A1676" t="str">
        <f t="shared" si="26"/>
        <v>fcractivation_hoursS1203442</v>
      </c>
      <c r="C1676" t="s">
        <v>102</v>
      </c>
      <c r="D1676" t="s">
        <v>115</v>
      </c>
      <c r="E1676" t="s">
        <v>110</v>
      </c>
      <c r="F1676">
        <v>4</v>
      </c>
      <c r="G1676">
        <v>2034</v>
      </c>
      <c r="H1676">
        <v>4</v>
      </c>
      <c r="I1676">
        <v>2</v>
      </c>
    </row>
    <row r="1677" spans="1:9" x14ac:dyDescent="0.35">
      <c r="A1677" t="str">
        <f t="shared" si="26"/>
        <v>afrrincomeS1203442</v>
      </c>
      <c r="C1677" t="s">
        <v>103</v>
      </c>
      <c r="D1677" t="s">
        <v>101</v>
      </c>
      <c r="E1677" t="s">
        <v>110</v>
      </c>
      <c r="F1677">
        <v>113817.2293199405</v>
      </c>
      <c r="G1677">
        <v>2034</v>
      </c>
      <c r="H1677">
        <v>4</v>
      </c>
      <c r="I1677">
        <v>2</v>
      </c>
    </row>
    <row r="1678" spans="1:9" x14ac:dyDescent="0.35">
      <c r="A1678" t="str">
        <f t="shared" si="26"/>
        <v>afrractivation_hoursS1203442</v>
      </c>
      <c r="C1678" t="s">
        <v>103</v>
      </c>
      <c r="D1678" t="s">
        <v>115</v>
      </c>
      <c r="E1678" t="s">
        <v>110</v>
      </c>
      <c r="F1678">
        <v>8569</v>
      </c>
      <c r="G1678">
        <v>2034</v>
      </c>
      <c r="H1678">
        <v>4</v>
      </c>
      <c r="I1678">
        <v>2</v>
      </c>
    </row>
    <row r="1679" spans="1:9" x14ac:dyDescent="0.35">
      <c r="A1679" t="str">
        <f t="shared" si="26"/>
        <v>networkturpe_power_costS1203542</v>
      </c>
      <c r="C1679" t="s">
        <v>96</v>
      </c>
      <c r="D1679" t="s">
        <v>97</v>
      </c>
      <c r="E1679" t="s">
        <v>110</v>
      </c>
      <c r="F1679">
        <v>9463.91387425426</v>
      </c>
      <c r="G1679">
        <v>2035</v>
      </c>
      <c r="H1679">
        <v>4</v>
      </c>
      <c r="I1679">
        <v>2</v>
      </c>
    </row>
    <row r="1680" spans="1:9" x14ac:dyDescent="0.35">
      <c r="A1680" t="str">
        <f t="shared" si="26"/>
        <v>networkturpe_energy_costS1203542</v>
      </c>
      <c r="C1680" t="s">
        <v>96</v>
      </c>
      <c r="D1680" t="s">
        <v>98</v>
      </c>
      <c r="E1680" t="s">
        <v>110</v>
      </c>
      <c r="F1680">
        <v>15636.89284692094</v>
      </c>
      <c r="G1680">
        <v>2035</v>
      </c>
      <c r="H1680">
        <v>4</v>
      </c>
      <c r="I1680">
        <v>2</v>
      </c>
    </row>
    <row r="1681" spans="1:9" x14ac:dyDescent="0.35">
      <c r="A1681" t="str">
        <f t="shared" si="26"/>
        <v>DAcostS1203542</v>
      </c>
      <c r="C1681" t="s">
        <v>99</v>
      </c>
      <c r="D1681" t="s">
        <v>100</v>
      </c>
      <c r="E1681" t="s">
        <v>110</v>
      </c>
      <c r="F1681">
        <v>44333.861889666092</v>
      </c>
      <c r="G1681">
        <v>2035</v>
      </c>
      <c r="H1681">
        <v>4</v>
      </c>
      <c r="I1681">
        <v>2</v>
      </c>
    </row>
    <row r="1682" spans="1:9" x14ac:dyDescent="0.35">
      <c r="A1682" t="str">
        <f t="shared" si="26"/>
        <v>DAincomeS1203542</v>
      </c>
      <c r="B1682" t="s">
        <v>95</v>
      </c>
      <c r="C1682" t="s">
        <v>99</v>
      </c>
      <c r="D1682" t="s">
        <v>101</v>
      </c>
      <c r="E1682" t="s">
        <v>110</v>
      </c>
      <c r="F1682">
        <v>85625.289389799233</v>
      </c>
      <c r="G1682">
        <v>2035</v>
      </c>
      <c r="H1682">
        <v>4</v>
      </c>
      <c r="I1682">
        <v>2</v>
      </c>
    </row>
    <row r="1683" spans="1:9" x14ac:dyDescent="0.35">
      <c r="A1683" t="str">
        <f t="shared" si="26"/>
        <v>DAenergy_boughtS1203542</v>
      </c>
      <c r="B1683" t="s">
        <v>95</v>
      </c>
      <c r="C1683" t="s">
        <v>99</v>
      </c>
      <c r="D1683" t="s">
        <v>111</v>
      </c>
      <c r="E1683" t="s">
        <v>110</v>
      </c>
      <c r="F1683">
        <v>1002.440806266006</v>
      </c>
      <c r="G1683">
        <v>2035</v>
      </c>
      <c r="H1683">
        <v>4</v>
      </c>
      <c r="I1683">
        <v>2</v>
      </c>
    </row>
    <row r="1684" spans="1:9" x14ac:dyDescent="0.35">
      <c r="A1684" t="str">
        <f t="shared" si="26"/>
        <v>DAenergy_soldS1203542</v>
      </c>
      <c r="C1684" t="s">
        <v>99</v>
      </c>
      <c r="D1684" t="s">
        <v>112</v>
      </c>
      <c r="E1684" t="s">
        <v>110</v>
      </c>
      <c r="F1684">
        <v>799.92159020816462</v>
      </c>
      <c r="G1684">
        <v>2035</v>
      </c>
      <c r="H1684">
        <v>4</v>
      </c>
      <c r="I1684">
        <v>2</v>
      </c>
    </row>
    <row r="1685" spans="1:9" x14ac:dyDescent="0.35">
      <c r="A1685" t="str">
        <f t="shared" si="26"/>
        <v>DAhours_boughtS1203542</v>
      </c>
      <c r="C1685" t="s">
        <v>99</v>
      </c>
      <c r="D1685" t="s">
        <v>113</v>
      </c>
      <c r="E1685" t="s">
        <v>110</v>
      </c>
      <c r="F1685">
        <v>1902</v>
      </c>
      <c r="G1685">
        <v>2035</v>
      </c>
      <c r="H1685">
        <v>4</v>
      </c>
      <c r="I1685">
        <v>2</v>
      </c>
    </row>
    <row r="1686" spans="1:9" x14ac:dyDescent="0.35">
      <c r="A1686" t="str">
        <f t="shared" si="26"/>
        <v>DAhours_soldS1203542</v>
      </c>
      <c r="C1686" t="s">
        <v>99</v>
      </c>
      <c r="D1686" t="s">
        <v>114</v>
      </c>
      <c r="E1686" t="s">
        <v>110</v>
      </c>
      <c r="F1686">
        <v>401</v>
      </c>
      <c r="G1686">
        <v>2035</v>
      </c>
      <c r="H1686">
        <v>4</v>
      </c>
      <c r="I1686">
        <v>2</v>
      </c>
    </row>
    <row r="1687" spans="1:9" x14ac:dyDescent="0.35">
      <c r="A1687" t="str">
        <f t="shared" si="26"/>
        <v>DAco2_emissionS1203542</v>
      </c>
      <c r="C1687" t="s">
        <v>99</v>
      </c>
      <c r="D1687" t="s">
        <v>204</v>
      </c>
      <c r="E1687" t="s">
        <v>110</v>
      </c>
      <c r="F1687">
        <v>70170.856438620598</v>
      </c>
      <c r="G1687">
        <v>2035</v>
      </c>
      <c r="H1687">
        <v>4</v>
      </c>
      <c r="I1687">
        <v>2</v>
      </c>
    </row>
    <row r="1688" spans="1:9" x14ac:dyDescent="0.35">
      <c r="A1688" t="str">
        <f t="shared" si="26"/>
        <v>fcrincomeS1203542</v>
      </c>
      <c r="C1688" t="s">
        <v>102</v>
      </c>
      <c r="D1688" t="s">
        <v>101</v>
      </c>
      <c r="E1688" t="s">
        <v>110</v>
      </c>
      <c r="F1688">
        <v>0</v>
      </c>
      <c r="G1688">
        <v>2035</v>
      </c>
      <c r="H1688">
        <v>4</v>
      </c>
      <c r="I1688">
        <v>2</v>
      </c>
    </row>
    <row r="1689" spans="1:9" x14ac:dyDescent="0.35">
      <c r="A1689" t="str">
        <f t="shared" si="26"/>
        <v>fcractivation_hoursS1203542</v>
      </c>
      <c r="C1689" t="s">
        <v>102</v>
      </c>
      <c r="D1689" t="s">
        <v>115</v>
      </c>
      <c r="E1689" t="s">
        <v>110</v>
      </c>
      <c r="F1689">
        <v>0</v>
      </c>
      <c r="G1689">
        <v>2035</v>
      </c>
      <c r="H1689">
        <v>4</v>
      </c>
      <c r="I1689">
        <v>2</v>
      </c>
    </row>
    <row r="1690" spans="1:9" x14ac:dyDescent="0.35">
      <c r="A1690" t="str">
        <f t="shared" si="26"/>
        <v>afrrincomeS1203542</v>
      </c>
      <c r="C1690" t="s">
        <v>103</v>
      </c>
      <c r="D1690" t="s">
        <v>101</v>
      </c>
      <c r="E1690" t="s">
        <v>110</v>
      </c>
      <c r="F1690">
        <v>113167.3760833252</v>
      </c>
      <c r="G1690">
        <v>2035</v>
      </c>
      <c r="H1690">
        <v>4</v>
      </c>
      <c r="I1690">
        <v>2</v>
      </c>
    </row>
    <row r="1691" spans="1:9" x14ac:dyDescent="0.35">
      <c r="A1691" t="str">
        <f t="shared" si="26"/>
        <v>afrractivation_hoursS1203542</v>
      </c>
      <c r="C1691" t="s">
        <v>103</v>
      </c>
      <c r="D1691" t="s">
        <v>115</v>
      </c>
      <c r="E1691" t="s">
        <v>110</v>
      </c>
      <c r="F1691">
        <v>8558</v>
      </c>
      <c r="G1691">
        <v>2035</v>
      </c>
      <c r="H1691">
        <v>4</v>
      </c>
      <c r="I1691">
        <v>2</v>
      </c>
    </row>
    <row r="1692" spans="1:9" x14ac:dyDescent="0.35">
      <c r="A1692" t="str">
        <f t="shared" si="26"/>
        <v>networkturpe_power_costS1203642</v>
      </c>
      <c r="C1692" t="s">
        <v>96</v>
      </c>
      <c r="D1692" t="s">
        <v>97</v>
      </c>
      <c r="E1692" t="s">
        <v>110</v>
      </c>
      <c r="F1692">
        <v>9175.670111356234</v>
      </c>
      <c r="G1692">
        <v>2036</v>
      </c>
      <c r="H1692">
        <v>4</v>
      </c>
      <c r="I1692">
        <v>2</v>
      </c>
    </row>
    <row r="1693" spans="1:9" x14ac:dyDescent="0.35">
      <c r="A1693" t="str">
        <f t="shared" si="26"/>
        <v>networkturpe_energy_costS1203642</v>
      </c>
      <c r="C1693" t="s">
        <v>96</v>
      </c>
      <c r="D1693" t="s">
        <v>98</v>
      </c>
      <c r="E1693" t="s">
        <v>110</v>
      </c>
      <c r="F1693">
        <v>15228.06911682214</v>
      </c>
      <c r="G1693">
        <v>2036</v>
      </c>
      <c r="H1693">
        <v>4</v>
      </c>
      <c r="I1693">
        <v>2</v>
      </c>
    </row>
    <row r="1694" spans="1:9" x14ac:dyDescent="0.35">
      <c r="A1694" t="str">
        <f t="shared" si="26"/>
        <v>DAcostS1203642</v>
      </c>
      <c r="B1694" t="s">
        <v>95</v>
      </c>
      <c r="C1694" t="s">
        <v>99</v>
      </c>
      <c r="D1694" t="s">
        <v>100</v>
      </c>
      <c r="E1694" t="s">
        <v>110</v>
      </c>
      <c r="F1694">
        <v>44082.481642186911</v>
      </c>
      <c r="G1694">
        <v>2036</v>
      </c>
      <c r="H1694">
        <v>4</v>
      </c>
      <c r="I1694">
        <v>2</v>
      </c>
    </row>
    <row r="1695" spans="1:9" x14ac:dyDescent="0.35">
      <c r="A1695" t="str">
        <f t="shared" si="26"/>
        <v>DAincomeS1203642</v>
      </c>
      <c r="B1695" t="s">
        <v>95</v>
      </c>
      <c r="C1695" t="s">
        <v>99</v>
      </c>
      <c r="D1695" t="s">
        <v>101</v>
      </c>
      <c r="E1695" t="s">
        <v>110</v>
      </c>
      <c r="F1695">
        <v>85476.85224883027</v>
      </c>
      <c r="G1695">
        <v>2036</v>
      </c>
      <c r="H1695">
        <v>4</v>
      </c>
      <c r="I1695">
        <v>2</v>
      </c>
    </row>
    <row r="1696" spans="1:9" x14ac:dyDescent="0.35">
      <c r="A1696" t="str">
        <f t="shared" si="26"/>
        <v>DAenergy_boughtS1203642</v>
      </c>
      <c r="C1696" t="s">
        <v>99</v>
      </c>
      <c r="D1696" t="s">
        <v>111</v>
      </c>
      <c r="E1696" t="s">
        <v>110</v>
      </c>
      <c r="F1696">
        <v>976.04013460435874</v>
      </c>
      <c r="G1696">
        <v>2036</v>
      </c>
      <c r="H1696">
        <v>4</v>
      </c>
      <c r="I1696">
        <v>2</v>
      </c>
    </row>
    <row r="1697" spans="1:9" x14ac:dyDescent="0.35">
      <c r="A1697" t="str">
        <f t="shared" si="26"/>
        <v>DAenergy_soldS1203642</v>
      </c>
      <c r="C1697" t="s">
        <v>99</v>
      </c>
      <c r="D1697" t="s">
        <v>112</v>
      </c>
      <c r="E1697" t="s">
        <v>110</v>
      </c>
      <c r="F1697">
        <v>778.97929292866183</v>
      </c>
      <c r="G1697">
        <v>2036</v>
      </c>
      <c r="H1697">
        <v>4</v>
      </c>
      <c r="I1697">
        <v>2</v>
      </c>
    </row>
    <row r="1698" spans="1:9" x14ac:dyDescent="0.35">
      <c r="A1698" t="str">
        <f t="shared" si="26"/>
        <v>DAhours_boughtS1203642</v>
      </c>
      <c r="C1698" t="s">
        <v>99</v>
      </c>
      <c r="D1698" t="s">
        <v>113</v>
      </c>
      <c r="E1698" t="s">
        <v>110</v>
      </c>
      <c r="F1698">
        <v>1845</v>
      </c>
      <c r="G1698">
        <v>2036</v>
      </c>
      <c r="H1698">
        <v>4</v>
      </c>
      <c r="I1698">
        <v>2</v>
      </c>
    </row>
    <row r="1699" spans="1:9" x14ac:dyDescent="0.35">
      <c r="A1699" t="str">
        <f t="shared" si="26"/>
        <v>DAhours_soldS1203642</v>
      </c>
      <c r="C1699" t="s">
        <v>99</v>
      </c>
      <c r="D1699" t="s">
        <v>114</v>
      </c>
      <c r="E1699" t="s">
        <v>110</v>
      </c>
      <c r="F1699">
        <v>413</v>
      </c>
      <c r="G1699">
        <v>2036</v>
      </c>
      <c r="H1699">
        <v>4</v>
      </c>
      <c r="I1699">
        <v>2</v>
      </c>
    </row>
    <row r="1700" spans="1:9" x14ac:dyDescent="0.35">
      <c r="A1700" t="str">
        <f t="shared" si="26"/>
        <v>DAco2_emissionS1203642</v>
      </c>
      <c r="C1700" t="s">
        <v>99</v>
      </c>
      <c r="D1700" t="s">
        <v>204</v>
      </c>
      <c r="E1700" t="s">
        <v>110</v>
      </c>
      <c r="F1700">
        <v>68322.809422304897</v>
      </c>
      <c r="G1700">
        <v>2036</v>
      </c>
      <c r="H1700">
        <v>4</v>
      </c>
      <c r="I1700">
        <v>2</v>
      </c>
    </row>
    <row r="1701" spans="1:9" x14ac:dyDescent="0.35">
      <c r="A1701" t="str">
        <f t="shared" si="26"/>
        <v>fcrincomeS1203642</v>
      </c>
      <c r="C1701" t="s">
        <v>102</v>
      </c>
      <c r="D1701" t="s">
        <v>101</v>
      </c>
      <c r="E1701" t="s">
        <v>110</v>
      </c>
      <c r="F1701">
        <v>2.742610432583692</v>
      </c>
      <c r="G1701">
        <v>2036</v>
      </c>
      <c r="H1701">
        <v>4</v>
      </c>
      <c r="I1701">
        <v>2</v>
      </c>
    </row>
    <row r="1702" spans="1:9" x14ac:dyDescent="0.35">
      <c r="A1702" t="str">
        <f t="shared" si="26"/>
        <v>fcractivation_hoursS1203642</v>
      </c>
      <c r="C1702" t="s">
        <v>102</v>
      </c>
      <c r="D1702" t="s">
        <v>115</v>
      </c>
      <c r="E1702" t="s">
        <v>110</v>
      </c>
      <c r="F1702">
        <v>4</v>
      </c>
      <c r="G1702">
        <v>2036</v>
      </c>
      <c r="H1702">
        <v>4</v>
      </c>
      <c r="I1702">
        <v>2</v>
      </c>
    </row>
    <row r="1703" spans="1:9" x14ac:dyDescent="0.35">
      <c r="A1703" t="str">
        <f t="shared" si="26"/>
        <v>afrrincomeS1203642</v>
      </c>
      <c r="C1703" t="s">
        <v>103</v>
      </c>
      <c r="D1703" t="s">
        <v>101</v>
      </c>
      <c r="E1703" t="s">
        <v>110</v>
      </c>
      <c r="F1703">
        <v>107161.3053783092</v>
      </c>
      <c r="G1703">
        <v>2036</v>
      </c>
      <c r="H1703">
        <v>4</v>
      </c>
      <c r="I1703">
        <v>2</v>
      </c>
    </row>
    <row r="1704" spans="1:9" x14ac:dyDescent="0.35">
      <c r="A1704" t="str">
        <f t="shared" si="26"/>
        <v>afrractivation_hoursS1203642</v>
      </c>
      <c r="C1704" t="s">
        <v>103</v>
      </c>
      <c r="D1704" t="s">
        <v>115</v>
      </c>
      <c r="E1704" t="s">
        <v>110</v>
      </c>
      <c r="F1704">
        <v>8503</v>
      </c>
      <c r="G1704">
        <v>2036</v>
      </c>
      <c r="H1704">
        <v>4</v>
      </c>
      <c r="I1704">
        <v>2</v>
      </c>
    </row>
    <row r="1705" spans="1:9" x14ac:dyDescent="0.35">
      <c r="A1705" t="str">
        <f t="shared" si="26"/>
        <v>networkturpe_power_costS1203742</v>
      </c>
      <c r="C1705" t="s">
        <v>96</v>
      </c>
      <c r="D1705" t="s">
        <v>97</v>
      </c>
      <c r="E1705" t="s">
        <v>110</v>
      </c>
      <c r="F1705">
        <v>8758.7275747160911</v>
      </c>
      <c r="G1705">
        <v>2037</v>
      </c>
      <c r="H1705">
        <v>4</v>
      </c>
      <c r="I1705">
        <v>2</v>
      </c>
    </row>
    <row r="1706" spans="1:9" x14ac:dyDescent="0.35">
      <c r="A1706" t="str">
        <f t="shared" si="26"/>
        <v>networkturpe_energy_costS1203742</v>
      </c>
      <c r="B1706" t="s">
        <v>95</v>
      </c>
      <c r="C1706" t="s">
        <v>96</v>
      </c>
      <c r="D1706" t="s">
        <v>98</v>
      </c>
      <c r="E1706" t="s">
        <v>110</v>
      </c>
      <c r="F1706">
        <v>13546.41140404116</v>
      </c>
      <c r="G1706">
        <v>2037</v>
      </c>
      <c r="H1706">
        <v>4</v>
      </c>
      <c r="I1706">
        <v>2</v>
      </c>
    </row>
    <row r="1707" spans="1:9" x14ac:dyDescent="0.35">
      <c r="A1707" t="str">
        <f t="shared" si="26"/>
        <v>DAcostS1203742</v>
      </c>
      <c r="B1707" t="s">
        <v>95</v>
      </c>
      <c r="C1707" t="s">
        <v>99</v>
      </c>
      <c r="D1707" t="s">
        <v>100</v>
      </c>
      <c r="E1707" t="s">
        <v>110</v>
      </c>
      <c r="F1707">
        <v>37506.538357279198</v>
      </c>
      <c r="G1707">
        <v>2037</v>
      </c>
      <c r="H1707">
        <v>4</v>
      </c>
      <c r="I1707">
        <v>2</v>
      </c>
    </row>
    <row r="1708" spans="1:9" x14ac:dyDescent="0.35">
      <c r="A1708" t="str">
        <f t="shared" si="26"/>
        <v>DAincomeS1203742</v>
      </c>
      <c r="C1708" t="s">
        <v>99</v>
      </c>
      <c r="D1708" t="s">
        <v>101</v>
      </c>
      <c r="E1708" t="s">
        <v>110</v>
      </c>
      <c r="F1708">
        <v>74071.613931057189</v>
      </c>
      <c r="G1708">
        <v>2037</v>
      </c>
      <c r="H1708">
        <v>4</v>
      </c>
      <c r="I1708">
        <v>2</v>
      </c>
    </row>
    <row r="1709" spans="1:9" x14ac:dyDescent="0.35">
      <c r="A1709" t="str">
        <f t="shared" si="26"/>
        <v>DAenergy_boughtS1203742</v>
      </c>
      <c r="C1709" t="s">
        <v>99</v>
      </c>
      <c r="D1709" t="s">
        <v>111</v>
      </c>
      <c r="E1709" t="s">
        <v>110</v>
      </c>
      <c r="F1709">
        <v>866.35252149980784</v>
      </c>
      <c r="G1709">
        <v>2037</v>
      </c>
      <c r="H1709">
        <v>4</v>
      </c>
      <c r="I1709">
        <v>2</v>
      </c>
    </row>
    <row r="1710" spans="1:9" x14ac:dyDescent="0.35">
      <c r="A1710" t="str">
        <f t="shared" si="26"/>
        <v>DAenergy_soldS1203742</v>
      </c>
      <c r="C1710" t="s">
        <v>99</v>
      </c>
      <c r="D1710" t="s">
        <v>112</v>
      </c>
      <c r="E1710" t="s">
        <v>110</v>
      </c>
      <c r="F1710">
        <v>690.21058027557012</v>
      </c>
      <c r="G1710">
        <v>2037</v>
      </c>
      <c r="H1710">
        <v>4</v>
      </c>
      <c r="I1710">
        <v>2</v>
      </c>
    </row>
    <row r="1711" spans="1:9" x14ac:dyDescent="0.35">
      <c r="A1711" t="str">
        <f t="shared" si="26"/>
        <v>DAhours_boughtS1203742</v>
      </c>
      <c r="C1711" t="s">
        <v>99</v>
      </c>
      <c r="D1711" t="s">
        <v>113</v>
      </c>
      <c r="E1711" t="s">
        <v>110</v>
      </c>
      <c r="F1711">
        <v>1881</v>
      </c>
      <c r="G1711">
        <v>2037</v>
      </c>
      <c r="H1711">
        <v>4</v>
      </c>
      <c r="I1711">
        <v>2</v>
      </c>
    </row>
    <row r="1712" spans="1:9" x14ac:dyDescent="0.35">
      <c r="A1712" t="str">
        <f t="shared" si="26"/>
        <v>DAhours_soldS1203742</v>
      </c>
      <c r="C1712" t="s">
        <v>99</v>
      </c>
      <c r="D1712" t="s">
        <v>114</v>
      </c>
      <c r="E1712" t="s">
        <v>110</v>
      </c>
      <c r="F1712">
        <v>393</v>
      </c>
      <c r="G1712">
        <v>2037</v>
      </c>
      <c r="H1712">
        <v>4</v>
      </c>
      <c r="I1712">
        <v>2</v>
      </c>
    </row>
    <row r="1713" spans="1:9" x14ac:dyDescent="0.35">
      <c r="A1713" t="str">
        <f t="shared" si="26"/>
        <v>DAco2_emissionS1203742</v>
      </c>
      <c r="C1713" t="s">
        <v>99</v>
      </c>
      <c r="D1713" t="s">
        <v>204</v>
      </c>
      <c r="E1713" t="s">
        <v>110</v>
      </c>
      <c r="F1713">
        <v>60644.676504987561</v>
      </c>
      <c r="G1713">
        <v>2037</v>
      </c>
      <c r="H1713">
        <v>4</v>
      </c>
      <c r="I1713">
        <v>2</v>
      </c>
    </row>
    <row r="1714" spans="1:9" x14ac:dyDescent="0.35">
      <c r="A1714" t="str">
        <f t="shared" si="26"/>
        <v>fcrincomeS1203742</v>
      </c>
      <c r="C1714" t="s">
        <v>102</v>
      </c>
      <c r="D1714" t="s">
        <v>101</v>
      </c>
      <c r="E1714" t="s">
        <v>110</v>
      </c>
      <c r="F1714">
        <v>2.6462845318204482</v>
      </c>
      <c r="G1714">
        <v>2037</v>
      </c>
      <c r="H1714">
        <v>4</v>
      </c>
      <c r="I1714">
        <v>2</v>
      </c>
    </row>
    <row r="1715" spans="1:9" x14ac:dyDescent="0.35">
      <c r="A1715" t="str">
        <f t="shared" si="26"/>
        <v>fcractivation_hoursS1203742</v>
      </c>
      <c r="C1715" t="s">
        <v>102</v>
      </c>
      <c r="D1715" t="s">
        <v>115</v>
      </c>
      <c r="E1715" t="s">
        <v>110</v>
      </c>
      <c r="F1715">
        <v>8</v>
      </c>
      <c r="G1715">
        <v>2037</v>
      </c>
      <c r="H1715">
        <v>4</v>
      </c>
      <c r="I1715">
        <v>2</v>
      </c>
    </row>
    <row r="1716" spans="1:9" x14ac:dyDescent="0.35">
      <c r="A1716" t="str">
        <f t="shared" si="26"/>
        <v>afrrincomeS1203742</v>
      </c>
      <c r="C1716" t="s">
        <v>103</v>
      </c>
      <c r="D1716" t="s">
        <v>101</v>
      </c>
      <c r="E1716" t="s">
        <v>110</v>
      </c>
      <c r="F1716">
        <v>111428.6552045351</v>
      </c>
      <c r="G1716">
        <v>2037</v>
      </c>
      <c r="H1716">
        <v>4</v>
      </c>
      <c r="I1716">
        <v>2</v>
      </c>
    </row>
    <row r="1717" spans="1:9" x14ac:dyDescent="0.35">
      <c r="A1717" t="str">
        <f t="shared" si="26"/>
        <v>afrractivation_hoursS1203742</v>
      </c>
      <c r="C1717" t="s">
        <v>103</v>
      </c>
      <c r="D1717" t="s">
        <v>115</v>
      </c>
      <c r="E1717" t="s">
        <v>110</v>
      </c>
      <c r="F1717">
        <v>8571</v>
      </c>
      <c r="G1717">
        <v>2037</v>
      </c>
      <c r="H1717">
        <v>4</v>
      </c>
      <c r="I1717">
        <v>2</v>
      </c>
    </row>
    <row r="1718" spans="1:9" x14ac:dyDescent="0.35">
      <c r="A1718" t="str">
        <f t="shared" si="26"/>
        <v>networkturpe_power_costS1203842</v>
      </c>
      <c r="B1718" t="s">
        <v>95</v>
      </c>
      <c r="C1718" t="s">
        <v>96</v>
      </c>
      <c r="D1718" t="s">
        <v>97</v>
      </c>
      <c r="E1718" t="s">
        <v>110</v>
      </c>
      <c r="F1718">
        <v>8641.5894816945438</v>
      </c>
      <c r="G1718">
        <v>2038</v>
      </c>
      <c r="H1718">
        <v>4</v>
      </c>
      <c r="I1718">
        <v>2</v>
      </c>
    </row>
    <row r="1719" spans="1:9" x14ac:dyDescent="0.35">
      <c r="A1719" t="str">
        <f t="shared" si="26"/>
        <v>networkturpe_energy_costS1203842</v>
      </c>
      <c r="B1719" t="s">
        <v>95</v>
      </c>
      <c r="C1719" t="s">
        <v>96</v>
      </c>
      <c r="D1719" t="s">
        <v>98</v>
      </c>
      <c r="E1719" t="s">
        <v>110</v>
      </c>
      <c r="F1719">
        <v>14051.734163837869</v>
      </c>
      <c r="G1719">
        <v>2038</v>
      </c>
      <c r="H1719">
        <v>4</v>
      </c>
      <c r="I1719">
        <v>2</v>
      </c>
    </row>
    <row r="1720" spans="1:9" x14ac:dyDescent="0.35">
      <c r="A1720" t="str">
        <f t="shared" si="26"/>
        <v>DAcostS1203842</v>
      </c>
      <c r="C1720" t="s">
        <v>99</v>
      </c>
      <c r="D1720" t="s">
        <v>100</v>
      </c>
      <c r="E1720" t="s">
        <v>110</v>
      </c>
      <c r="F1720">
        <v>36343.26544483727</v>
      </c>
      <c r="G1720">
        <v>2038</v>
      </c>
      <c r="H1720">
        <v>4</v>
      </c>
      <c r="I1720">
        <v>2</v>
      </c>
    </row>
    <row r="1721" spans="1:9" x14ac:dyDescent="0.35">
      <c r="A1721" t="str">
        <f t="shared" si="26"/>
        <v>DAincomeS1203842</v>
      </c>
      <c r="C1721" t="s">
        <v>99</v>
      </c>
      <c r="D1721" t="s">
        <v>101</v>
      </c>
      <c r="E1721" t="s">
        <v>110</v>
      </c>
      <c r="F1721">
        <v>75647.774648748629</v>
      </c>
      <c r="G1721">
        <v>2038</v>
      </c>
      <c r="H1721">
        <v>4</v>
      </c>
      <c r="I1721">
        <v>2</v>
      </c>
    </row>
    <row r="1722" spans="1:9" x14ac:dyDescent="0.35">
      <c r="A1722" t="str">
        <f t="shared" si="26"/>
        <v>DAenergy_boughtS1203842</v>
      </c>
      <c r="C1722" t="s">
        <v>99</v>
      </c>
      <c r="D1722" t="s">
        <v>111</v>
      </c>
      <c r="E1722" t="s">
        <v>110</v>
      </c>
      <c r="F1722">
        <v>881.30594508632305</v>
      </c>
      <c r="G1722">
        <v>2038</v>
      </c>
      <c r="H1722">
        <v>4</v>
      </c>
      <c r="I1722">
        <v>2</v>
      </c>
    </row>
    <row r="1723" spans="1:9" x14ac:dyDescent="0.35">
      <c r="A1723" t="str">
        <f t="shared" si="26"/>
        <v>DAenergy_soldS1203842</v>
      </c>
      <c r="C1723" t="s">
        <v>99</v>
      </c>
      <c r="D1723" t="s">
        <v>112</v>
      </c>
      <c r="E1723" t="s">
        <v>110</v>
      </c>
      <c r="F1723">
        <v>702.642732188065</v>
      </c>
      <c r="G1723">
        <v>2038</v>
      </c>
      <c r="H1723">
        <v>4</v>
      </c>
      <c r="I1723">
        <v>2</v>
      </c>
    </row>
    <row r="1724" spans="1:9" x14ac:dyDescent="0.35">
      <c r="A1724" t="str">
        <f t="shared" si="26"/>
        <v>DAhours_boughtS1203842</v>
      </c>
      <c r="C1724" t="s">
        <v>99</v>
      </c>
      <c r="D1724" t="s">
        <v>113</v>
      </c>
      <c r="E1724" t="s">
        <v>110</v>
      </c>
      <c r="F1724">
        <v>1986</v>
      </c>
      <c r="G1724">
        <v>2038</v>
      </c>
      <c r="H1724">
        <v>4</v>
      </c>
      <c r="I1724">
        <v>2</v>
      </c>
    </row>
    <row r="1725" spans="1:9" x14ac:dyDescent="0.35">
      <c r="A1725" t="str">
        <f t="shared" si="26"/>
        <v>DAhours_soldS1203842</v>
      </c>
      <c r="C1725" t="s">
        <v>99</v>
      </c>
      <c r="D1725" t="s">
        <v>114</v>
      </c>
      <c r="E1725" t="s">
        <v>110</v>
      </c>
      <c r="F1725">
        <v>391</v>
      </c>
      <c r="G1725">
        <v>2038</v>
      </c>
      <c r="H1725">
        <v>4</v>
      </c>
      <c r="I1725">
        <v>2</v>
      </c>
    </row>
    <row r="1726" spans="1:9" x14ac:dyDescent="0.35">
      <c r="A1726" t="str">
        <f t="shared" si="26"/>
        <v>DAco2_emissionS1203842</v>
      </c>
      <c r="C1726" t="s">
        <v>99</v>
      </c>
      <c r="D1726" t="s">
        <v>204</v>
      </c>
      <c r="E1726" t="s">
        <v>110</v>
      </c>
      <c r="F1726">
        <v>61691.416156043539</v>
      </c>
      <c r="G1726">
        <v>2038</v>
      </c>
      <c r="H1726">
        <v>4</v>
      </c>
      <c r="I1726">
        <v>2</v>
      </c>
    </row>
    <row r="1727" spans="1:9" x14ac:dyDescent="0.35">
      <c r="A1727" t="str">
        <f t="shared" si="26"/>
        <v>fcrincomeS1203842</v>
      </c>
      <c r="C1727" t="s">
        <v>102</v>
      </c>
      <c r="D1727" t="s">
        <v>101</v>
      </c>
      <c r="E1727" t="s">
        <v>110</v>
      </c>
      <c r="F1727">
        <v>0</v>
      </c>
      <c r="G1727">
        <v>2038</v>
      </c>
      <c r="H1727">
        <v>4</v>
      </c>
      <c r="I1727">
        <v>2</v>
      </c>
    </row>
    <row r="1728" spans="1:9" x14ac:dyDescent="0.35">
      <c r="A1728" t="str">
        <f t="shared" si="26"/>
        <v>fcractivation_hoursS1203842</v>
      </c>
      <c r="C1728" t="s">
        <v>102</v>
      </c>
      <c r="D1728" t="s">
        <v>115</v>
      </c>
      <c r="E1728" t="s">
        <v>110</v>
      </c>
      <c r="F1728">
        <v>0</v>
      </c>
      <c r="G1728">
        <v>2038</v>
      </c>
      <c r="H1728">
        <v>4</v>
      </c>
      <c r="I1728">
        <v>2</v>
      </c>
    </row>
    <row r="1729" spans="1:9" x14ac:dyDescent="0.35">
      <c r="A1729" t="str">
        <f t="shared" si="26"/>
        <v>afrrincomeS1203842</v>
      </c>
      <c r="C1729" t="s">
        <v>103</v>
      </c>
      <c r="D1729" t="s">
        <v>101</v>
      </c>
      <c r="E1729" t="s">
        <v>110</v>
      </c>
      <c r="F1729">
        <v>111545.6342261313</v>
      </c>
      <c r="G1729">
        <v>2038</v>
      </c>
      <c r="H1729">
        <v>4</v>
      </c>
      <c r="I1729">
        <v>2</v>
      </c>
    </row>
    <row r="1730" spans="1:9" x14ac:dyDescent="0.35">
      <c r="A1730" t="str">
        <f t="shared" si="26"/>
        <v>afrractivation_hoursS1203842</v>
      </c>
      <c r="B1730" t="s">
        <v>95</v>
      </c>
      <c r="C1730" t="s">
        <v>103</v>
      </c>
      <c r="D1730" t="s">
        <v>115</v>
      </c>
      <c r="E1730" t="s">
        <v>110</v>
      </c>
      <c r="F1730">
        <v>8507</v>
      </c>
      <c r="G1730">
        <v>2038</v>
      </c>
      <c r="H1730">
        <v>4</v>
      </c>
      <c r="I1730">
        <v>2</v>
      </c>
    </row>
    <row r="1731" spans="1:9" x14ac:dyDescent="0.35">
      <c r="A1731" t="str">
        <f t="shared" ref="A1731:A1794" si="27">C1731&amp;D1731&amp;E1731&amp;G1731&amp;H1731&amp;I1731</f>
        <v>networkturpe_power_costS1203942</v>
      </c>
      <c r="B1731" t="s">
        <v>95</v>
      </c>
      <c r="C1731" t="s">
        <v>96</v>
      </c>
      <c r="D1731" t="s">
        <v>97</v>
      </c>
      <c r="E1731" t="s">
        <v>110</v>
      </c>
      <c r="F1731">
        <v>7995.9221080302023</v>
      </c>
      <c r="G1731">
        <v>2039</v>
      </c>
      <c r="H1731">
        <v>4</v>
      </c>
      <c r="I1731">
        <v>2</v>
      </c>
    </row>
    <row r="1732" spans="1:9" x14ac:dyDescent="0.35">
      <c r="A1732" t="str">
        <f t="shared" si="27"/>
        <v>networkturpe_energy_costS1203942</v>
      </c>
      <c r="C1732" t="s">
        <v>96</v>
      </c>
      <c r="D1732" t="s">
        <v>98</v>
      </c>
      <c r="E1732" t="s">
        <v>110</v>
      </c>
      <c r="F1732">
        <v>11536.894352568421</v>
      </c>
      <c r="G1732">
        <v>2039</v>
      </c>
      <c r="H1732">
        <v>4</v>
      </c>
      <c r="I1732">
        <v>2</v>
      </c>
    </row>
    <row r="1733" spans="1:9" x14ac:dyDescent="0.35">
      <c r="A1733" t="str">
        <f t="shared" si="27"/>
        <v>DAcostS1203942</v>
      </c>
      <c r="C1733" t="s">
        <v>99</v>
      </c>
      <c r="D1733" t="s">
        <v>100</v>
      </c>
      <c r="E1733" t="s">
        <v>110</v>
      </c>
      <c r="F1733">
        <v>29900.202317173069</v>
      </c>
      <c r="G1733">
        <v>2039</v>
      </c>
      <c r="H1733">
        <v>4</v>
      </c>
      <c r="I1733">
        <v>2</v>
      </c>
    </row>
    <row r="1734" spans="1:9" x14ac:dyDescent="0.35">
      <c r="A1734" t="str">
        <f t="shared" si="27"/>
        <v>DAincomeS1203942</v>
      </c>
      <c r="C1734" t="s">
        <v>99</v>
      </c>
      <c r="D1734" t="s">
        <v>101</v>
      </c>
      <c r="E1734" t="s">
        <v>110</v>
      </c>
      <c r="F1734">
        <v>62835.071997584993</v>
      </c>
      <c r="G1734">
        <v>2039</v>
      </c>
      <c r="H1734">
        <v>4</v>
      </c>
      <c r="I1734">
        <v>2</v>
      </c>
    </row>
    <row r="1735" spans="1:9" x14ac:dyDescent="0.35">
      <c r="A1735" t="str">
        <f t="shared" si="27"/>
        <v>DAenergy_boughtS1203942</v>
      </c>
      <c r="C1735" t="s">
        <v>99</v>
      </c>
      <c r="D1735" t="s">
        <v>111</v>
      </c>
      <c r="E1735" t="s">
        <v>110</v>
      </c>
      <c r="F1735">
        <v>739.8962374539733</v>
      </c>
      <c r="G1735">
        <v>2039</v>
      </c>
      <c r="H1735">
        <v>4</v>
      </c>
      <c r="I1735">
        <v>2</v>
      </c>
    </row>
    <row r="1736" spans="1:9" x14ac:dyDescent="0.35">
      <c r="A1736" t="str">
        <f t="shared" si="27"/>
        <v>DAenergy_soldS1203942</v>
      </c>
      <c r="C1736" t="s">
        <v>99</v>
      </c>
      <c r="D1736" t="s">
        <v>112</v>
      </c>
      <c r="E1736" t="s">
        <v>110</v>
      </c>
      <c r="F1736">
        <v>588.40523306042246</v>
      </c>
      <c r="G1736">
        <v>2039</v>
      </c>
      <c r="H1736">
        <v>4</v>
      </c>
      <c r="I1736">
        <v>2</v>
      </c>
    </row>
    <row r="1737" spans="1:9" x14ac:dyDescent="0.35">
      <c r="A1737" t="str">
        <f t="shared" si="27"/>
        <v>DAhours_boughtS1203942</v>
      </c>
      <c r="C1737" t="s">
        <v>99</v>
      </c>
      <c r="D1737" t="s">
        <v>113</v>
      </c>
      <c r="E1737" t="s">
        <v>110</v>
      </c>
      <c r="F1737">
        <v>1859</v>
      </c>
      <c r="G1737">
        <v>2039</v>
      </c>
      <c r="H1737">
        <v>4</v>
      </c>
      <c r="I1737">
        <v>2</v>
      </c>
    </row>
    <row r="1738" spans="1:9" x14ac:dyDescent="0.35">
      <c r="A1738" t="str">
        <f t="shared" si="27"/>
        <v>DAhours_soldS1203942</v>
      </c>
      <c r="C1738" t="s">
        <v>99</v>
      </c>
      <c r="D1738" t="s">
        <v>114</v>
      </c>
      <c r="E1738" t="s">
        <v>110</v>
      </c>
      <c r="F1738">
        <v>380</v>
      </c>
      <c r="G1738">
        <v>2039</v>
      </c>
      <c r="H1738">
        <v>4</v>
      </c>
      <c r="I1738">
        <v>2</v>
      </c>
    </row>
    <row r="1739" spans="1:9" x14ac:dyDescent="0.35">
      <c r="A1739" t="str">
        <f t="shared" si="27"/>
        <v>DAco2_emissionS1203942</v>
      </c>
      <c r="C1739" t="s">
        <v>99</v>
      </c>
      <c r="D1739" t="s">
        <v>204</v>
      </c>
      <c r="E1739" t="s">
        <v>110</v>
      </c>
      <c r="F1739">
        <v>51792.736621778917</v>
      </c>
      <c r="G1739">
        <v>2039</v>
      </c>
      <c r="H1739">
        <v>4</v>
      </c>
      <c r="I1739">
        <v>2</v>
      </c>
    </row>
    <row r="1740" spans="1:9" x14ac:dyDescent="0.35">
      <c r="A1740" t="str">
        <f t="shared" si="27"/>
        <v>fcrincomeS1203942</v>
      </c>
      <c r="C1740" t="s">
        <v>102</v>
      </c>
      <c r="D1740" t="s">
        <v>101</v>
      </c>
      <c r="E1740" t="s">
        <v>110</v>
      </c>
      <c r="F1740">
        <v>2.602555735421908</v>
      </c>
      <c r="G1740">
        <v>2039</v>
      </c>
      <c r="H1740">
        <v>4</v>
      </c>
      <c r="I1740">
        <v>2</v>
      </c>
    </row>
    <row r="1741" spans="1:9" x14ac:dyDescent="0.35">
      <c r="A1741" t="str">
        <f t="shared" si="27"/>
        <v>fcractivation_hoursS1203942</v>
      </c>
      <c r="C1741" t="s">
        <v>102</v>
      </c>
      <c r="D1741" t="s">
        <v>115</v>
      </c>
      <c r="E1741" t="s">
        <v>110</v>
      </c>
      <c r="F1741">
        <v>4</v>
      </c>
      <c r="G1741">
        <v>2039</v>
      </c>
      <c r="H1741">
        <v>4</v>
      </c>
      <c r="I1741">
        <v>2</v>
      </c>
    </row>
    <row r="1742" spans="1:9" x14ac:dyDescent="0.35">
      <c r="A1742" t="str">
        <f t="shared" si="27"/>
        <v>afrrincomeS1203942</v>
      </c>
      <c r="B1742" t="s">
        <v>95</v>
      </c>
      <c r="C1742" t="s">
        <v>103</v>
      </c>
      <c r="D1742" t="s">
        <v>101</v>
      </c>
      <c r="E1742" t="s">
        <v>110</v>
      </c>
      <c r="F1742">
        <v>115779.69992279771</v>
      </c>
      <c r="G1742">
        <v>2039</v>
      </c>
      <c r="H1742">
        <v>4</v>
      </c>
      <c r="I1742">
        <v>2</v>
      </c>
    </row>
    <row r="1743" spans="1:9" x14ac:dyDescent="0.35">
      <c r="A1743" t="str">
        <f t="shared" si="27"/>
        <v>afrractivation_hoursS1203942</v>
      </c>
      <c r="B1743" t="s">
        <v>95</v>
      </c>
      <c r="C1743" t="s">
        <v>103</v>
      </c>
      <c r="D1743" t="s">
        <v>115</v>
      </c>
      <c r="E1743" t="s">
        <v>110</v>
      </c>
      <c r="F1743">
        <v>8540</v>
      </c>
      <c r="G1743">
        <v>2039</v>
      </c>
      <c r="H1743">
        <v>4</v>
      </c>
      <c r="I1743">
        <v>2</v>
      </c>
    </row>
    <row r="1744" spans="1:9" x14ac:dyDescent="0.35">
      <c r="A1744" t="str">
        <f t="shared" si="27"/>
        <v>networkturpe_power_costS1204042</v>
      </c>
      <c r="C1744" t="s">
        <v>96</v>
      </c>
      <c r="D1744" t="s">
        <v>97</v>
      </c>
      <c r="E1744" t="s">
        <v>110</v>
      </c>
      <c r="F1744">
        <v>7886.8594070504223</v>
      </c>
      <c r="G1744">
        <v>2040</v>
      </c>
      <c r="H1744">
        <v>4</v>
      </c>
      <c r="I1744">
        <v>2</v>
      </c>
    </row>
    <row r="1745" spans="1:9" x14ac:dyDescent="0.35">
      <c r="A1745" t="str">
        <f t="shared" si="27"/>
        <v>networkturpe_energy_costS1204042</v>
      </c>
      <c r="C1745" t="s">
        <v>96</v>
      </c>
      <c r="D1745" t="s">
        <v>98</v>
      </c>
      <c r="E1745" t="s">
        <v>110</v>
      </c>
      <c r="F1745">
        <v>14476.154745706661</v>
      </c>
      <c r="G1745">
        <v>2040</v>
      </c>
      <c r="H1745">
        <v>4</v>
      </c>
      <c r="I1745">
        <v>2</v>
      </c>
    </row>
    <row r="1746" spans="1:9" x14ac:dyDescent="0.35">
      <c r="A1746" t="str">
        <f t="shared" si="27"/>
        <v>DAcostS1204042</v>
      </c>
      <c r="C1746" t="s">
        <v>99</v>
      </c>
      <c r="D1746" t="s">
        <v>100</v>
      </c>
      <c r="E1746" t="s">
        <v>110</v>
      </c>
      <c r="F1746">
        <v>34352.151339436248</v>
      </c>
      <c r="G1746">
        <v>2040</v>
      </c>
      <c r="H1746">
        <v>4</v>
      </c>
      <c r="I1746">
        <v>2</v>
      </c>
    </row>
    <row r="1747" spans="1:9" x14ac:dyDescent="0.35">
      <c r="A1747" t="str">
        <f t="shared" si="27"/>
        <v>DAincomeS1204042</v>
      </c>
      <c r="C1747" t="s">
        <v>99</v>
      </c>
      <c r="D1747" t="s">
        <v>101</v>
      </c>
      <c r="E1747" t="s">
        <v>110</v>
      </c>
      <c r="F1747">
        <v>75702.993857079477</v>
      </c>
      <c r="G1747">
        <v>2040</v>
      </c>
      <c r="H1747">
        <v>4</v>
      </c>
      <c r="I1747">
        <v>2</v>
      </c>
    </row>
    <row r="1748" spans="1:9" x14ac:dyDescent="0.35">
      <c r="A1748" t="str">
        <f t="shared" si="27"/>
        <v>DAenergy_boughtS1204042</v>
      </c>
      <c r="C1748" t="s">
        <v>99</v>
      </c>
      <c r="D1748" t="s">
        <v>111</v>
      </c>
      <c r="E1748" t="s">
        <v>110</v>
      </c>
      <c r="F1748">
        <v>886.02335749506756</v>
      </c>
      <c r="G1748">
        <v>2040</v>
      </c>
      <c r="H1748">
        <v>4</v>
      </c>
      <c r="I1748">
        <v>2</v>
      </c>
    </row>
    <row r="1749" spans="1:9" x14ac:dyDescent="0.35">
      <c r="A1749" t="str">
        <f t="shared" si="27"/>
        <v>DAenergy_soldS1204042</v>
      </c>
      <c r="C1749" t="s">
        <v>99</v>
      </c>
      <c r="D1749" t="s">
        <v>112</v>
      </c>
      <c r="E1749" t="s">
        <v>110</v>
      </c>
      <c r="F1749">
        <v>706.92968924410172</v>
      </c>
      <c r="G1749">
        <v>2040</v>
      </c>
      <c r="H1749">
        <v>4</v>
      </c>
      <c r="I1749">
        <v>2</v>
      </c>
    </row>
    <row r="1750" spans="1:9" x14ac:dyDescent="0.35">
      <c r="A1750" t="str">
        <f t="shared" si="27"/>
        <v>DAhours_boughtS1204042</v>
      </c>
      <c r="C1750" t="s">
        <v>99</v>
      </c>
      <c r="D1750" t="s">
        <v>113</v>
      </c>
      <c r="E1750" t="s">
        <v>110</v>
      </c>
      <c r="F1750">
        <v>1976</v>
      </c>
      <c r="G1750">
        <v>2040</v>
      </c>
      <c r="H1750">
        <v>4</v>
      </c>
      <c r="I1750">
        <v>2</v>
      </c>
    </row>
    <row r="1751" spans="1:9" x14ac:dyDescent="0.35">
      <c r="A1751" t="str">
        <f t="shared" si="27"/>
        <v>DAhours_soldS1204042</v>
      </c>
      <c r="C1751" t="s">
        <v>99</v>
      </c>
      <c r="D1751" t="s">
        <v>114</v>
      </c>
      <c r="E1751" t="s">
        <v>110</v>
      </c>
      <c r="F1751">
        <v>412</v>
      </c>
      <c r="G1751">
        <v>2040</v>
      </c>
      <c r="H1751">
        <v>4</v>
      </c>
      <c r="I1751">
        <v>2</v>
      </c>
    </row>
    <row r="1752" spans="1:9" x14ac:dyDescent="0.35">
      <c r="A1752" t="str">
        <f t="shared" si="27"/>
        <v>DAco2_emissionS1204042</v>
      </c>
      <c r="C1752" t="s">
        <v>99</v>
      </c>
      <c r="D1752" t="s">
        <v>204</v>
      </c>
      <c r="E1752" t="s">
        <v>110</v>
      </c>
      <c r="F1752">
        <v>62021.635024654439</v>
      </c>
      <c r="G1752">
        <v>2040</v>
      </c>
      <c r="H1752">
        <v>4</v>
      </c>
      <c r="I1752">
        <v>2</v>
      </c>
    </row>
    <row r="1753" spans="1:9" x14ac:dyDescent="0.35">
      <c r="A1753" t="str">
        <f t="shared" si="27"/>
        <v>fcrincomeS1204042</v>
      </c>
      <c r="C1753" t="s">
        <v>102</v>
      </c>
      <c r="D1753" t="s">
        <v>101</v>
      </c>
      <c r="E1753" t="s">
        <v>110</v>
      </c>
      <c r="F1753">
        <v>18.42543140011778</v>
      </c>
      <c r="G1753">
        <v>2040</v>
      </c>
      <c r="H1753">
        <v>4</v>
      </c>
      <c r="I1753">
        <v>2</v>
      </c>
    </row>
    <row r="1754" spans="1:9" x14ac:dyDescent="0.35">
      <c r="A1754" t="str">
        <f t="shared" si="27"/>
        <v>fcractivation_hoursS1204042</v>
      </c>
      <c r="B1754" t="s">
        <v>95</v>
      </c>
      <c r="C1754" t="s">
        <v>102</v>
      </c>
      <c r="D1754" t="s">
        <v>115</v>
      </c>
      <c r="E1754" t="s">
        <v>110</v>
      </c>
      <c r="F1754">
        <v>20</v>
      </c>
      <c r="G1754">
        <v>2040</v>
      </c>
      <c r="H1754">
        <v>4</v>
      </c>
      <c r="I1754">
        <v>2</v>
      </c>
    </row>
    <row r="1755" spans="1:9" x14ac:dyDescent="0.35">
      <c r="A1755" t="str">
        <f t="shared" si="27"/>
        <v>afrrincomeS1204042</v>
      </c>
      <c r="B1755" t="s">
        <v>95</v>
      </c>
      <c r="C1755" t="s">
        <v>103</v>
      </c>
      <c r="D1755" t="s">
        <v>101</v>
      </c>
      <c r="E1755" t="s">
        <v>110</v>
      </c>
      <c r="F1755">
        <v>83032.896061601656</v>
      </c>
      <c r="G1755">
        <v>2040</v>
      </c>
      <c r="H1755">
        <v>4</v>
      </c>
      <c r="I1755">
        <v>2</v>
      </c>
    </row>
    <row r="1756" spans="1:9" x14ac:dyDescent="0.35">
      <c r="A1756" t="str">
        <f t="shared" si="27"/>
        <v>afrractivation_hoursS1204042</v>
      </c>
      <c r="C1756" t="s">
        <v>103</v>
      </c>
      <c r="D1756" t="s">
        <v>115</v>
      </c>
      <c r="E1756" t="s">
        <v>110</v>
      </c>
      <c r="F1756">
        <v>8314</v>
      </c>
      <c r="G1756">
        <v>2040</v>
      </c>
      <c r="H1756">
        <v>4</v>
      </c>
      <c r="I1756">
        <v>2</v>
      </c>
    </row>
    <row r="1757" spans="1:9" x14ac:dyDescent="0.35">
      <c r="A1757" t="str">
        <f t="shared" si="27"/>
        <v>networkturpe_power_costS1204142</v>
      </c>
      <c r="C1757" t="s">
        <v>96</v>
      </c>
      <c r="D1757" t="s">
        <v>97</v>
      </c>
      <c r="E1757" t="s">
        <v>110</v>
      </c>
      <c r="F1757">
        <v>7911.4090596232654</v>
      </c>
      <c r="G1757">
        <v>2041</v>
      </c>
      <c r="H1757">
        <v>4</v>
      </c>
      <c r="I1757">
        <v>2</v>
      </c>
    </row>
    <row r="1758" spans="1:9" x14ac:dyDescent="0.35">
      <c r="A1758" t="str">
        <f t="shared" si="27"/>
        <v>networkturpe_energy_costS1204142</v>
      </c>
      <c r="C1758" t="s">
        <v>96</v>
      </c>
      <c r="D1758" t="s">
        <v>98</v>
      </c>
      <c r="E1758" t="s">
        <v>110</v>
      </c>
      <c r="F1758">
        <v>15761.87439061622</v>
      </c>
      <c r="G1758">
        <v>2041</v>
      </c>
      <c r="H1758">
        <v>4</v>
      </c>
      <c r="I1758">
        <v>2</v>
      </c>
    </row>
    <row r="1759" spans="1:9" x14ac:dyDescent="0.35">
      <c r="A1759" t="str">
        <f t="shared" si="27"/>
        <v>DAcostS1204142</v>
      </c>
      <c r="C1759" t="s">
        <v>99</v>
      </c>
      <c r="D1759" t="s">
        <v>100</v>
      </c>
      <c r="E1759" t="s">
        <v>110</v>
      </c>
      <c r="F1759">
        <v>37040.782922661201</v>
      </c>
      <c r="G1759">
        <v>2041</v>
      </c>
      <c r="H1759">
        <v>4</v>
      </c>
      <c r="I1759">
        <v>2</v>
      </c>
    </row>
    <row r="1760" spans="1:9" x14ac:dyDescent="0.35">
      <c r="A1760" t="str">
        <f t="shared" si="27"/>
        <v>DAincomeS1204142</v>
      </c>
      <c r="C1760" t="s">
        <v>99</v>
      </c>
      <c r="D1760" t="s">
        <v>101</v>
      </c>
      <c r="E1760" t="s">
        <v>110</v>
      </c>
      <c r="F1760">
        <v>80797.854779866248</v>
      </c>
      <c r="G1760">
        <v>2041</v>
      </c>
      <c r="H1760">
        <v>4</v>
      </c>
      <c r="I1760">
        <v>2</v>
      </c>
    </row>
    <row r="1761" spans="1:9" x14ac:dyDescent="0.35">
      <c r="A1761" t="str">
        <f t="shared" si="27"/>
        <v>DAenergy_boughtS1204142</v>
      </c>
      <c r="C1761" t="s">
        <v>99</v>
      </c>
      <c r="D1761" t="s">
        <v>111</v>
      </c>
      <c r="E1761" t="s">
        <v>110</v>
      </c>
      <c r="F1761">
        <v>949.24016812887339</v>
      </c>
      <c r="G1761">
        <v>2041</v>
      </c>
      <c r="H1761">
        <v>4</v>
      </c>
      <c r="I1761">
        <v>2</v>
      </c>
    </row>
    <row r="1762" spans="1:9" x14ac:dyDescent="0.35">
      <c r="A1762" t="str">
        <f t="shared" si="27"/>
        <v>DAenergy_soldS1204142</v>
      </c>
      <c r="C1762" t="s">
        <v>99</v>
      </c>
      <c r="D1762" t="s">
        <v>112</v>
      </c>
      <c r="E1762" t="s">
        <v>110</v>
      </c>
      <c r="F1762">
        <v>758.39925610547868</v>
      </c>
      <c r="G1762">
        <v>2041</v>
      </c>
      <c r="H1762">
        <v>4</v>
      </c>
      <c r="I1762">
        <v>2</v>
      </c>
    </row>
    <row r="1763" spans="1:9" x14ac:dyDescent="0.35">
      <c r="A1763" t="str">
        <f t="shared" si="27"/>
        <v>DAhours_boughtS1204142</v>
      </c>
      <c r="C1763" t="s">
        <v>99</v>
      </c>
      <c r="D1763" t="s">
        <v>113</v>
      </c>
      <c r="E1763" t="s">
        <v>110</v>
      </c>
      <c r="F1763">
        <v>1848</v>
      </c>
      <c r="G1763">
        <v>2041</v>
      </c>
      <c r="H1763">
        <v>4</v>
      </c>
      <c r="I1763">
        <v>2</v>
      </c>
    </row>
    <row r="1764" spans="1:9" x14ac:dyDescent="0.35">
      <c r="A1764" t="str">
        <f t="shared" si="27"/>
        <v>DAhours_soldS1204142</v>
      </c>
      <c r="C1764" t="s">
        <v>99</v>
      </c>
      <c r="D1764" t="s">
        <v>114</v>
      </c>
      <c r="E1764" t="s">
        <v>110</v>
      </c>
      <c r="F1764">
        <v>452</v>
      </c>
      <c r="G1764">
        <v>2041</v>
      </c>
      <c r="H1764">
        <v>4</v>
      </c>
      <c r="I1764">
        <v>2</v>
      </c>
    </row>
    <row r="1765" spans="1:9" x14ac:dyDescent="0.35">
      <c r="A1765" t="str">
        <f t="shared" si="27"/>
        <v>DAco2_emissionS1204142</v>
      </c>
      <c r="C1765" t="s">
        <v>99</v>
      </c>
      <c r="D1765" t="s">
        <v>204</v>
      </c>
      <c r="E1765" t="s">
        <v>110</v>
      </c>
      <c r="F1765">
        <v>66446.811769022112</v>
      </c>
      <c r="G1765">
        <v>2041</v>
      </c>
      <c r="H1765">
        <v>4</v>
      </c>
      <c r="I1765">
        <v>2</v>
      </c>
    </row>
    <row r="1766" spans="1:9" x14ac:dyDescent="0.35">
      <c r="A1766" t="str">
        <f t="shared" si="27"/>
        <v>fcrincomeS1204142</v>
      </c>
      <c r="B1766" t="s">
        <v>95</v>
      </c>
      <c r="C1766" t="s">
        <v>102</v>
      </c>
      <c r="D1766" t="s">
        <v>101</v>
      </c>
      <c r="E1766" t="s">
        <v>110</v>
      </c>
      <c r="F1766">
        <v>22.532632508579429</v>
      </c>
      <c r="G1766">
        <v>2041</v>
      </c>
      <c r="H1766">
        <v>4</v>
      </c>
      <c r="I1766">
        <v>2</v>
      </c>
    </row>
    <row r="1767" spans="1:9" x14ac:dyDescent="0.35">
      <c r="A1767" t="str">
        <f t="shared" si="27"/>
        <v>fcractivation_hoursS1204142</v>
      </c>
      <c r="B1767" t="s">
        <v>95</v>
      </c>
      <c r="C1767" t="s">
        <v>102</v>
      </c>
      <c r="D1767" t="s">
        <v>115</v>
      </c>
      <c r="E1767" t="s">
        <v>110</v>
      </c>
      <c r="F1767">
        <v>32</v>
      </c>
      <c r="G1767">
        <v>2041</v>
      </c>
      <c r="H1767">
        <v>4</v>
      </c>
      <c r="I1767">
        <v>2</v>
      </c>
    </row>
    <row r="1768" spans="1:9" x14ac:dyDescent="0.35">
      <c r="A1768" t="str">
        <f t="shared" si="27"/>
        <v>afrrincomeS1204142</v>
      </c>
      <c r="C1768" t="s">
        <v>103</v>
      </c>
      <c r="D1768" t="s">
        <v>101</v>
      </c>
      <c r="E1768" t="s">
        <v>110</v>
      </c>
      <c r="F1768">
        <v>77188.0272344845</v>
      </c>
      <c r="G1768">
        <v>2041</v>
      </c>
      <c r="H1768">
        <v>4</v>
      </c>
      <c r="I1768">
        <v>2</v>
      </c>
    </row>
    <row r="1769" spans="1:9" x14ac:dyDescent="0.35">
      <c r="A1769" t="str">
        <f t="shared" si="27"/>
        <v>afrractivation_hoursS1204142</v>
      </c>
      <c r="C1769" t="s">
        <v>103</v>
      </c>
      <c r="D1769" t="s">
        <v>115</v>
      </c>
      <c r="E1769" t="s">
        <v>110</v>
      </c>
      <c r="F1769">
        <v>8112</v>
      </c>
      <c r="G1769">
        <v>2041</v>
      </c>
      <c r="H1769">
        <v>4</v>
      </c>
      <c r="I1769">
        <v>2</v>
      </c>
    </row>
    <row r="1770" spans="1:9" x14ac:dyDescent="0.35">
      <c r="A1770" t="str">
        <f t="shared" si="27"/>
        <v>networkturpe_power_costS1202551</v>
      </c>
      <c r="C1770" t="s">
        <v>96</v>
      </c>
      <c r="D1770" t="s">
        <v>97</v>
      </c>
      <c r="E1770" t="s">
        <v>110</v>
      </c>
      <c r="F1770">
        <v>6690.9700762167404</v>
      </c>
      <c r="G1770">
        <v>2025</v>
      </c>
      <c r="H1770">
        <v>5</v>
      </c>
      <c r="I1770">
        <v>1</v>
      </c>
    </row>
    <row r="1771" spans="1:9" x14ac:dyDescent="0.35">
      <c r="A1771" t="str">
        <f t="shared" si="27"/>
        <v>networkturpe_energy_costS1202551</v>
      </c>
      <c r="C1771" t="s">
        <v>96</v>
      </c>
      <c r="D1771" t="s">
        <v>98</v>
      </c>
      <c r="E1771" t="s">
        <v>110</v>
      </c>
      <c r="F1771">
        <v>228.73861487766791</v>
      </c>
      <c r="G1771">
        <v>2025</v>
      </c>
      <c r="H1771">
        <v>5</v>
      </c>
      <c r="I1771">
        <v>1</v>
      </c>
    </row>
    <row r="1772" spans="1:9" x14ac:dyDescent="0.35">
      <c r="A1772" t="str">
        <f t="shared" si="27"/>
        <v>DAcostS1202551</v>
      </c>
      <c r="C1772" t="s">
        <v>99</v>
      </c>
      <c r="D1772" t="s">
        <v>100</v>
      </c>
      <c r="E1772" t="s">
        <v>110</v>
      </c>
      <c r="F1772">
        <v>2105.7136060473899</v>
      </c>
      <c r="G1772">
        <v>2025</v>
      </c>
      <c r="H1772">
        <v>5</v>
      </c>
      <c r="I1772">
        <v>1</v>
      </c>
    </row>
    <row r="1773" spans="1:9" x14ac:dyDescent="0.35">
      <c r="A1773" t="str">
        <f t="shared" si="27"/>
        <v>DAincomeS1202551</v>
      </c>
      <c r="C1773" t="s">
        <v>99</v>
      </c>
      <c r="D1773" t="s">
        <v>101</v>
      </c>
      <c r="E1773" t="s">
        <v>110</v>
      </c>
      <c r="F1773">
        <v>0</v>
      </c>
      <c r="G1773">
        <v>2025</v>
      </c>
      <c r="H1773">
        <v>5</v>
      </c>
      <c r="I1773">
        <v>1</v>
      </c>
    </row>
    <row r="1774" spans="1:9" x14ac:dyDescent="0.35">
      <c r="A1774" t="str">
        <f t="shared" si="27"/>
        <v>DAenergy_boughtS1202551</v>
      </c>
      <c r="C1774" t="s">
        <v>99</v>
      </c>
      <c r="D1774" t="s">
        <v>111</v>
      </c>
      <c r="E1774" t="s">
        <v>110</v>
      </c>
      <c r="F1774">
        <v>12.16634541190839</v>
      </c>
      <c r="G1774">
        <v>2025</v>
      </c>
      <c r="H1774">
        <v>5</v>
      </c>
      <c r="I1774">
        <v>1</v>
      </c>
    </row>
    <row r="1775" spans="1:9" x14ac:dyDescent="0.35">
      <c r="A1775" t="str">
        <f t="shared" si="27"/>
        <v>DAenergy_soldS1202551</v>
      </c>
      <c r="C1775" t="s">
        <v>99</v>
      </c>
      <c r="D1775" t="s">
        <v>112</v>
      </c>
      <c r="E1775" t="s">
        <v>110</v>
      </c>
      <c r="F1775">
        <v>0</v>
      </c>
      <c r="G1775">
        <v>2025</v>
      </c>
      <c r="H1775">
        <v>5</v>
      </c>
      <c r="I1775">
        <v>1</v>
      </c>
    </row>
    <row r="1776" spans="1:9" x14ac:dyDescent="0.35">
      <c r="A1776" t="str">
        <f t="shared" si="27"/>
        <v>DAhours_boughtS1202551</v>
      </c>
      <c r="C1776" t="s">
        <v>99</v>
      </c>
      <c r="D1776" t="s">
        <v>113</v>
      </c>
      <c r="E1776" t="s">
        <v>110</v>
      </c>
      <c r="F1776">
        <v>6013</v>
      </c>
      <c r="G1776">
        <v>2025</v>
      </c>
      <c r="H1776">
        <v>5</v>
      </c>
      <c r="I1776">
        <v>1</v>
      </c>
    </row>
    <row r="1777" spans="1:9" x14ac:dyDescent="0.35">
      <c r="A1777" t="str">
        <f t="shared" si="27"/>
        <v>DAhours_soldS1202551</v>
      </c>
      <c r="C1777" t="s">
        <v>99</v>
      </c>
      <c r="D1777" t="s">
        <v>114</v>
      </c>
      <c r="E1777" t="s">
        <v>110</v>
      </c>
      <c r="F1777">
        <v>0</v>
      </c>
      <c r="G1777">
        <v>2025</v>
      </c>
      <c r="H1777">
        <v>5</v>
      </c>
      <c r="I1777">
        <v>1</v>
      </c>
    </row>
    <row r="1778" spans="1:9" x14ac:dyDescent="0.35">
      <c r="A1778" t="str">
        <f t="shared" si="27"/>
        <v>DAco2_emissionS1202551</v>
      </c>
      <c r="B1778" t="s">
        <v>95</v>
      </c>
      <c r="C1778" t="s">
        <v>99</v>
      </c>
      <c r="D1778" t="s">
        <v>204</v>
      </c>
      <c r="E1778" t="s">
        <v>110</v>
      </c>
      <c r="F1778">
        <v>851.64417883359692</v>
      </c>
      <c r="G1778">
        <v>2025</v>
      </c>
      <c r="H1778">
        <v>5</v>
      </c>
      <c r="I1778">
        <v>1</v>
      </c>
    </row>
    <row r="1779" spans="1:9" x14ac:dyDescent="0.35">
      <c r="A1779" t="str">
        <f t="shared" si="27"/>
        <v>fcrincomeS1202551</v>
      </c>
      <c r="B1779" t="s">
        <v>95</v>
      </c>
      <c r="C1779" t="s">
        <v>102</v>
      </c>
      <c r="D1779" t="s">
        <v>101</v>
      </c>
      <c r="E1779" t="s">
        <v>110</v>
      </c>
      <c r="F1779">
        <v>0</v>
      </c>
      <c r="G1779">
        <v>2025</v>
      </c>
      <c r="H1779">
        <v>5</v>
      </c>
      <c r="I1779">
        <v>1</v>
      </c>
    </row>
    <row r="1780" spans="1:9" x14ac:dyDescent="0.35">
      <c r="A1780" t="str">
        <f t="shared" si="27"/>
        <v>fcractivation_hoursS1202551</v>
      </c>
      <c r="C1780" t="s">
        <v>102</v>
      </c>
      <c r="D1780" t="s">
        <v>115</v>
      </c>
      <c r="E1780" t="s">
        <v>110</v>
      </c>
      <c r="F1780">
        <v>0</v>
      </c>
      <c r="G1780">
        <v>2025</v>
      </c>
      <c r="H1780">
        <v>5</v>
      </c>
      <c r="I1780">
        <v>1</v>
      </c>
    </row>
    <row r="1781" spans="1:9" x14ac:dyDescent="0.35">
      <c r="A1781" t="str">
        <f t="shared" si="27"/>
        <v>afrrincomeS1202551</v>
      </c>
      <c r="C1781" t="s">
        <v>103</v>
      </c>
      <c r="D1781" t="s">
        <v>101</v>
      </c>
      <c r="E1781" t="s">
        <v>110</v>
      </c>
      <c r="F1781">
        <v>255647.23234826489</v>
      </c>
      <c r="G1781">
        <v>2025</v>
      </c>
      <c r="H1781">
        <v>5</v>
      </c>
      <c r="I1781">
        <v>1</v>
      </c>
    </row>
    <row r="1782" spans="1:9" x14ac:dyDescent="0.35">
      <c r="A1782" t="str">
        <f t="shared" si="27"/>
        <v>afrractivation_hoursS1202551</v>
      </c>
      <c r="C1782" t="s">
        <v>103</v>
      </c>
      <c r="D1782" t="s">
        <v>115</v>
      </c>
      <c r="E1782" t="s">
        <v>110</v>
      </c>
      <c r="F1782">
        <v>8760</v>
      </c>
      <c r="G1782">
        <v>2025</v>
      </c>
      <c r="H1782">
        <v>5</v>
      </c>
      <c r="I1782">
        <v>1</v>
      </c>
    </row>
    <row r="1783" spans="1:9" x14ac:dyDescent="0.35">
      <c r="A1783" t="str">
        <f t="shared" si="27"/>
        <v>networkturpe_power_costS1202651</v>
      </c>
      <c r="C1783" t="s">
        <v>96</v>
      </c>
      <c r="D1783" t="s">
        <v>97</v>
      </c>
      <c r="E1783" t="s">
        <v>110</v>
      </c>
      <c r="F1783">
        <v>6522.3142589836461</v>
      </c>
      <c r="G1783">
        <v>2026</v>
      </c>
      <c r="H1783">
        <v>5</v>
      </c>
      <c r="I1783">
        <v>1</v>
      </c>
    </row>
    <row r="1784" spans="1:9" x14ac:dyDescent="0.35">
      <c r="A1784" t="str">
        <f t="shared" si="27"/>
        <v>networkturpe_energy_costS1202651</v>
      </c>
      <c r="C1784" t="s">
        <v>96</v>
      </c>
      <c r="D1784" t="s">
        <v>98</v>
      </c>
      <c r="E1784" t="s">
        <v>110</v>
      </c>
      <c r="F1784">
        <v>223.2752677997475</v>
      </c>
      <c r="G1784">
        <v>2026</v>
      </c>
      <c r="H1784">
        <v>5</v>
      </c>
      <c r="I1784">
        <v>1</v>
      </c>
    </row>
    <row r="1785" spans="1:9" x14ac:dyDescent="0.35">
      <c r="A1785" t="str">
        <f t="shared" si="27"/>
        <v>DAcostS1202651</v>
      </c>
      <c r="C1785" t="s">
        <v>99</v>
      </c>
      <c r="D1785" t="s">
        <v>100</v>
      </c>
      <c r="E1785" t="s">
        <v>110</v>
      </c>
      <c r="F1785">
        <v>1877.7415183143951</v>
      </c>
      <c r="G1785">
        <v>2026</v>
      </c>
      <c r="H1785">
        <v>5</v>
      </c>
      <c r="I1785">
        <v>1</v>
      </c>
    </row>
    <row r="1786" spans="1:9" x14ac:dyDescent="0.35">
      <c r="A1786" t="str">
        <f t="shared" si="27"/>
        <v>DAincomeS1202651</v>
      </c>
      <c r="C1786" t="s">
        <v>99</v>
      </c>
      <c r="D1786" t="s">
        <v>101</v>
      </c>
      <c r="E1786" t="s">
        <v>110</v>
      </c>
      <c r="F1786">
        <v>0</v>
      </c>
      <c r="G1786">
        <v>2026</v>
      </c>
      <c r="H1786">
        <v>5</v>
      </c>
      <c r="I1786">
        <v>1</v>
      </c>
    </row>
    <row r="1787" spans="1:9" x14ac:dyDescent="0.35">
      <c r="A1787" t="str">
        <f t="shared" si="27"/>
        <v>DAenergy_boughtS1202651</v>
      </c>
      <c r="C1787" t="s">
        <v>99</v>
      </c>
      <c r="D1787" t="s">
        <v>111</v>
      </c>
      <c r="E1787" t="s">
        <v>110</v>
      </c>
      <c r="F1787">
        <v>11.86177968122198</v>
      </c>
      <c r="G1787">
        <v>2026</v>
      </c>
      <c r="H1787">
        <v>5</v>
      </c>
      <c r="I1787">
        <v>1</v>
      </c>
    </row>
    <row r="1788" spans="1:9" x14ac:dyDescent="0.35">
      <c r="A1788" t="str">
        <f t="shared" si="27"/>
        <v>DAenergy_soldS1202651</v>
      </c>
      <c r="C1788" t="s">
        <v>99</v>
      </c>
      <c r="D1788" t="s">
        <v>112</v>
      </c>
      <c r="E1788" t="s">
        <v>110</v>
      </c>
      <c r="F1788">
        <v>0</v>
      </c>
      <c r="G1788">
        <v>2026</v>
      </c>
      <c r="H1788">
        <v>5</v>
      </c>
      <c r="I1788">
        <v>1</v>
      </c>
    </row>
    <row r="1789" spans="1:9" x14ac:dyDescent="0.35">
      <c r="A1789" t="str">
        <f t="shared" si="27"/>
        <v>DAhours_boughtS1202651</v>
      </c>
      <c r="C1789" t="s">
        <v>99</v>
      </c>
      <c r="D1789" t="s">
        <v>113</v>
      </c>
      <c r="E1789" t="s">
        <v>110</v>
      </c>
      <c r="F1789">
        <v>6580</v>
      </c>
      <c r="G1789">
        <v>2026</v>
      </c>
      <c r="H1789">
        <v>5</v>
      </c>
      <c r="I1789">
        <v>1</v>
      </c>
    </row>
    <row r="1790" spans="1:9" x14ac:dyDescent="0.35">
      <c r="A1790" t="str">
        <f t="shared" si="27"/>
        <v>DAhours_soldS1202651</v>
      </c>
      <c r="B1790" t="s">
        <v>95</v>
      </c>
      <c r="C1790" t="s">
        <v>99</v>
      </c>
      <c r="D1790" t="s">
        <v>114</v>
      </c>
      <c r="E1790" t="s">
        <v>110</v>
      </c>
      <c r="F1790">
        <v>0</v>
      </c>
      <c r="G1790">
        <v>2026</v>
      </c>
      <c r="H1790">
        <v>5</v>
      </c>
      <c r="I1790">
        <v>1</v>
      </c>
    </row>
    <row r="1791" spans="1:9" x14ac:dyDescent="0.35">
      <c r="A1791" t="str">
        <f t="shared" si="27"/>
        <v>DAco2_emissionS1202651</v>
      </c>
      <c r="B1791" t="s">
        <v>95</v>
      </c>
      <c r="C1791" t="s">
        <v>99</v>
      </c>
      <c r="D1791" t="s">
        <v>204</v>
      </c>
      <c r="E1791" t="s">
        <v>110</v>
      </c>
      <c r="F1791">
        <v>830.32457768563438</v>
      </c>
      <c r="G1791">
        <v>2026</v>
      </c>
      <c r="H1791">
        <v>5</v>
      </c>
      <c r="I1791">
        <v>1</v>
      </c>
    </row>
    <row r="1792" spans="1:9" x14ac:dyDescent="0.35">
      <c r="A1792" t="str">
        <f t="shared" si="27"/>
        <v>fcrincomeS1202651</v>
      </c>
      <c r="C1792" t="s">
        <v>102</v>
      </c>
      <c r="D1792" t="s">
        <v>101</v>
      </c>
      <c r="E1792" t="s">
        <v>110</v>
      </c>
      <c r="F1792">
        <v>0</v>
      </c>
      <c r="G1792">
        <v>2026</v>
      </c>
      <c r="H1792">
        <v>5</v>
      </c>
      <c r="I1792">
        <v>1</v>
      </c>
    </row>
    <row r="1793" spans="1:9" x14ac:dyDescent="0.35">
      <c r="A1793" t="str">
        <f t="shared" si="27"/>
        <v>fcractivation_hoursS1202651</v>
      </c>
      <c r="C1793" t="s">
        <v>102</v>
      </c>
      <c r="D1793" t="s">
        <v>115</v>
      </c>
      <c r="E1793" t="s">
        <v>110</v>
      </c>
      <c r="F1793">
        <v>0</v>
      </c>
      <c r="G1793">
        <v>2026</v>
      </c>
      <c r="H1793">
        <v>5</v>
      </c>
      <c r="I1793">
        <v>1</v>
      </c>
    </row>
    <row r="1794" spans="1:9" x14ac:dyDescent="0.35">
      <c r="A1794" t="str">
        <f t="shared" si="27"/>
        <v>afrrincomeS1202651</v>
      </c>
      <c r="C1794" t="s">
        <v>103</v>
      </c>
      <c r="D1794" t="s">
        <v>101</v>
      </c>
      <c r="E1794" t="s">
        <v>110</v>
      </c>
      <c r="F1794">
        <v>242592.81421932511</v>
      </c>
      <c r="G1794">
        <v>2026</v>
      </c>
      <c r="H1794">
        <v>5</v>
      </c>
      <c r="I1794">
        <v>1</v>
      </c>
    </row>
    <row r="1795" spans="1:9" x14ac:dyDescent="0.35">
      <c r="A1795" t="str">
        <f t="shared" ref="A1795:A1858" si="28">C1795&amp;D1795&amp;E1795&amp;G1795&amp;H1795&amp;I1795</f>
        <v>afrractivation_hoursS1202651</v>
      </c>
      <c r="C1795" t="s">
        <v>103</v>
      </c>
      <c r="D1795" t="s">
        <v>115</v>
      </c>
      <c r="E1795" t="s">
        <v>110</v>
      </c>
      <c r="F1795">
        <v>8760</v>
      </c>
      <c r="G1795">
        <v>2026</v>
      </c>
      <c r="H1795">
        <v>5</v>
      </c>
      <c r="I1795">
        <v>1</v>
      </c>
    </row>
    <row r="1796" spans="1:9" x14ac:dyDescent="0.35">
      <c r="A1796" t="str">
        <f t="shared" si="28"/>
        <v>networkturpe_power_costS1202751</v>
      </c>
      <c r="C1796" t="s">
        <v>96</v>
      </c>
      <c r="D1796" t="s">
        <v>97</v>
      </c>
      <c r="E1796" t="s">
        <v>110</v>
      </c>
      <c r="F1796">
        <v>6361.344608431672</v>
      </c>
      <c r="G1796">
        <v>2027</v>
      </c>
      <c r="H1796">
        <v>5</v>
      </c>
      <c r="I1796">
        <v>1</v>
      </c>
    </row>
    <row r="1797" spans="1:9" x14ac:dyDescent="0.35">
      <c r="A1797" t="str">
        <f t="shared" si="28"/>
        <v>networkturpe_energy_costS1202751</v>
      </c>
      <c r="C1797" t="s">
        <v>96</v>
      </c>
      <c r="D1797" t="s">
        <v>98</v>
      </c>
      <c r="E1797" t="s">
        <v>110</v>
      </c>
      <c r="F1797">
        <v>216.06483491944331</v>
      </c>
      <c r="G1797">
        <v>2027</v>
      </c>
      <c r="H1797">
        <v>5</v>
      </c>
      <c r="I1797">
        <v>1</v>
      </c>
    </row>
    <row r="1798" spans="1:9" x14ac:dyDescent="0.35">
      <c r="A1798" t="str">
        <f t="shared" si="28"/>
        <v>DAcostS1202751</v>
      </c>
      <c r="C1798" t="s">
        <v>99</v>
      </c>
      <c r="D1798" t="s">
        <v>100</v>
      </c>
      <c r="E1798" t="s">
        <v>110</v>
      </c>
      <c r="F1798">
        <v>1398.6993463256449</v>
      </c>
      <c r="G1798">
        <v>2027</v>
      </c>
      <c r="H1798">
        <v>5</v>
      </c>
      <c r="I1798">
        <v>1</v>
      </c>
    </row>
    <row r="1799" spans="1:9" x14ac:dyDescent="0.35">
      <c r="A1799" t="str">
        <f t="shared" si="28"/>
        <v>DAincomeS1202751</v>
      </c>
      <c r="C1799" t="s">
        <v>99</v>
      </c>
      <c r="D1799" t="s">
        <v>101</v>
      </c>
      <c r="E1799" t="s">
        <v>110</v>
      </c>
      <c r="F1799">
        <v>5.3664527560615127E-4</v>
      </c>
      <c r="G1799">
        <v>2027</v>
      </c>
      <c r="H1799">
        <v>5</v>
      </c>
      <c r="I1799">
        <v>1</v>
      </c>
    </row>
    <row r="1800" spans="1:9" x14ac:dyDescent="0.35">
      <c r="A1800" t="str">
        <f t="shared" si="28"/>
        <v>DAenergy_boughtS1202751</v>
      </c>
      <c r="C1800" t="s">
        <v>99</v>
      </c>
      <c r="D1800" t="s">
        <v>111</v>
      </c>
      <c r="E1800" t="s">
        <v>110</v>
      </c>
      <c r="F1800">
        <v>11.564934187790991</v>
      </c>
      <c r="G1800">
        <v>2027</v>
      </c>
      <c r="H1800">
        <v>5</v>
      </c>
      <c r="I1800">
        <v>1</v>
      </c>
    </row>
    <row r="1801" spans="1:9" x14ac:dyDescent="0.35">
      <c r="A1801" t="str">
        <f t="shared" si="28"/>
        <v>DAenergy_soldS1202751</v>
      </c>
      <c r="C1801" t="s">
        <v>99</v>
      </c>
      <c r="D1801" t="s">
        <v>112</v>
      </c>
      <c r="E1801" t="s">
        <v>110</v>
      </c>
      <c r="F1801">
        <v>3.9629189583223479E-6</v>
      </c>
      <c r="G1801">
        <v>2027</v>
      </c>
      <c r="H1801">
        <v>5</v>
      </c>
      <c r="I1801">
        <v>1</v>
      </c>
    </row>
    <row r="1802" spans="1:9" x14ac:dyDescent="0.35">
      <c r="A1802" t="str">
        <f t="shared" si="28"/>
        <v>DAhours_boughtS1202751</v>
      </c>
      <c r="B1802" t="s">
        <v>95</v>
      </c>
      <c r="C1802" t="s">
        <v>99</v>
      </c>
      <c r="D1802" t="s">
        <v>113</v>
      </c>
      <c r="E1802" t="s">
        <v>110</v>
      </c>
      <c r="F1802">
        <v>5770</v>
      </c>
      <c r="G1802">
        <v>2027</v>
      </c>
      <c r="H1802">
        <v>5</v>
      </c>
      <c r="I1802">
        <v>1</v>
      </c>
    </row>
    <row r="1803" spans="1:9" x14ac:dyDescent="0.35">
      <c r="A1803" t="str">
        <f t="shared" si="28"/>
        <v>DAhours_soldS1202751</v>
      </c>
      <c r="B1803" t="s">
        <v>95</v>
      </c>
      <c r="C1803" t="s">
        <v>99</v>
      </c>
      <c r="D1803" t="s">
        <v>114</v>
      </c>
      <c r="E1803" t="s">
        <v>110</v>
      </c>
      <c r="F1803">
        <v>0</v>
      </c>
      <c r="G1803">
        <v>2027</v>
      </c>
      <c r="H1803">
        <v>5</v>
      </c>
      <c r="I1803">
        <v>1</v>
      </c>
    </row>
    <row r="1804" spans="1:9" x14ac:dyDescent="0.35">
      <c r="A1804" t="str">
        <f t="shared" si="28"/>
        <v>DAco2_emissionS1202751</v>
      </c>
      <c r="C1804" t="s">
        <v>99</v>
      </c>
      <c r="D1804" t="s">
        <v>204</v>
      </c>
      <c r="E1804" t="s">
        <v>110</v>
      </c>
      <c r="F1804">
        <v>809.54539314546855</v>
      </c>
      <c r="G1804">
        <v>2027</v>
      </c>
      <c r="H1804">
        <v>5</v>
      </c>
      <c r="I1804">
        <v>1</v>
      </c>
    </row>
    <row r="1805" spans="1:9" x14ac:dyDescent="0.35">
      <c r="A1805" t="str">
        <f t="shared" si="28"/>
        <v>fcrincomeS1202751</v>
      </c>
      <c r="C1805" t="s">
        <v>102</v>
      </c>
      <c r="D1805" t="s">
        <v>101</v>
      </c>
      <c r="E1805" t="s">
        <v>110</v>
      </c>
      <c r="F1805">
        <v>0</v>
      </c>
      <c r="G1805">
        <v>2027</v>
      </c>
      <c r="H1805">
        <v>5</v>
      </c>
      <c r="I1805">
        <v>1</v>
      </c>
    </row>
    <row r="1806" spans="1:9" x14ac:dyDescent="0.35">
      <c r="A1806" t="str">
        <f t="shared" si="28"/>
        <v>fcractivation_hoursS1202751</v>
      </c>
      <c r="C1806" t="s">
        <v>102</v>
      </c>
      <c r="D1806" t="s">
        <v>115</v>
      </c>
      <c r="E1806" t="s">
        <v>110</v>
      </c>
      <c r="F1806">
        <v>0</v>
      </c>
      <c r="G1806">
        <v>2027</v>
      </c>
      <c r="H1806">
        <v>5</v>
      </c>
      <c r="I1806">
        <v>1</v>
      </c>
    </row>
    <row r="1807" spans="1:9" x14ac:dyDescent="0.35">
      <c r="A1807" t="str">
        <f t="shared" si="28"/>
        <v>afrrincomeS1202751</v>
      </c>
      <c r="C1807" t="s">
        <v>103</v>
      </c>
      <c r="D1807" t="s">
        <v>101</v>
      </c>
      <c r="E1807" t="s">
        <v>110</v>
      </c>
      <c r="F1807">
        <v>206236.15622606469</v>
      </c>
      <c r="G1807">
        <v>2027</v>
      </c>
      <c r="H1807">
        <v>5</v>
      </c>
      <c r="I1807">
        <v>1</v>
      </c>
    </row>
    <row r="1808" spans="1:9" x14ac:dyDescent="0.35">
      <c r="A1808" t="str">
        <f t="shared" si="28"/>
        <v>afrractivation_hoursS1202751</v>
      </c>
      <c r="C1808" t="s">
        <v>103</v>
      </c>
      <c r="D1808" t="s">
        <v>115</v>
      </c>
      <c r="E1808" t="s">
        <v>110</v>
      </c>
      <c r="F1808">
        <v>8760</v>
      </c>
      <c r="G1808">
        <v>2027</v>
      </c>
      <c r="H1808">
        <v>5</v>
      </c>
      <c r="I1808">
        <v>1</v>
      </c>
    </row>
    <row r="1809" spans="1:9" x14ac:dyDescent="0.35">
      <c r="A1809" t="str">
        <f t="shared" si="28"/>
        <v>networkturpe_power_costS1202851</v>
      </c>
      <c r="C1809" t="s">
        <v>96</v>
      </c>
      <c r="D1809" t="s">
        <v>97</v>
      </c>
      <c r="E1809" t="s">
        <v>110</v>
      </c>
      <c r="F1809">
        <v>6202.5498317620613</v>
      </c>
      <c r="G1809">
        <v>2028</v>
      </c>
      <c r="H1809">
        <v>5</v>
      </c>
      <c r="I1809">
        <v>1</v>
      </c>
    </row>
    <row r="1810" spans="1:9" x14ac:dyDescent="0.35">
      <c r="A1810" t="str">
        <f t="shared" si="28"/>
        <v>networkturpe_energy_costS1202851</v>
      </c>
      <c r="C1810" t="s">
        <v>96</v>
      </c>
      <c r="D1810" t="s">
        <v>98</v>
      </c>
      <c r="E1810" t="s">
        <v>110</v>
      </c>
      <c r="F1810">
        <v>211.0348458645376</v>
      </c>
      <c r="G1810">
        <v>2028</v>
      </c>
      <c r="H1810">
        <v>5</v>
      </c>
      <c r="I1810">
        <v>1</v>
      </c>
    </row>
    <row r="1811" spans="1:9" x14ac:dyDescent="0.35">
      <c r="A1811" t="str">
        <f t="shared" si="28"/>
        <v>DAcostS1202851</v>
      </c>
      <c r="C1811" t="s">
        <v>99</v>
      </c>
      <c r="D1811" t="s">
        <v>100</v>
      </c>
      <c r="E1811" t="s">
        <v>110</v>
      </c>
      <c r="F1811">
        <v>1248.2543833103171</v>
      </c>
      <c r="G1811">
        <v>2028</v>
      </c>
      <c r="H1811">
        <v>5</v>
      </c>
      <c r="I1811">
        <v>1</v>
      </c>
    </row>
    <row r="1812" spans="1:9" x14ac:dyDescent="0.35">
      <c r="A1812" t="str">
        <f t="shared" si="28"/>
        <v>DAincomeS1202851</v>
      </c>
      <c r="C1812" t="s">
        <v>99</v>
      </c>
      <c r="D1812" t="s">
        <v>101</v>
      </c>
      <c r="E1812" t="s">
        <v>110</v>
      </c>
      <c r="F1812">
        <v>3.6544255346578682E-4</v>
      </c>
      <c r="G1812">
        <v>2028</v>
      </c>
      <c r="H1812">
        <v>5</v>
      </c>
      <c r="I1812">
        <v>1</v>
      </c>
    </row>
    <row r="1813" spans="1:9" x14ac:dyDescent="0.35">
      <c r="A1813" t="str">
        <f t="shared" si="28"/>
        <v>DAenergy_boughtS1202851</v>
      </c>
      <c r="C1813" t="s">
        <v>99</v>
      </c>
      <c r="D1813" t="s">
        <v>111</v>
      </c>
      <c r="E1813" t="s">
        <v>110</v>
      </c>
      <c r="F1813">
        <v>11.275684764545661</v>
      </c>
      <c r="G1813">
        <v>2028</v>
      </c>
      <c r="H1813">
        <v>5</v>
      </c>
      <c r="I1813">
        <v>1</v>
      </c>
    </row>
    <row r="1814" spans="1:9" x14ac:dyDescent="0.35">
      <c r="A1814" t="str">
        <f t="shared" si="28"/>
        <v>DAenergy_soldS1202851</v>
      </c>
      <c r="B1814" t="s">
        <v>95</v>
      </c>
      <c r="C1814" t="s">
        <v>99</v>
      </c>
      <c r="D1814" t="s">
        <v>112</v>
      </c>
      <c r="E1814" t="s">
        <v>110</v>
      </c>
      <c r="F1814">
        <v>3.219871655968376E-6</v>
      </c>
      <c r="G1814">
        <v>2028</v>
      </c>
      <c r="H1814">
        <v>5</v>
      </c>
      <c r="I1814">
        <v>1</v>
      </c>
    </row>
    <row r="1815" spans="1:9" x14ac:dyDescent="0.35">
      <c r="A1815" t="str">
        <f t="shared" si="28"/>
        <v>DAhours_boughtS1202851</v>
      </c>
      <c r="B1815" t="s">
        <v>95</v>
      </c>
      <c r="C1815" t="s">
        <v>99</v>
      </c>
      <c r="D1815" t="s">
        <v>113</v>
      </c>
      <c r="E1815" t="s">
        <v>110</v>
      </c>
      <c r="F1815">
        <v>5713</v>
      </c>
      <c r="G1815">
        <v>2028</v>
      </c>
      <c r="H1815">
        <v>5</v>
      </c>
      <c r="I1815">
        <v>1</v>
      </c>
    </row>
    <row r="1816" spans="1:9" x14ac:dyDescent="0.35">
      <c r="A1816" t="str">
        <f t="shared" si="28"/>
        <v>DAhours_soldS1202851</v>
      </c>
      <c r="C1816" t="s">
        <v>99</v>
      </c>
      <c r="D1816" t="s">
        <v>114</v>
      </c>
      <c r="E1816" t="s">
        <v>110</v>
      </c>
      <c r="F1816">
        <v>0</v>
      </c>
      <c r="G1816">
        <v>2028</v>
      </c>
      <c r="H1816">
        <v>5</v>
      </c>
      <c r="I1816">
        <v>1</v>
      </c>
    </row>
    <row r="1817" spans="1:9" x14ac:dyDescent="0.35">
      <c r="A1817" t="str">
        <f t="shared" si="28"/>
        <v>DAco2_emissionS1202851</v>
      </c>
      <c r="C1817" t="s">
        <v>99</v>
      </c>
      <c r="D1817" t="s">
        <v>204</v>
      </c>
      <c r="E1817" t="s">
        <v>110</v>
      </c>
      <c r="F1817">
        <v>789.29793351819467</v>
      </c>
      <c r="G1817">
        <v>2028</v>
      </c>
      <c r="H1817">
        <v>5</v>
      </c>
      <c r="I1817">
        <v>1</v>
      </c>
    </row>
    <row r="1818" spans="1:9" x14ac:dyDescent="0.35">
      <c r="A1818" t="str">
        <f t="shared" si="28"/>
        <v>fcrincomeS1202851</v>
      </c>
      <c r="C1818" t="s">
        <v>102</v>
      </c>
      <c r="D1818" t="s">
        <v>101</v>
      </c>
      <c r="E1818" t="s">
        <v>110</v>
      </c>
      <c r="F1818">
        <v>0</v>
      </c>
      <c r="G1818">
        <v>2028</v>
      </c>
      <c r="H1818">
        <v>5</v>
      </c>
      <c r="I1818">
        <v>1</v>
      </c>
    </row>
    <row r="1819" spans="1:9" x14ac:dyDescent="0.35">
      <c r="A1819" t="str">
        <f t="shared" si="28"/>
        <v>fcractivation_hoursS1202851</v>
      </c>
      <c r="C1819" t="s">
        <v>102</v>
      </c>
      <c r="D1819" t="s">
        <v>115</v>
      </c>
      <c r="E1819" t="s">
        <v>110</v>
      </c>
      <c r="F1819">
        <v>0</v>
      </c>
      <c r="G1819">
        <v>2028</v>
      </c>
      <c r="H1819">
        <v>5</v>
      </c>
      <c r="I1819">
        <v>1</v>
      </c>
    </row>
    <row r="1820" spans="1:9" x14ac:dyDescent="0.35">
      <c r="A1820" t="str">
        <f t="shared" si="28"/>
        <v>afrrincomeS1202851</v>
      </c>
      <c r="C1820" t="s">
        <v>103</v>
      </c>
      <c r="D1820" t="s">
        <v>101</v>
      </c>
      <c r="E1820" t="s">
        <v>110</v>
      </c>
      <c r="F1820">
        <v>202897.23266691729</v>
      </c>
      <c r="G1820">
        <v>2028</v>
      </c>
      <c r="H1820">
        <v>5</v>
      </c>
      <c r="I1820">
        <v>1</v>
      </c>
    </row>
    <row r="1821" spans="1:9" x14ac:dyDescent="0.35">
      <c r="A1821" t="str">
        <f t="shared" si="28"/>
        <v>afrractivation_hoursS1202851</v>
      </c>
      <c r="C1821" t="s">
        <v>103</v>
      </c>
      <c r="D1821" t="s">
        <v>115</v>
      </c>
      <c r="E1821" t="s">
        <v>110</v>
      </c>
      <c r="F1821">
        <v>8760</v>
      </c>
      <c r="G1821">
        <v>2028</v>
      </c>
      <c r="H1821">
        <v>5</v>
      </c>
      <c r="I1821">
        <v>1</v>
      </c>
    </row>
    <row r="1822" spans="1:9" x14ac:dyDescent="0.35">
      <c r="A1822" t="str">
        <f t="shared" si="28"/>
        <v>networkturpe_power_costS1202951</v>
      </c>
      <c r="C1822" t="s">
        <v>96</v>
      </c>
      <c r="D1822" t="s">
        <v>97</v>
      </c>
      <c r="E1822" t="s">
        <v>110</v>
      </c>
      <c r="F1822">
        <v>6046.6621590116747</v>
      </c>
      <c r="G1822">
        <v>2029</v>
      </c>
      <c r="H1822">
        <v>5</v>
      </c>
      <c r="I1822">
        <v>1</v>
      </c>
    </row>
    <row r="1823" spans="1:9" x14ac:dyDescent="0.35">
      <c r="A1823" t="str">
        <f t="shared" si="28"/>
        <v>networkturpe_energy_costS1202951</v>
      </c>
      <c r="C1823" t="s">
        <v>96</v>
      </c>
      <c r="D1823" t="s">
        <v>98</v>
      </c>
      <c r="E1823" t="s">
        <v>110</v>
      </c>
      <c r="F1823">
        <v>229.72456430733061</v>
      </c>
      <c r="G1823">
        <v>2029</v>
      </c>
      <c r="H1823">
        <v>5</v>
      </c>
      <c r="I1823">
        <v>1</v>
      </c>
    </row>
    <row r="1824" spans="1:9" x14ac:dyDescent="0.35">
      <c r="A1824" t="str">
        <f t="shared" si="28"/>
        <v>DAcostS1202951</v>
      </c>
      <c r="C1824" t="s">
        <v>99</v>
      </c>
      <c r="D1824" t="s">
        <v>100</v>
      </c>
      <c r="E1824" t="s">
        <v>110</v>
      </c>
      <c r="F1824">
        <v>1132.786775690209</v>
      </c>
      <c r="G1824">
        <v>2029</v>
      </c>
      <c r="H1824">
        <v>5</v>
      </c>
      <c r="I1824">
        <v>1</v>
      </c>
    </row>
    <row r="1825" spans="1:9" x14ac:dyDescent="0.35">
      <c r="A1825" t="str">
        <f t="shared" si="28"/>
        <v>DAincomeS1202951</v>
      </c>
      <c r="C1825" t="s">
        <v>99</v>
      </c>
      <c r="D1825" t="s">
        <v>101</v>
      </c>
      <c r="E1825" t="s">
        <v>110</v>
      </c>
      <c r="F1825">
        <v>235.1047040146708</v>
      </c>
      <c r="G1825">
        <v>2029</v>
      </c>
      <c r="H1825">
        <v>5</v>
      </c>
      <c r="I1825">
        <v>1</v>
      </c>
    </row>
    <row r="1826" spans="1:9" x14ac:dyDescent="0.35">
      <c r="A1826" t="str">
        <f t="shared" si="28"/>
        <v>DAenergy_boughtS1202951</v>
      </c>
      <c r="B1826" t="s">
        <v>95</v>
      </c>
      <c r="C1826" t="s">
        <v>99</v>
      </c>
      <c r="D1826" t="s">
        <v>111</v>
      </c>
      <c r="E1826" t="s">
        <v>110</v>
      </c>
      <c r="F1826">
        <v>13.255534728474039</v>
      </c>
      <c r="G1826">
        <v>2029</v>
      </c>
      <c r="H1826">
        <v>5</v>
      </c>
      <c r="I1826">
        <v>1</v>
      </c>
    </row>
    <row r="1827" spans="1:9" x14ac:dyDescent="0.35">
      <c r="A1827" t="str">
        <f t="shared" si="28"/>
        <v>DAenergy_soldS1202951</v>
      </c>
      <c r="B1827" t="s">
        <v>95</v>
      </c>
      <c r="C1827" t="s">
        <v>99</v>
      </c>
      <c r="D1827" t="s">
        <v>112</v>
      </c>
      <c r="E1827" t="s">
        <v>110</v>
      </c>
      <c r="F1827">
        <v>1.834005077203823</v>
      </c>
      <c r="G1827">
        <v>2029</v>
      </c>
      <c r="H1827">
        <v>5</v>
      </c>
      <c r="I1827">
        <v>1</v>
      </c>
    </row>
    <row r="1828" spans="1:9" x14ac:dyDescent="0.35">
      <c r="A1828" t="str">
        <f t="shared" si="28"/>
        <v>DAhours_boughtS1202951</v>
      </c>
      <c r="C1828" t="s">
        <v>99</v>
      </c>
      <c r="D1828" t="s">
        <v>113</v>
      </c>
      <c r="E1828" t="s">
        <v>110</v>
      </c>
      <c r="F1828">
        <v>6199</v>
      </c>
      <c r="G1828">
        <v>2029</v>
      </c>
      <c r="H1828">
        <v>5</v>
      </c>
      <c r="I1828">
        <v>1</v>
      </c>
    </row>
    <row r="1829" spans="1:9" x14ac:dyDescent="0.35">
      <c r="A1829" t="str">
        <f t="shared" si="28"/>
        <v>DAhours_soldS1202951</v>
      </c>
      <c r="C1829" t="s">
        <v>99</v>
      </c>
      <c r="D1829" t="s">
        <v>114</v>
      </c>
      <c r="E1829" t="s">
        <v>110</v>
      </c>
      <c r="F1829">
        <v>2</v>
      </c>
      <c r="G1829">
        <v>2029</v>
      </c>
      <c r="H1829">
        <v>5</v>
      </c>
      <c r="I1829">
        <v>1</v>
      </c>
    </row>
    <row r="1830" spans="1:9" x14ac:dyDescent="0.35">
      <c r="A1830" t="str">
        <f t="shared" si="28"/>
        <v>DAco2_emissionS1202951</v>
      </c>
      <c r="C1830" t="s">
        <v>99</v>
      </c>
      <c r="D1830" t="s">
        <v>204</v>
      </c>
      <c r="E1830" t="s">
        <v>110</v>
      </c>
      <c r="F1830">
        <v>927.88743099319356</v>
      </c>
      <c r="G1830">
        <v>2029</v>
      </c>
      <c r="H1830">
        <v>5</v>
      </c>
      <c r="I1830">
        <v>1</v>
      </c>
    </row>
    <row r="1831" spans="1:9" x14ac:dyDescent="0.35">
      <c r="A1831" t="str">
        <f t="shared" si="28"/>
        <v>fcrincomeS1202951</v>
      </c>
      <c r="C1831" t="s">
        <v>102</v>
      </c>
      <c r="D1831" t="s">
        <v>101</v>
      </c>
      <c r="E1831" t="s">
        <v>110</v>
      </c>
      <c r="F1831">
        <v>0</v>
      </c>
      <c r="G1831">
        <v>2029</v>
      </c>
      <c r="H1831">
        <v>5</v>
      </c>
      <c r="I1831">
        <v>1</v>
      </c>
    </row>
    <row r="1832" spans="1:9" x14ac:dyDescent="0.35">
      <c r="A1832" t="str">
        <f t="shared" si="28"/>
        <v>fcractivation_hoursS1202951</v>
      </c>
      <c r="C1832" t="s">
        <v>102</v>
      </c>
      <c r="D1832" t="s">
        <v>115</v>
      </c>
      <c r="E1832" t="s">
        <v>110</v>
      </c>
      <c r="F1832">
        <v>0</v>
      </c>
      <c r="G1832">
        <v>2029</v>
      </c>
      <c r="H1832">
        <v>5</v>
      </c>
      <c r="I1832">
        <v>1</v>
      </c>
    </row>
    <row r="1833" spans="1:9" x14ac:dyDescent="0.35">
      <c r="A1833" t="str">
        <f t="shared" si="28"/>
        <v>afrrincomeS1202951</v>
      </c>
      <c r="C1833" t="s">
        <v>103</v>
      </c>
      <c r="D1833" t="s">
        <v>101</v>
      </c>
      <c r="E1833" t="s">
        <v>110</v>
      </c>
      <c r="F1833">
        <v>209521.78404240971</v>
      </c>
      <c r="G1833">
        <v>2029</v>
      </c>
      <c r="H1833">
        <v>5</v>
      </c>
      <c r="I1833">
        <v>1</v>
      </c>
    </row>
    <row r="1834" spans="1:9" x14ac:dyDescent="0.35">
      <c r="A1834" t="str">
        <f t="shared" si="28"/>
        <v>afrractivation_hoursS1202951</v>
      </c>
      <c r="C1834" t="s">
        <v>103</v>
      </c>
      <c r="D1834" t="s">
        <v>115</v>
      </c>
      <c r="E1834" t="s">
        <v>110</v>
      </c>
      <c r="F1834">
        <v>8758</v>
      </c>
      <c r="G1834">
        <v>2029</v>
      </c>
      <c r="H1834">
        <v>5</v>
      </c>
      <c r="I1834">
        <v>1</v>
      </c>
    </row>
    <row r="1835" spans="1:9" x14ac:dyDescent="0.35">
      <c r="A1835" t="str">
        <f t="shared" si="28"/>
        <v>networkturpe_power_costS1203051</v>
      </c>
      <c r="C1835" t="s">
        <v>96</v>
      </c>
      <c r="D1835" t="s">
        <v>97</v>
      </c>
      <c r="E1835" t="s">
        <v>110</v>
      </c>
      <c r="F1835">
        <v>5901.9753492626314</v>
      </c>
      <c r="G1835">
        <v>2030</v>
      </c>
      <c r="H1835">
        <v>5</v>
      </c>
      <c r="I1835">
        <v>1</v>
      </c>
    </row>
    <row r="1836" spans="1:9" x14ac:dyDescent="0.35">
      <c r="A1836" t="str">
        <f t="shared" si="28"/>
        <v>networkturpe_energy_costS1203051</v>
      </c>
      <c r="C1836" t="s">
        <v>96</v>
      </c>
      <c r="D1836" t="s">
        <v>98</v>
      </c>
      <c r="E1836" t="s">
        <v>110</v>
      </c>
      <c r="F1836">
        <v>689.13948666657063</v>
      </c>
      <c r="G1836">
        <v>2030</v>
      </c>
      <c r="H1836">
        <v>5</v>
      </c>
      <c r="I1836">
        <v>1</v>
      </c>
    </row>
    <row r="1837" spans="1:9" x14ac:dyDescent="0.35">
      <c r="A1837" t="str">
        <f t="shared" si="28"/>
        <v>DAcostS1203051</v>
      </c>
      <c r="C1837" t="s">
        <v>99</v>
      </c>
      <c r="D1837" t="s">
        <v>100</v>
      </c>
      <c r="E1837" t="s">
        <v>110</v>
      </c>
      <c r="F1837">
        <v>2721.997212540065</v>
      </c>
      <c r="G1837">
        <v>2030</v>
      </c>
      <c r="H1837">
        <v>5</v>
      </c>
      <c r="I1837">
        <v>1</v>
      </c>
    </row>
    <row r="1838" spans="1:9" x14ac:dyDescent="0.35">
      <c r="A1838" t="str">
        <f t="shared" si="28"/>
        <v>DAincomeS1203051</v>
      </c>
      <c r="B1838" t="s">
        <v>95</v>
      </c>
      <c r="C1838" t="s">
        <v>99</v>
      </c>
      <c r="D1838" t="s">
        <v>101</v>
      </c>
      <c r="E1838" t="s">
        <v>110</v>
      </c>
      <c r="F1838">
        <v>3662.4229573249181</v>
      </c>
      <c r="G1838">
        <v>2030</v>
      </c>
      <c r="H1838">
        <v>5</v>
      </c>
      <c r="I1838">
        <v>1</v>
      </c>
    </row>
    <row r="1839" spans="1:9" x14ac:dyDescent="0.35">
      <c r="A1839" t="str">
        <f t="shared" si="28"/>
        <v>DAenergy_boughtS1203051</v>
      </c>
      <c r="B1839" t="s">
        <v>95</v>
      </c>
      <c r="C1839" t="s">
        <v>99</v>
      </c>
      <c r="D1839" t="s">
        <v>111</v>
      </c>
      <c r="E1839" t="s">
        <v>110</v>
      </c>
      <c r="F1839">
        <v>47.930625302134047</v>
      </c>
      <c r="G1839">
        <v>2030</v>
      </c>
      <c r="H1839">
        <v>5</v>
      </c>
      <c r="I1839">
        <v>1</v>
      </c>
    </row>
    <row r="1840" spans="1:9" x14ac:dyDescent="0.35">
      <c r="A1840" t="str">
        <f t="shared" si="28"/>
        <v>DAenergy_soldS1203051</v>
      </c>
      <c r="C1840" t="s">
        <v>99</v>
      </c>
      <c r="D1840" t="s">
        <v>112</v>
      </c>
      <c r="E1840" t="s">
        <v>110</v>
      </c>
      <c r="F1840">
        <v>30.145595987387651</v>
      </c>
      <c r="G1840">
        <v>2030</v>
      </c>
      <c r="H1840">
        <v>5</v>
      </c>
      <c r="I1840">
        <v>1</v>
      </c>
    </row>
    <row r="1841" spans="1:9" x14ac:dyDescent="0.35">
      <c r="A1841" t="str">
        <f t="shared" si="28"/>
        <v>DAhours_boughtS1203051</v>
      </c>
      <c r="C1841" t="s">
        <v>99</v>
      </c>
      <c r="D1841" t="s">
        <v>113</v>
      </c>
      <c r="E1841" t="s">
        <v>110</v>
      </c>
      <c r="F1841">
        <v>4233</v>
      </c>
      <c r="G1841">
        <v>2030</v>
      </c>
      <c r="H1841">
        <v>5</v>
      </c>
      <c r="I1841">
        <v>1</v>
      </c>
    </row>
    <row r="1842" spans="1:9" x14ac:dyDescent="0.35">
      <c r="A1842" t="str">
        <f t="shared" si="28"/>
        <v>DAhours_soldS1203051</v>
      </c>
      <c r="C1842" t="s">
        <v>99</v>
      </c>
      <c r="D1842" t="s">
        <v>114</v>
      </c>
      <c r="E1842" t="s">
        <v>110</v>
      </c>
      <c r="F1842">
        <v>38</v>
      </c>
      <c r="G1842">
        <v>2030</v>
      </c>
      <c r="H1842">
        <v>5</v>
      </c>
      <c r="I1842">
        <v>1</v>
      </c>
    </row>
    <row r="1843" spans="1:9" x14ac:dyDescent="0.35">
      <c r="A1843" t="str">
        <f t="shared" si="28"/>
        <v>DAco2_emissionS1203051</v>
      </c>
      <c r="C1843" t="s">
        <v>99</v>
      </c>
      <c r="D1843" t="s">
        <v>204</v>
      </c>
      <c r="E1843" t="s">
        <v>110</v>
      </c>
      <c r="F1843">
        <v>3355.143771149415</v>
      </c>
      <c r="G1843">
        <v>2030</v>
      </c>
      <c r="H1843">
        <v>5</v>
      </c>
      <c r="I1843">
        <v>1</v>
      </c>
    </row>
    <row r="1844" spans="1:9" x14ac:dyDescent="0.35">
      <c r="A1844" t="str">
        <f t="shared" si="28"/>
        <v>fcrincomeS1203051</v>
      </c>
      <c r="C1844" t="s">
        <v>102</v>
      </c>
      <c r="D1844" t="s">
        <v>101</v>
      </c>
      <c r="E1844" t="s">
        <v>110</v>
      </c>
      <c r="F1844">
        <v>4.1400052343507812E-2</v>
      </c>
      <c r="G1844">
        <v>2030</v>
      </c>
      <c r="H1844">
        <v>5</v>
      </c>
      <c r="I1844">
        <v>1</v>
      </c>
    </row>
    <row r="1845" spans="1:9" x14ac:dyDescent="0.35">
      <c r="A1845" t="str">
        <f t="shared" si="28"/>
        <v>fcractivation_hoursS1203051</v>
      </c>
      <c r="C1845" t="s">
        <v>102</v>
      </c>
      <c r="D1845" t="s">
        <v>115</v>
      </c>
      <c r="E1845" t="s">
        <v>110</v>
      </c>
      <c r="F1845">
        <v>4</v>
      </c>
      <c r="G1845">
        <v>2030</v>
      </c>
      <c r="H1845">
        <v>5</v>
      </c>
      <c r="I1845">
        <v>1</v>
      </c>
    </row>
    <row r="1846" spans="1:9" x14ac:dyDescent="0.35">
      <c r="A1846" t="str">
        <f t="shared" si="28"/>
        <v>afrrincomeS1203051</v>
      </c>
      <c r="C1846" t="s">
        <v>103</v>
      </c>
      <c r="D1846" t="s">
        <v>101</v>
      </c>
      <c r="E1846" t="s">
        <v>110</v>
      </c>
      <c r="F1846">
        <v>124127.6096300006</v>
      </c>
      <c r="G1846">
        <v>2030</v>
      </c>
      <c r="H1846">
        <v>5</v>
      </c>
      <c r="I1846">
        <v>1</v>
      </c>
    </row>
    <row r="1847" spans="1:9" x14ac:dyDescent="0.35">
      <c r="A1847" t="str">
        <f t="shared" si="28"/>
        <v>afrractivation_hoursS1203051</v>
      </c>
      <c r="C1847" t="s">
        <v>103</v>
      </c>
      <c r="D1847" t="s">
        <v>115</v>
      </c>
      <c r="E1847" t="s">
        <v>110</v>
      </c>
      <c r="F1847">
        <v>8723</v>
      </c>
      <c r="G1847">
        <v>2030</v>
      </c>
      <c r="H1847">
        <v>5</v>
      </c>
      <c r="I1847">
        <v>1</v>
      </c>
    </row>
    <row r="1848" spans="1:9" x14ac:dyDescent="0.35">
      <c r="A1848" t="str">
        <f t="shared" si="28"/>
        <v>networkturpe_power_costS1203151</v>
      </c>
      <c r="C1848" t="s">
        <v>96</v>
      </c>
      <c r="D1848" t="s">
        <v>97</v>
      </c>
      <c r="E1848" t="s">
        <v>110</v>
      </c>
      <c r="F1848">
        <v>5754.5366382950406</v>
      </c>
      <c r="G1848">
        <v>2031</v>
      </c>
      <c r="H1848">
        <v>5</v>
      </c>
      <c r="I1848">
        <v>1</v>
      </c>
    </row>
    <row r="1849" spans="1:9" x14ac:dyDescent="0.35">
      <c r="A1849" t="str">
        <f t="shared" si="28"/>
        <v>networkturpe_energy_costS1203151</v>
      </c>
      <c r="C1849" t="s">
        <v>96</v>
      </c>
      <c r="D1849" t="s">
        <v>98</v>
      </c>
      <c r="E1849" t="s">
        <v>110</v>
      </c>
      <c r="F1849">
        <v>993.34787865565579</v>
      </c>
      <c r="G1849">
        <v>2031</v>
      </c>
      <c r="H1849">
        <v>5</v>
      </c>
      <c r="I1849">
        <v>1</v>
      </c>
    </row>
    <row r="1850" spans="1:9" x14ac:dyDescent="0.35">
      <c r="A1850" t="str">
        <f t="shared" si="28"/>
        <v>DAcostS1203151</v>
      </c>
      <c r="B1850" t="s">
        <v>95</v>
      </c>
      <c r="C1850" t="s">
        <v>99</v>
      </c>
      <c r="D1850" t="s">
        <v>100</v>
      </c>
      <c r="E1850" t="s">
        <v>110</v>
      </c>
      <c r="F1850">
        <v>2992.1082981995419</v>
      </c>
      <c r="G1850">
        <v>2031</v>
      </c>
      <c r="H1850">
        <v>5</v>
      </c>
      <c r="I1850">
        <v>1</v>
      </c>
    </row>
    <row r="1851" spans="1:9" x14ac:dyDescent="0.35">
      <c r="A1851" t="str">
        <f t="shared" si="28"/>
        <v>DAincomeS1203151</v>
      </c>
      <c r="B1851" t="s">
        <v>95</v>
      </c>
      <c r="C1851" t="s">
        <v>99</v>
      </c>
      <c r="D1851" t="s">
        <v>101</v>
      </c>
      <c r="E1851" t="s">
        <v>110</v>
      </c>
      <c r="F1851">
        <v>5253.0838649514062</v>
      </c>
      <c r="G1851">
        <v>2031</v>
      </c>
      <c r="H1851">
        <v>5</v>
      </c>
      <c r="I1851">
        <v>1</v>
      </c>
    </row>
    <row r="1852" spans="1:9" x14ac:dyDescent="0.35">
      <c r="A1852" t="str">
        <f t="shared" si="28"/>
        <v>DAenergy_boughtS1203151</v>
      </c>
      <c r="C1852" t="s">
        <v>99</v>
      </c>
      <c r="D1852" t="s">
        <v>111</v>
      </c>
      <c r="E1852" t="s">
        <v>110</v>
      </c>
      <c r="F1852">
        <v>69.731199698632238</v>
      </c>
      <c r="G1852">
        <v>2031</v>
      </c>
      <c r="H1852">
        <v>5</v>
      </c>
      <c r="I1852">
        <v>1</v>
      </c>
    </row>
    <row r="1853" spans="1:9" x14ac:dyDescent="0.35">
      <c r="A1853" t="str">
        <f t="shared" si="28"/>
        <v>DAenergy_soldS1203151</v>
      </c>
      <c r="C1853" t="s">
        <v>99</v>
      </c>
      <c r="D1853" t="s">
        <v>112</v>
      </c>
      <c r="E1853" t="s">
        <v>110</v>
      </c>
      <c r="F1853">
        <v>48.032885866218713</v>
      </c>
      <c r="G1853">
        <v>2031</v>
      </c>
      <c r="H1853">
        <v>5</v>
      </c>
      <c r="I1853">
        <v>1</v>
      </c>
    </row>
    <row r="1854" spans="1:9" x14ac:dyDescent="0.35">
      <c r="A1854" t="str">
        <f t="shared" si="28"/>
        <v>DAhours_boughtS1203151</v>
      </c>
      <c r="C1854" t="s">
        <v>99</v>
      </c>
      <c r="D1854" t="s">
        <v>113</v>
      </c>
      <c r="E1854" t="s">
        <v>110</v>
      </c>
      <c r="F1854">
        <v>4360</v>
      </c>
      <c r="G1854">
        <v>2031</v>
      </c>
      <c r="H1854">
        <v>5</v>
      </c>
      <c r="I1854">
        <v>1</v>
      </c>
    </row>
    <row r="1855" spans="1:9" x14ac:dyDescent="0.35">
      <c r="A1855" t="str">
        <f t="shared" si="28"/>
        <v>DAhours_soldS1203151</v>
      </c>
      <c r="C1855" t="s">
        <v>99</v>
      </c>
      <c r="D1855" t="s">
        <v>114</v>
      </c>
      <c r="E1855" t="s">
        <v>110</v>
      </c>
      <c r="F1855">
        <v>70</v>
      </c>
      <c r="G1855">
        <v>2031</v>
      </c>
      <c r="H1855">
        <v>5</v>
      </c>
      <c r="I1855">
        <v>1</v>
      </c>
    </row>
    <row r="1856" spans="1:9" x14ac:dyDescent="0.35">
      <c r="A1856" t="str">
        <f t="shared" si="28"/>
        <v>DAco2_emissionS1203151</v>
      </c>
      <c r="C1856" t="s">
        <v>99</v>
      </c>
      <c r="D1856" t="s">
        <v>204</v>
      </c>
      <c r="E1856" t="s">
        <v>110</v>
      </c>
      <c r="F1856">
        <v>4881.1839789043142</v>
      </c>
      <c r="G1856">
        <v>2031</v>
      </c>
      <c r="H1856">
        <v>5</v>
      </c>
      <c r="I1856">
        <v>1</v>
      </c>
    </row>
    <row r="1857" spans="1:9" x14ac:dyDescent="0.35">
      <c r="A1857" t="str">
        <f t="shared" si="28"/>
        <v>fcrincomeS1203151</v>
      </c>
      <c r="C1857" t="s">
        <v>102</v>
      </c>
      <c r="D1857" t="s">
        <v>101</v>
      </c>
      <c r="E1857" t="s">
        <v>110</v>
      </c>
      <c r="F1857">
        <v>1.6455334629079651E-2</v>
      </c>
      <c r="G1857">
        <v>2031</v>
      </c>
      <c r="H1857">
        <v>5</v>
      </c>
      <c r="I1857">
        <v>1</v>
      </c>
    </row>
    <row r="1858" spans="1:9" x14ac:dyDescent="0.35">
      <c r="A1858" t="str">
        <f t="shared" si="28"/>
        <v>fcractivation_hoursS1203151</v>
      </c>
      <c r="C1858" t="s">
        <v>102</v>
      </c>
      <c r="D1858" t="s">
        <v>115</v>
      </c>
      <c r="E1858" t="s">
        <v>110</v>
      </c>
      <c r="F1858">
        <v>4</v>
      </c>
      <c r="G1858">
        <v>2031</v>
      </c>
      <c r="H1858">
        <v>5</v>
      </c>
      <c r="I1858">
        <v>1</v>
      </c>
    </row>
    <row r="1859" spans="1:9" x14ac:dyDescent="0.35">
      <c r="A1859" t="str">
        <f t="shared" ref="A1859:A1922" si="29">C1859&amp;D1859&amp;E1859&amp;G1859&amp;H1859&amp;I1859</f>
        <v>afrrincomeS1203151</v>
      </c>
      <c r="C1859" t="s">
        <v>103</v>
      </c>
      <c r="D1859" t="s">
        <v>101</v>
      </c>
      <c r="E1859" t="s">
        <v>110</v>
      </c>
      <c r="F1859">
        <v>121351.46120255069</v>
      </c>
      <c r="G1859">
        <v>2031</v>
      </c>
      <c r="H1859">
        <v>5</v>
      </c>
      <c r="I1859">
        <v>1</v>
      </c>
    </row>
    <row r="1860" spans="1:9" x14ac:dyDescent="0.35">
      <c r="A1860" t="str">
        <f t="shared" si="29"/>
        <v>afrractivation_hoursS1203151</v>
      </c>
      <c r="C1860" t="s">
        <v>103</v>
      </c>
      <c r="D1860" t="s">
        <v>115</v>
      </c>
      <c r="E1860" t="s">
        <v>110</v>
      </c>
      <c r="F1860">
        <v>8700</v>
      </c>
      <c r="G1860">
        <v>2031</v>
      </c>
      <c r="H1860">
        <v>5</v>
      </c>
      <c r="I1860">
        <v>1</v>
      </c>
    </row>
    <row r="1861" spans="1:9" x14ac:dyDescent="0.35">
      <c r="A1861" t="str">
        <f t="shared" si="29"/>
        <v>networkturpe_power_costS1203251</v>
      </c>
      <c r="C1861" t="s">
        <v>96</v>
      </c>
      <c r="D1861" t="s">
        <v>97</v>
      </c>
      <c r="E1861" t="s">
        <v>110</v>
      </c>
      <c r="F1861">
        <v>5617.7171084861848</v>
      </c>
      <c r="G1861">
        <v>2032</v>
      </c>
      <c r="H1861">
        <v>5</v>
      </c>
      <c r="I1861">
        <v>1</v>
      </c>
    </row>
    <row r="1862" spans="1:9" x14ac:dyDescent="0.35">
      <c r="A1862" t="str">
        <f t="shared" si="29"/>
        <v>networkturpe_energy_costS1203251</v>
      </c>
      <c r="B1862" t="s">
        <v>95</v>
      </c>
      <c r="C1862" t="s">
        <v>96</v>
      </c>
      <c r="D1862" t="s">
        <v>98</v>
      </c>
      <c r="E1862" t="s">
        <v>110</v>
      </c>
      <c r="F1862">
        <v>1541.85423601456</v>
      </c>
      <c r="G1862">
        <v>2032</v>
      </c>
      <c r="H1862">
        <v>5</v>
      </c>
      <c r="I1862">
        <v>1</v>
      </c>
    </row>
    <row r="1863" spans="1:9" x14ac:dyDescent="0.35">
      <c r="A1863" t="str">
        <f t="shared" si="29"/>
        <v>DAcostS1203251</v>
      </c>
      <c r="B1863" t="s">
        <v>95</v>
      </c>
      <c r="C1863" t="s">
        <v>99</v>
      </c>
      <c r="D1863" t="s">
        <v>100</v>
      </c>
      <c r="E1863" t="s">
        <v>110</v>
      </c>
      <c r="F1863">
        <v>5244.053311173715</v>
      </c>
      <c r="G1863">
        <v>2032</v>
      </c>
      <c r="H1863">
        <v>5</v>
      </c>
      <c r="I1863">
        <v>1</v>
      </c>
    </row>
    <row r="1864" spans="1:9" x14ac:dyDescent="0.35">
      <c r="A1864" t="str">
        <f t="shared" si="29"/>
        <v>DAincomeS1203251</v>
      </c>
      <c r="C1864" t="s">
        <v>99</v>
      </c>
      <c r="D1864" t="s">
        <v>101</v>
      </c>
      <c r="E1864" t="s">
        <v>110</v>
      </c>
      <c r="F1864">
        <v>9802.4239375789966</v>
      </c>
      <c r="G1864">
        <v>2032</v>
      </c>
      <c r="H1864">
        <v>5</v>
      </c>
      <c r="I1864">
        <v>1</v>
      </c>
    </row>
    <row r="1865" spans="1:9" x14ac:dyDescent="0.35">
      <c r="A1865" t="str">
        <f t="shared" si="29"/>
        <v>DAenergy_boughtS1203251</v>
      </c>
      <c r="C1865" t="s">
        <v>99</v>
      </c>
      <c r="D1865" t="s">
        <v>111</v>
      </c>
      <c r="E1865" t="s">
        <v>110</v>
      </c>
      <c r="F1865">
        <v>119.55054391158011</v>
      </c>
      <c r="G1865">
        <v>2032</v>
      </c>
      <c r="H1865">
        <v>5</v>
      </c>
      <c r="I1865">
        <v>1</v>
      </c>
    </row>
    <row r="1866" spans="1:9" x14ac:dyDescent="0.35">
      <c r="A1866" t="str">
        <f t="shared" si="29"/>
        <v>DAenergy_soldS1203251</v>
      </c>
      <c r="C1866" t="s">
        <v>99</v>
      </c>
      <c r="D1866" t="s">
        <v>112</v>
      </c>
      <c r="E1866" t="s">
        <v>110</v>
      </c>
      <c r="F1866">
        <v>88.623688423178351</v>
      </c>
      <c r="G1866">
        <v>2032</v>
      </c>
      <c r="H1866">
        <v>5</v>
      </c>
      <c r="I1866">
        <v>1</v>
      </c>
    </row>
    <row r="1867" spans="1:9" x14ac:dyDescent="0.35">
      <c r="A1867" t="str">
        <f t="shared" si="29"/>
        <v>DAhours_boughtS1203251</v>
      </c>
      <c r="C1867" t="s">
        <v>99</v>
      </c>
      <c r="D1867" t="s">
        <v>113</v>
      </c>
      <c r="E1867" t="s">
        <v>110</v>
      </c>
      <c r="F1867">
        <v>4196</v>
      </c>
      <c r="G1867">
        <v>2032</v>
      </c>
      <c r="H1867">
        <v>5</v>
      </c>
      <c r="I1867">
        <v>1</v>
      </c>
    </row>
    <row r="1868" spans="1:9" x14ac:dyDescent="0.35">
      <c r="A1868" t="str">
        <f t="shared" si="29"/>
        <v>DAhours_soldS1203251</v>
      </c>
      <c r="C1868" t="s">
        <v>99</v>
      </c>
      <c r="D1868" t="s">
        <v>114</v>
      </c>
      <c r="E1868" t="s">
        <v>110</v>
      </c>
      <c r="F1868">
        <v>96</v>
      </c>
      <c r="G1868">
        <v>2032</v>
      </c>
      <c r="H1868">
        <v>5</v>
      </c>
      <c r="I1868">
        <v>1</v>
      </c>
    </row>
    <row r="1869" spans="1:9" x14ac:dyDescent="0.35">
      <c r="A1869" t="str">
        <f t="shared" si="29"/>
        <v>DAco2_emissionS1203251</v>
      </c>
      <c r="C1869" t="s">
        <v>99</v>
      </c>
      <c r="D1869" t="s">
        <v>204</v>
      </c>
      <c r="E1869" t="s">
        <v>110</v>
      </c>
      <c r="F1869">
        <v>8368.5380738104686</v>
      </c>
      <c r="G1869">
        <v>2032</v>
      </c>
      <c r="H1869">
        <v>5</v>
      </c>
      <c r="I1869">
        <v>1</v>
      </c>
    </row>
    <row r="1870" spans="1:9" x14ac:dyDescent="0.35">
      <c r="A1870" t="str">
        <f t="shared" si="29"/>
        <v>fcrincomeS1203251</v>
      </c>
      <c r="C1870" t="s">
        <v>102</v>
      </c>
      <c r="D1870" t="s">
        <v>101</v>
      </c>
      <c r="E1870" t="s">
        <v>110</v>
      </c>
      <c r="F1870">
        <v>0.16559995107137171</v>
      </c>
      <c r="G1870">
        <v>2032</v>
      </c>
      <c r="H1870">
        <v>5</v>
      </c>
      <c r="I1870">
        <v>1</v>
      </c>
    </row>
    <row r="1871" spans="1:9" x14ac:dyDescent="0.35">
      <c r="A1871" t="str">
        <f t="shared" si="29"/>
        <v>fcractivation_hoursS1203251</v>
      </c>
      <c r="C1871" t="s">
        <v>102</v>
      </c>
      <c r="D1871" t="s">
        <v>115</v>
      </c>
      <c r="E1871" t="s">
        <v>110</v>
      </c>
      <c r="F1871">
        <v>20</v>
      </c>
      <c r="G1871">
        <v>2032</v>
      </c>
      <c r="H1871">
        <v>5</v>
      </c>
      <c r="I1871">
        <v>1</v>
      </c>
    </row>
    <row r="1872" spans="1:9" x14ac:dyDescent="0.35">
      <c r="A1872" t="str">
        <f t="shared" si="29"/>
        <v>afrrincomeS1203251</v>
      </c>
      <c r="C1872" t="s">
        <v>103</v>
      </c>
      <c r="D1872" t="s">
        <v>101</v>
      </c>
      <c r="E1872" t="s">
        <v>110</v>
      </c>
      <c r="F1872">
        <v>116559.00679569739</v>
      </c>
      <c r="G1872">
        <v>2032</v>
      </c>
      <c r="H1872">
        <v>5</v>
      </c>
      <c r="I1872">
        <v>1</v>
      </c>
    </row>
    <row r="1873" spans="1:9" x14ac:dyDescent="0.35">
      <c r="A1873" t="str">
        <f t="shared" si="29"/>
        <v>afrractivation_hoursS1203251</v>
      </c>
      <c r="C1873" t="s">
        <v>103</v>
      </c>
      <c r="D1873" t="s">
        <v>115</v>
      </c>
      <c r="E1873" t="s">
        <v>110</v>
      </c>
      <c r="F1873">
        <v>8626</v>
      </c>
      <c r="G1873">
        <v>2032</v>
      </c>
      <c r="H1873">
        <v>5</v>
      </c>
      <c r="I1873">
        <v>1</v>
      </c>
    </row>
    <row r="1874" spans="1:9" x14ac:dyDescent="0.35">
      <c r="A1874" t="str">
        <f t="shared" si="29"/>
        <v>networkturpe_power_costS1203351</v>
      </c>
      <c r="B1874" t="s">
        <v>95</v>
      </c>
      <c r="C1874" t="s">
        <v>96</v>
      </c>
      <c r="D1874" t="s">
        <v>97</v>
      </c>
      <c r="E1874" t="s">
        <v>110</v>
      </c>
      <c r="F1874">
        <v>5473.5530400322141</v>
      </c>
      <c r="G1874">
        <v>2033</v>
      </c>
      <c r="H1874">
        <v>5</v>
      </c>
      <c r="I1874">
        <v>1</v>
      </c>
    </row>
    <row r="1875" spans="1:9" x14ac:dyDescent="0.35">
      <c r="A1875" t="str">
        <f t="shared" si="29"/>
        <v>networkturpe_energy_costS1203351</v>
      </c>
      <c r="B1875" t="s">
        <v>95</v>
      </c>
      <c r="C1875" t="s">
        <v>96</v>
      </c>
      <c r="D1875" t="s">
        <v>98</v>
      </c>
      <c r="E1875" t="s">
        <v>110</v>
      </c>
      <c r="F1875">
        <v>1079.160641056847</v>
      </c>
      <c r="G1875">
        <v>2033</v>
      </c>
      <c r="H1875">
        <v>5</v>
      </c>
      <c r="I1875">
        <v>1</v>
      </c>
    </row>
    <row r="1876" spans="1:9" x14ac:dyDescent="0.35">
      <c r="A1876" t="str">
        <f t="shared" si="29"/>
        <v>DAcostS1203351</v>
      </c>
      <c r="C1876" t="s">
        <v>99</v>
      </c>
      <c r="D1876" t="s">
        <v>100</v>
      </c>
      <c r="E1876" t="s">
        <v>110</v>
      </c>
      <c r="F1876">
        <v>3653.5787404307412</v>
      </c>
      <c r="G1876">
        <v>2033</v>
      </c>
      <c r="H1876">
        <v>5</v>
      </c>
      <c r="I1876">
        <v>1</v>
      </c>
    </row>
    <row r="1877" spans="1:9" x14ac:dyDescent="0.35">
      <c r="A1877" t="str">
        <f t="shared" si="29"/>
        <v>DAincomeS1203351</v>
      </c>
      <c r="C1877" t="s">
        <v>99</v>
      </c>
      <c r="D1877" t="s">
        <v>101</v>
      </c>
      <c r="E1877" t="s">
        <v>110</v>
      </c>
      <c r="F1877">
        <v>6619.4234166847864</v>
      </c>
      <c r="G1877">
        <v>2033</v>
      </c>
      <c r="H1877">
        <v>5</v>
      </c>
      <c r="I1877">
        <v>1</v>
      </c>
    </row>
    <row r="1878" spans="1:9" x14ac:dyDescent="0.35">
      <c r="A1878" t="str">
        <f t="shared" si="29"/>
        <v>DAenergy_boughtS1203351</v>
      </c>
      <c r="C1878" t="s">
        <v>99</v>
      </c>
      <c r="D1878" t="s">
        <v>111</v>
      </c>
      <c r="E1878" t="s">
        <v>110</v>
      </c>
      <c r="F1878">
        <v>84.945570575868999</v>
      </c>
      <c r="G1878">
        <v>2033</v>
      </c>
      <c r="H1878">
        <v>5</v>
      </c>
      <c r="I1878">
        <v>1</v>
      </c>
    </row>
    <row r="1879" spans="1:9" x14ac:dyDescent="0.35">
      <c r="A1879" t="str">
        <f t="shared" si="29"/>
        <v>DAenergy_soldS1203351</v>
      </c>
      <c r="C1879" t="s">
        <v>99</v>
      </c>
      <c r="D1879" t="s">
        <v>112</v>
      </c>
      <c r="E1879" t="s">
        <v>110</v>
      </c>
      <c r="F1879">
        <v>60.817248090438767</v>
      </c>
      <c r="G1879">
        <v>2033</v>
      </c>
      <c r="H1879">
        <v>5</v>
      </c>
      <c r="I1879">
        <v>1</v>
      </c>
    </row>
    <row r="1880" spans="1:9" x14ac:dyDescent="0.35">
      <c r="A1880" t="str">
        <f t="shared" si="29"/>
        <v>DAhours_boughtS1203351</v>
      </c>
      <c r="C1880" t="s">
        <v>99</v>
      </c>
      <c r="D1880" t="s">
        <v>113</v>
      </c>
      <c r="E1880" t="s">
        <v>110</v>
      </c>
      <c r="F1880">
        <v>4382</v>
      </c>
      <c r="G1880">
        <v>2033</v>
      </c>
      <c r="H1880">
        <v>5</v>
      </c>
      <c r="I1880">
        <v>1</v>
      </c>
    </row>
    <row r="1881" spans="1:9" x14ac:dyDescent="0.35">
      <c r="A1881" t="str">
        <f t="shared" si="29"/>
        <v>DAhours_soldS1203351</v>
      </c>
      <c r="C1881" t="s">
        <v>99</v>
      </c>
      <c r="D1881" t="s">
        <v>114</v>
      </c>
      <c r="E1881" t="s">
        <v>110</v>
      </c>
      <c r="F1881">
        <v>74</v>
      </c>
      <c r="G1881">
        <v>2033</v>
      </c>
      <c r="H1881">
        <v>5</v>
      </c>
      <c r="I1881">
        <v>1</v>
      </c>
    </row>
    <row r="1882" spans="1:9" x14ac:dyDescent="0.35">
      <c r="A1882" t="str">
        <f t="shared" si="29"/>
        <v>DAco2_emissionS1203351</v>
      </c>
      <c r="C1882" t="s">
        <v>99</v>
      </c>
      <c r="D1882" t="s">
        <v>204</v>
      </c>
      <c r="E1882" t="s">
        <v>110</v>
      </c>
      <c r="F1882">
        <v>5946.1899403108282</v>
      </c>
      <c r="G1882">
        <v>2033</v>
      </c>
      <c r="H1882">
        <v>5</v>
      </c>
      <c r="I1882">
        <v>1</v>
      </c>
    </row>
    <row r="1883" spans="1:9" x14ac:dyDescent="0.35">
      <c r="A1883" t="str">
        <f t="shared" si="29"/>
        <v>fcrincomeS1203351</v>
      </c>
      <c r="C1883" t="s">
        <v>102</v>
      </c>
      <c r="D1883" t="s">
        <v>101</v>
      </c>
      <c r="E1883" t="s">
        <v>110</v>
      </c>
      <c r="F1883">
        <v>4.18208107169903E-2</v>
      </c>
      <c r="G1883">
        <v>2033</v>
      </c>
      <c r="H1883">
        <v>5</v>
      </c>
      <c r="I1883">
        <v>1</v>
      </c>
    </row>
    <row r="1884" spans="1:9" x14ac:dyDescent="0.35">
      <c r="A1884" t="str">
        <f t="shared" si="29"/>
        <v>fcractivation_hoursS1203351</v>
      </c>
      <c r="C1884" t="s">
        <v>102</v>
      </c>
      <c r="D1884" t="s">
        <v>115</v>
      </c>
      <c r="E1884" t="s">
        <v>110</v>
      </c>
      <c r="F1884">
        <v>8</v>
      </c>
      <c r="G1884">
        <v>2033</v>
      </c>
      <c r="H1884">
        <v>5</v>
      </c>
      <c r="I1884">
        <v>1</v>
      </c>
    </row>
    <row r="1885" spans="1:9" x14ac:dyDescent="0.35">
      <c r="A1885" t="str">
        <f t="shared" si="29"/>
        <v>afrrincomeS1203351</v>
      </c>
      <c r="C1885" t="s">
        <v>103</v>
      </c>
      <c r="D1885" t="s">
        <v>101</v>
      </c>
      <c r="E1885" t="s">
        <v>110</v>
      </c>
      <c r="F1885">
        <v>117428.3978208664</v>
      </c>
      <c r="G1885">
        <v>2033</v>
      </c>
      <c r="H1885">
        <v>5</v>
      </c>
      <c r="I1885">
        <v>1</v>
      </c>
    </row>
    <row r="1886" spans="1:9" x14ac:dyDescent="0.35">
      <c r="A1886" t="str">
        <f t="shared" si="29"/>
        <v>afrractivation_hoursS1203351</v>
      </c>
      <c r="B1886" t="s">
        <v>95</v>
      </c>
      <c r="C1886" t="s">
        <v>103</v>
      </c>
      <c r="D1886" t="s">
        <v>115</v>
      </c>
      <c r="E1886" t="s">
        <v>110</v>
      </c>
      <c r="F1886">
        <v>8648</v>
      </c>
      <c r="G1886">
        <v>2033</v>
      </c>
      <c r="H1886">
        <v>5</v>
      </c>
      <c r="I1886">
        <v>1</v>
      </c>
    </row>
    <row r="1887" spans="1:9" x14ac:dyDescent="0.35">
      <c r="A1887" t="str">
        <f t="shared" si="29"/>
        <v>networkturpe_power_costS1203451</v>
      </c>
      <c r="B1887" t="s">
        <v>95</v>
      </c>
      <c r="C1887" t="s">
        <v>96</v>
      </c>
      <c r="D1887" t="s">
        <v>97</v>
      </c>
      <c r="E1887" t="s">
        <v>110</v>
      </c>
      <c r="F1887">
        <v>5335.0177292481658</v>
      </c>
      <c r="G1887">
        <v>2034</v>
      </c>
      <c r="H1887">
        <v>5</v>
      </c>
      <c r="I1887">
        <v>1</v>
      </c>
    </row>
    <row r="1888" spans="1:9" x14ac:dyDescent="0.35">
      <c r="A1888" t="str">
        <f t="shared" si="29"/>
        <v>networkturpe_energy_costS1203451</v>
      </c>
      <c r="C1888" t="s">
        <v>96</v>
      </c>
      <c r="D1888" t="s">
        <v>98</v>
      </c>
      <c r="E1888" t="s">
        <v>110</v>
      </c>
      <c r="F1888">
        <v>1181.1822430805939</v>
      </c>
      <c r="G1888">
        <v>2034</v>
      </c>
      <c r="H1888">
        <v>5</v>
      </c>
      <c r="I1888">
        <v>1</v>
      </c>
    </row>
    <row r="1889" spans="1:9" x14ac:dyDescent="0.35">
      <c r="A1889" t="str">
        <f t="shared" si="29"/>
        <v>DAcostS1203451</v>
      </c>
      <c r="C1889" t="s">
        <v>99</v>
      </c>
      <c r="D1889" t="s">
        <v>100</v>
      </c>
      <c r="E1889" t="s">
        <v>110</v>
      </c>
      <c r="F1889">
        <v>3814.3499119671792</v>
      </c>
      <c r="G1889">
        <v>2034</v>
      </c>
      <c r="H1889">
        <v>5</v>
      </c>
      <c r="I1889">
        <v>1</v>
      </c>
    </row>
    <row r="1890" spans="1:9" x14ac:dyDescent="0.35">
      <c r="A1890" t="str">
        <f t="shared" si="29"/>
        <v>DAincomeS1203451</v>
      </c>
      <c r="C1890" t="s">
        <v>99</v>
      </c>
      <c r="D1890" t="s">
        <v>101</v>
      </c>
      <c r="E1890" t="s">
        <v>110</v>
      </c>
      <c r="F1890">
        <v>6874.599363502326</v>
      </c>
      <c r="G1890">
        <v>2034</v>
      </c>
      <c r="H1890">
        <v>5</v>
      </c>
      <c r="I1890">
        <v>1</v>
      </c>
    </row>
    <row r="1891" spans="1:9" x14ac:dyDescent="0.35">
      <c r="A1891" t="str">
        <f t="shared" si="29"/>
        <v>DAenergy_boughtS1203451</v>
      </c>
      <c r="C1891" t="s">
        <v>99</v>
      </c>
      <c r="D1891" t="s">
        <v>111</v>
      </c>
      <c r="E1891" t="s">
        <v>110</v>
      </c>
      <c r="F1891">
        <v>86.094428218633112</v>
      </c>
      <c r="G1891">
        <v>2034</v>
      </c>
      <c r="H1891">
        <v>5</v>
      </c>
      <c r="I1891">
        <v>1</v>
      </c>
    </row>
    <row r="1892" spans="1:9" x14ac:dyDescent="0.35">
      <c r="A1892" t="str">
        <f t="shared" si="29"/>
        <v>DAenergy_soldS1203451</v>
      </c>
      <c r="C1892" t="s">
        <v>99</v>
      </c>
      <c r="D1892" t="s">
        <v>112</v>
      </c>
      <c r="E1892" t="s">
        <v>110</v>
      </c>
      <c r="F1892">
        <v>61.931746153758723</v>
      </c>
      <c r="G1892">
        <v>2034</v>
      </c>
      <c r="H1892">
        <v>5</v>
      </c>
      <c r="I1892">
        <v>1</v>
      </c>
    </row>
    <row r="1893" spans="1:9" x14ac:dyDescent="0.35">
      <c r="A1893" t="str">
        <f t="shared" si="29"/>
        <v>DAhours_boughtS1203451</v>
      </c>
      <c r="C1893" t="s">
        <v>99</v>
      </c>
      <c r="D1893" t="s">
        <v>113</v>
      </c>
      <c r="E1893" t="s">
        <v>110</v>
      </c>
      <c r="F1893">
        <v>4487</v>
      </c>
      <c r="G1893">
        <v>2034</v>
      </c>
      <c r="H1893">
        <v>5</v>
      </c>
      <c r="I1893">
        <v>1</v>
      </c>
    </row>
    <row r="1894" spans="1:9" x14ac:dyDescent="0.35">
      <c r="A1894" t="str">
        <f t="shared" si="29"/>
        <v>DAhours_soldS1203451</v>
      </c>
      <c r="C1894" t="s">
        <v>99</v>
      </c>
      <c r="D1894" t="s">
        <v>114</v>
      </c>
      <c r="E1894" t="s">
        <v>110</v>
      </c>
      <c r="F1894">
        <v>76</v>
      </c>
      <c r="G1894">
        <v>2034</v>
      </c>
      <c r="H1894">
        <v>5</v>
      </c>
      <c r="I1894">
        <v>1</v>
      </c>
    </row>
    <row r="1895" spans="1:9" x14ac:dyDescent="0.35">
      <c r="A1895" t="str">
        <f t="shared" si="29"/>
        <v>DAco2_emissionS1203451</v>
      </c>
      <c r="C1895" t="s">
        <v>99</v>
      </c>
      <c r="D1895" t="s">
        <v>204</v>
      </c>
      <c r="E1895" t="s">
        <v>110</v>
      </c>
      <c r="F1895">
        <v>6026.6099753044318</v>
      </c>
      <c r="G1895">
        <v>2034</v>
      </c>
      <c r="H1895">
        <v>5</v>
      </c>
      <c r="I1895">
        <v>1</v>
      </c>
    </row>
    <row r="1896" spans="1:9" x14ac:dyDescent="0.35">
      <c r="A1896" t="str">
        <f t="shared" si="29"/>
        <v>fcrincomeS1203451</v>
      </c>
      <c r="C1896" t="s">
        <v>102</v>
      </c>
      <c r="D1896" t="s">
        <v>101</v>
      </c>
      <c r="E1896" t="s">
        <v>110</v>
      </c>
      <c r="F1896">
        <v>3.6546113949351762E-2</v>
      </c>
      <c r="G1896">
        <v>2034</v>
      </c>
      <c r="H1896">
        <v>5</v>
      </c>
      <c r="I1896">
        <v>1</v>
      </c>
    </row>
    <row r="1897" spans="1:9" x14ac:dyDescent="0.35">
      <c r="A1897" t="str">
        <f t="shared" si="29"/>
        <v>fcractivation_hoursS1203451</v>
      </c>
      <c r="C1897" t="s">
        <v>102</v>
      </c>
      <c r="D1897" t="s">
        <v>115</v>
      </c>
      <c r="E1897" t="s">
        <v>110</v>
      </c>
      <c r="F1897">
        <v>4</v>
      </c>
      <c r="G1897">
        <v>2034</v>
      </c>
      <c r="H1897">
        <v>5</v>
      </c>
      <c r="I1897">
        <v>1</v>
      </c>
    </row>
    <row r="1898" spans="1:9" x14ac:dyDescent="0.35">
      <c r="A1898" t="str">
        <f t="shared" si="29"/>
        <v>afrrincomeS1203451</v>
      </c>
      <c r="B1898" t="s">
        <v>95</v>
      </c>
      <c r="C1898" t="s">
        <v>103</v>
      </c>
      <c r="D1898" t="s">
        <v>101</v>
      </c>
      <c r="E1898" t="s">
        <v>110</v>
      </c>
      <c r="F1898">
        <v>120431.63485416889</v>
      </c>
      <c r="G1898">
        <v>2034</v>
      </c>
      <c r="H1898">
        <v>5</v>
      </c>
      <c r="I1898">
        <v>1</v>
      </c>
    </row>
    <row r="1899" spans="1:9" x14ac:dyDescent="0.35">
      <c r="A1899" t="str">
        <f t="shared" si="29"/>
        <v>afrractivation_hoursS1203451</v>
      </c>
      <c r="B1899" t="s">
        <v>95</v>
      </c>
      <c r="C1899" t="s">
        <v>103</v>
      </c>
      <c r="D1899" t="s">
        <v>115</v>
      </c>
      <c r="E1899" t="s">
        <v>110</v>
      </c>
      <c r="F1899">
        <v>8659</v>
      </c>
      <c r="G1899">
        <v>2034</v>
      </c>
      <c r="H1899">
        <v>5</v>
      </c>
      <c r="I1899">
        <v>1</v>
      </c>
    </row>
    <row r="1900" spans="1:9" x14ac:dyDescent="0.35">
      <c r="A1900" t="str">
        <f t="shared" si="29"/>
        <v>networkturpe_power_costS1203551</v>
      </c>
      <c r="C1900" t="s">
        <v>96</v>
      </c>
      <c r="D1900" t="s">
        <v>97</v>
      </c>
      <c r="E1900" t="s">
        <v>110</v>
      </c>
      <c r="F1900">
        <v>5201.4680671711531</v>
      </c>
      <c r="G1900">
        <v>2035</v>
      </c>
      <c r="H1900">
        <v>5</v>
      </c>
      <c r="I1900">
        <v>1</v>
      </c>
    </row>
    <row r="1901" spans="1:9" x14ac:dyDescent="0.35">
      <c r="A1901" t="str">
        <f t="shared" si="29"/>
        <v>networkturpe_energy_costS1203551</v>
      </c>
      <c r="C1901" t="s">
        <v>96</v>
      </c>
      <c r="D1901" t="s">
        <v>98</v>
      </c>
      <c r="E1901" t="s">
        <v>110</v>
      </c>
      <c r="F1901">
        <v>1026.856668118472</v>
      </c>
      <c r="G1901">
        <v>2035</v>
      </c>
      <c r="H1901">
        <v>5</v>
      </c>
      <c r="I1901">
        <v>1</v>
      </c>
    </row>
    <row r="1902" spans="1:9" x14ac:dyDescent="0.35">
      <c r="A1902" t="str">
        <f t="shared" si="29"/>
        <v>DAcostS1203551</v>
      </c>
      <c r="C1902" t="s">
        <v>99</v>
      </c>
      <c r="D1902" t="s">
        <v>100</v>
      </c>
      <c r="E1902" t="s">
        <v>110</v>
      </c>
      <c r="F1902">
        <v>3090.3495676351308</v>
      </c>
      <c r="G1902">
        <v>2035</v>
      </c>
      <c r="H1902">
        <v>5</v>
      </c>
      <c r="I1902">
        <v>1</v>
      </c>
    </row>
    <row r="1903" spans="1:9" x14ac:dyDescent="0.35">
      <c r="A1903" t="str">
        <f t="shared" si="29"/>
        <v>DAincomeS1203551</v>
      </c>
      <c r="C1903" t="s">
        <v>99</v>
      </c>
      <c r="D1903" t="s">
        <v>101</v>
      </c>
      <c r="E1903" t="s">
        <v>110</v>
      </c>
      <c r="F1903">
        <v>5840.2763910560052</v>
      </c>
      <c r="G1903">
        <v>2035</v>
      </c>
      <c r="H1903">
        <v>5</v>
      </c>
      <c r="I1903">
        <v>1</v>
      </c>
    </row>
    <row r="1904" spans="1:9" x14ac:dyDescent="0.35">
      <c r="A1904" t="str">
        <f t="shared" si="29"/>
        <v>DAenergy_boughtS1203551</v>
      </c>
      <c r="C1904" t="s">
        <v>99</v>
      </c>
      <c r="D1904" t="s">
        <v>111</v>
      </c>
      <c r="E1904" t="s">
        <v>110</v>
      </c>
      <c r="F1904">
        <v>73.67367216988842</v>
      </c>
      <c r="G1904">
        <v>2035</v>
      </c>
      <c r="H1904">
        <v>5</v>
      </c>
      <c r="I1904">
        <v>1</v>
      </c>
    </row>
    <row r="1905" spans="1:9" x14ac:dyDescent="0.35">
      <c r="A1905" t="str">
        <f t="shared" si="29"/>
        <v>DAenergy_soldS1203551</v>
      </c>
      <c r="C1905" t="s">
        <v>99</v>
      </c>
      <c r="D1905" t="s">
        <v>112</v>
      </c>
      <c r="E1905" t="s">
        <v>110</v>
      </c>
      <c r="F1905">
        <v>52.049282989078577</v>
      </c>
      <c r="G1905">
        <v>2035</v>
      </c>
      <c r="H1905">
        <v>5</v>
      </c>
      <c r="I1905">
        <v>1</v>
      </c>
    </row>
    <row r="1906" spans="1:9" x14ac:dyDescent="0.35">
      <c r="A1906" t="str">
        <f t="shared" si="29"/>
        <v>DAhours_boughtS1203551</v>
      </c>
      <c r="C1906" t="s">
        <v>99</v>
      </c>
      <c r="D1906" t="s">
        <v>113</v>
      </c>
      <c r="E1906" t="s">
        <v>110</v>
      </c>
      <c r="F1906">
        <v>4549</v>
      </c>
      <c r="G1906">
        <v>2035</v>
      </c>
      <c r="H1906">
        <v>5</v>
      </c>
      <c r="I1906">
        <v>1</v>
      </c>
    </row>
    <row r="1907" spans="1:9" x14ac:dyDescent="0.35">
      <c r="A1907" t="str">
        <f t="shared" si="29"/>
        <v>DAhours_soldS1203551</v>
      </c>
      <c r="C1907" t="s">
        <v>99</v>
      </c>
      <c r="D1907" t="s">
        <v>114</v>
      </c>
      <c r="E1907" t="s">
        <v>110</v>
      </c>
      <c r="F1907">
        <v>74</v>
      </c>
      <c r="G1907">
        <v>2035</v>
      </c>
      <c r="H1907">
        <v>5</v>
      </c>
      <c r="I1907">
        <v>1</v>
      </c>
    </row>
    <row r="1908" spans="1:9" x14ac:dyDescent="0.35">
      <c r="A1908" t="str">
        <f t="shared" si="29"/>
        <v>DAco2_emissionS1203551</v>
      </c>
      <c r="C1908" t="s">
        <v>99</v>
      </c>
      <c r="D1908" t="s">
        <v>204</v>
      </c>
      <c r="E1908" t="s">
        <v>110</v>
      </c>
      <c r="F1908">
        <v>5157.1570518922244</v>
      </c>
      <c r="G1908">
        <v>2035</v>
      </c>
      <c r="H1908">
        <v>5</v>
      </c>
      <c r="I1908">
        <v>1</v>
      </c>
    </row>
    <row r="1909" spans="1:9" x14ac:dyDescent="0.35">
      <c r="A1909" t="str">
        <f t="shared" si="29"/>
        <v>fcrincomeS1203551</v>
      </c>
      <c r="C1909" t="s">
        <v>102</v>
      </c>
      <c r="D1909" t="s">
        <v>101</v>
      </c>
      <c r="E1909" t="s">
        <v>110</v>
      </c>
      <c r="F1909">
        <v>0</v>
      </c>
      <c r="G1909">
        <v>2035</v>
      </c>
      <c r="H1909">
        <v>5</v>
      </c>
      <c r="I1909">
        <v>1</v>
      </c>
    </row>
    <row r="1910" spans="1:9" x14ac:dyDescent="0.35">
      <c r="A1910" t="str">
        <f t="shared" si="29"/>
        <v>fcractivation_hoursS1203551</v>
      </c>
      <c r="B1910" t="s">
        <v>95</v>
      </c>
      <c r="C1910" t="s">
        <v>102</v>
      </c>
      <c r="D1910" t="s">
        <v>115</v>
      </c>
      <c r="E1910" t="s">
        <v>110</v>
      </c>
      <c r="F1910">
        <v>0</v>
      </c>
      <c r="G1910">
        <v>2035</v>
      </c>
      <c r="H1910">
        <v>5</v>
      </c>
      <c r="I1910">
        <v>1</v>
      </c>
    </row>
    <row r="1911" spans="1:9" x14ac:dyDescent="0.35">
      <c r="A1911" t="str">
        <f t="shared" si="29"/>
        <v>afrrincomeS1203551</v>
      </c>
      <c r="B1911" t="s">
        <v>95</v>
      </c>
      <c r="C1911" t="s">
        <v>103</v>
      </c>
      <c r="D1911" t="s">
        <v>101</v>
      </c>
      <c r="E1911" t="s">
        <v>110</v>
      </c>
      <c r="F1911">
        <v>116679.48268939561</v>
      </c>
      <c r="G1911">
        <v>2035</v>
      </c>
      <c r="H1911">
        <v>5</v>
      </c>
      <c r="I1911">
        <v>1</v>
      </c>
    </row>
    <row r="1912" spans="1:9" x14ac:dyDescent="0.35">
      <c r="A1912" t="str">
        <f t="shared" si="29"/>
        <v>afrractivation_hoursS1203551</v>
      </c>
      <c r="C1912" t="s">
        <v>103</v>
      </c>
      <c r="D1912" t="s">
        <v>115</v>
      </c>
      <c r="E1912" t="s">
        <v>110</v>
      </c>
      <c r="F1912">
        <v>8669</v>
      </c>
      <c r="G1912">
        <v>2035</v>
      </c>
      <c r="H1912">
        <v>5</v>
      </c>
      <c r="I1912">
        <v>1</v>
      </c>
    </row>
    <row r="1913" spans="1:9" x14ac:dyDescent="0.35">
      <c r="A1913" t="str">
        <f t="shared" si="29"/>
        <v>networkturpe_power_costS1203651</v>
      </c>
      <c r="C1913" t="s">
        <v>96</v>
      </c>
      <c r="D1913" t="s">
        <v>97</v>
      </c>
      <c r="E1913" t="s">
        <v>110</v>
      </c>
      <c r="F1913">
        <v>5080.6221816842744</v>
      </c>
      <c r="G1913">
        <v>2036</v>
      </c>
      <c r="H1913">
        <v>5</v>
      </c>
      <c r="I1913">
        <v>1</v>
      </c>
    </row>
    <row r="1914" spans="1:9" x14ac:dyDescent="0.35">
      <c r="A1914" t="str">
        <f t="shared" si="29"/>
        <v>networkturpe_energy_costS1203651</v>
      </c>
      <c r="C1914" t="s">
        <v>96</v>
      </c>
      <c r="D1914" t="s">
        <v>98</v>
      </c>
      <c r="E1914" t="s">
        <v>110</v>
      </c>
      <c r="F1914">
        <v>1447.4595503272981</v>
      </c>
      <c r="G1914">
        <v>2036</v>
      </c>
      <c r="H1914">
        <v>5</v>
      </c>
      <c r="I1914">
        <v>1</v>
      </c>
    </row>
    <row r="1915" spans="1:9" x14ac:dyDescent="0.35">
      <c r="A1915" t="str">
        <f t="shared" si="29"/>
        <v>DAcostS1203651</v>
      </c>
      <c r="C1915" t="s">
        <v>99</v>
      </c>
      <c r="D1915" t="s">
        <v>100</v>
      </c>
      <c r="E1915" t="s">
        <v>110</v>
      </c>
      <c r="F1915">
        <v>4156.6196583510437</v>
      </c>
      <c r="G1915">
        <v>2036</v>
      </c>
      <c r="H1915">
        <v>5</v>
      </c>
      <c r="I1915">
        <v>1</v>
      </c>
    </row>
    <row r="1916" spans="1:9" x14ac:dyDescent="0.35">
      <c r="A1916" t="str">
        <f t="shared" si="29"/>
        <v>DAincomeS1203651</v>
      </c>
      <c r="C1916" t="s">
        <v>99</v>
      </c>
      <c r="D1916" t="s">
        <v>101</v>
      </c>
      <c r="E1916" t="s">
        <v>110</v>
      </c>
      <c r="F1916">
        <v>7964.1026924526323</v>
      </c>
      <c r="G1916">
        <v>2036</v>
      </c>
      <c r="H1916">
        <v>5</v>
      </c>
      <c r="I1916">
        <v>1</v>
      </c>
    </row>
    <row r="1917" spans="1:9" x14ac:dyDescent="0.35">
      <c r="A1917" t="str">
        <f t="shared" si="29"/>
        <v>DAenergy_boughtS1203651</v>
      </c>
      <c r="C1917" t="s">
        <v>99</v>
      </c>
      <c r="D1917" t="s">
        <v>111</v>
      </c>
      <c r="E1917" t="s">
        <v>110</v>
      </c>
      <c r="F1917">
        <v>97.32592488606106</v>
      </c>
      <c r="G1917">
        <v>2036</v>
      </c>
      <c r="H1917">
        <v>5</v>
      </c>
      <c r="I1917">
        <v>1</v>
      </c>
    </row>
    <row r="1918" spans="1:9" x14ac:dyDescent="0.35">
      <c r="A1918" t="str">
        <f t="shared" si="29"/>
        <v>DAenergy_soldS1203651</v>
      </c>
      <c r="C1918" t="s">
        <v>99</v>
      </c>
      <c r="D1918" t="s">
        <v>112</v>
      </c>
      <c r="E1918" t="s">
        <v>110</v>
      </c>
      <c r="F1918">
        <v>71.372833821659299</v>
      </c>
      <c r="G1918">
        <v>2036</v>
      </c>
      <c r="H1918">
        <v>5</v>
      </c>
      <c r="I1918">
        <v>1</v>
      </c>
    </row>
    <row r="1919" spans="1:9" x14ac:dyDescent="0.35">
      <c r="A1919" t="str">
        <f t="shared" si="29"/>
        <v>DAhours_boughtS1203651</v>
      </c>
      <c r="C1919" t="s">
        <v>99</v>
      </c>
      <c r="D1919" t="s">
        <v>113</v>
      </c>
      <c r="E1919" t="s">
        <v>110</v>
      </c>
      <c r="F1919">
        <v>4148</v>
      </c>
      <c r="G1919">
        <v>2036</v>
      </c>
      <c r="H1919">
        <v>5</v>
      </c>
      <c r="I1919">
        <v>1</v>
      </c>
    </row>
    <row r="1920" spans="1:9" x14ac:dyDescent="0.35">
      <c r="A1920" t="str">
        <f t="shared" si="29"/>
        <v>DAhours_soldS1203651</v>
      </c>
      <c r="C1920" t="s">
        <v>99</v>
      </c>
      <c r="D1920" t="s">
        <v>114</v>
      </c>
      <c r="E1920" t="s">
        <v>110</v>
      </c>
      <c r="F1920">
        <v>111</v>
      </c>
      <c r="G1920">
        <v>2036</v>
      </c>
      <c r="H1920">
        <v>5</v>
      </c>
      <c r="I1920">
        <v>1</v>
      </c>
    </row>
    <row r="1921" spans="1:9" x14ac:dyDescent="0.35">
      <c r="A1921" t="str">
        <f t="shared" si="29"/>
        <v>DAco2_emissionS1203651</v>
      </c>
      <c r="C1921" t="s">
        <v>99</v>
      </c>
      <c r="D1921" t="s">
        <v>204</v>
      </c>
      <c r="E1921" t="s">
        <v>110</v>
      </c>
      <c r="F1921">
        <v>6812.8147420243204</v>
      </c>
      <c r="G1921">
        <v>2036</v>
      </c>
      <c r="H1921">
        <v>5</v>
      </c>
      <c r="I1921">
        <v>1</v>
      </c>
    </row>
    <row r="1922" spans="1:9" x14ac:dyDescent="0.35">
      <c r="A1922" t="str">
        <f t="shared" si="29"/>
        <v>fcrincomeS1203651</v>
      </c>
      <c r="B1922" t="s">
        <v>95</v>
      </c>
      <c r="C1922" t="s">
        <v>102</v>
      </c>
      <c r="D1922" t="s">
        <v>101</v>
      </c>
      <c r="E1922" t="s">
        <v>110</v>
      </c>
      <c r="F1922">
        <v>0</v>
      </c>
      <c r="G1922">
        <v>2036</v>
      </c>
      <c r="H1922">
        <v>5</v>
      </c>
      <c r="I1922">
        <v>1</v>
      </c>
    </row>
    <row r="1923" spans="1:9" x14ac:dyDescent="0.35">
      <c r="A1923" t="str">
        <f t="shared" ref="A1923:A1986" si="30">C1923&amp;D1923&amp;E1923&amp;G1923&amp;H1923&amp;I1923</f>
        <v>fcractivation_hoursS1203651</v>
      </c>
      <c r="B1923" t="s">
        <v>95</v>
      </c>
      <c r="C1923" t="s">
        <v>102</v>
      </c>
      <c r="D1923" t="s">
        <v>115</v>
      </c>
      <c r="E1923" t="s">
        <v>110</v>
      </c>
      <c r="F1923">
        <v>0</v>
      </c>
      <c r="G1923">
        <v>2036</v>
      </c>
      <c r="H1923">
        <v>5</v>
      </c>
      <c r="I1923">
        <v>1</v>
      </c>
    </row>
    <row r="1924" spans="1:9" x14ac:dyDescent="0.35">
      <c r="A1924" t="str">
        <f t="shared" si="30"/>
        <v>afrrincomeS1203651</v>
      </c>
      <c r="C1924" t="s">
        <v>103</v>
      </c>
      <c r="D1924" t="s">
        <v>101</v>
      </c>
      <c r="E1924" t="s">
        <v>110</v>
      </c>
      <c r="F1924">
        <v>108179.79242290719</v>
      </c>
      <c r="G1924">
        <v>2036</v>
      </c>
      <c r="H1924">
        <v>5</v>
      </c>
      <c r="I1924">
        <v>1</v>
      </c>
    </row>
    <row r="1925" spans="1:9" x14ac:dyDescent="0.35">
      <c r="A1925" t="str">
        <f t="shared" si="30"/>
        <v>afrractivation_hoursS1203651</v>
      </c>
      <c r="C1925" t="s">
        <v>103</v>
      </c>
      <c r="D1925" t="s">
        <v>115</v>
      </c>
      <c r="E1925" t="s">
        <v>110</v>
      </c>
      <c r="F1925">
        <v>8638</v>
      </c>
      <c r="G1925">
        <v>2036</v>
      </c>
      <c r="H1925">
        <v>5</v>
      </c>
      <c r="I1925">
        <v>1</v>
      </c>
    </row>
    <row r="1926" spans="1:9" x14ac:dyDescent="0.35">
      <c r="A1926" t="str">
        <f t="shared" si="30"/>
        <v>networkturpe_power_costS1203751</v>
      </c>
      <c r="C1926" t="s">
        <v>96</v>
      </c>
      <c r="D1926" t="s">
        <v>97</v>
      </c>
      <c r="E1926" t="s">
        <v>110</v>
      </c>
      <c r="F1926">
        <v>4944.5967270076999</v>
      </c>
      <c r="G1926">
        <v>2037</v>
      </c>
      <c r="H1926">
        <v>5</v>
      </c>
      <c r="I1926">
        <v>1</v>
      </c>
    </row>
    <row r="1927" spans="1:9" x14ac:dyDescent="0.35">
      <c r="A1927" t="str">
        <f t="shared" si="30"/>
        <v>networkturpe_energy_costS1203751</v>
      </c>
      <c r="C1927" t="s">
        <v>96</v>
      </c>
      <c r="D1927" t="s">
        <v>98</v>
      </c>
      <c r="E1927" t="s">
        <v>110</v>
      </c>
      <c r="F1927">
        <v>1059.4727605500191</v>
      </c>
      <c r="G1927">
        <v>2037</v>
      </c>
      <c r="H1927">
        <v>5</v>
      </c>
      <c r="I1927">
        <v>1</v>
      </c>
    </row>
    <row r="1928" spans="1:9" x14ac:dyDescent="0.35">
      <c r="A1928" t="str">
        <f t="shared" si="30"/>
        <v>DAcostS1203751</v>
      </c>
      <c r="C1928" t="s">
        <v>99</v>
      </c>
      <c r="D1928" t="s">
        <v>100</v>
      </c>
      <c r="E1928" t="s">
        <v>110</v>
      </c>
      <c r="F1928">
        <v>3253.3148459441718</v>
      </c>
      <c r="G1928">
        <v>2037</v>
      </c>
      <c r="H1928">
        <v>5</v>
      </c>
      <c r="I1928">
        <v>1</v>
      </c>
    </row>
    <row r="1929" spans="1:9" x14ac:dyDescent="0.35">
      <c r="A1929" t="str">
        <f t="shared" si="30"/>
        <v>DAincomeS1203751</v>
      </c>
      <c r="C1929" t="s">
        <v>99</v>
      </c>
      <c r="D1929" t="s">
        <v>101</v>
      </c>
      <c r="E1929" t="s">
        <v>110</v>
      </c>
      <c r="F1929">
        <v>5922.8743868914808</v>
      </c>
      <c r="G1929">
        <v>2037</v>
      </c>
      <c r="H1929">
        <v>5</v>
      </c>
      <c r="I1929">
        <v>1</v>
      </c>
    </row>
    <row r="1930" spans="1:9" x14ac:dyDescent="0.35">
      <c r="A1930" t="str">
        <f t="shared" si="30"/>
        <v>DAenergy_boughtS1203751</v>
      </c>
      <c r="C1930" t="s">
        <v>99</v>
      </c>
      <c r="D1930" t="s">
        <v>111</v>
      </c>
      <c r="E1930" t="s">
        <v>110</v>
      </c>
      <c r="F1930">
        <v>75.470594818448859</v>
      </c>
      <c r="G1930">
        <v>2037</v>
      </c>
      <c r="H1930">
        <v>5</v>
      </c>
      <c r="I1930">
        <v>1</v>
      </c>
    </row>
    <row r="1931" spans="1:9" x14ac:dyDescent="0.35">
      <c r="A1931" t="str">
        <f t="shared" si="30"/>
        <v>DAenergy_soldS1203751</v>
      </c>
      <c r="C1931" t="s">
        <v>99</v>
      </c>
      <c r="D1931" t="s">
        <v>112</v>
      </c>
      <c r="E1931" t="s">
        <v>110</v>
      </c>
      <c r="F1931">
        <v>53.859174492213747</v>
      </c>
      <c r="G1931">
        <v>2037</v>
      </c>
      <c r="H1931">
        <v>5</v>
      </c>
      <c r="I1931">
        <v>1</v>
      </c>
    </row>
    <row r="1932" spans="1:9" x14ac:dyDescent="0.35">
      <c r="A1932" t="str">
        <f t="shared" si="30"/>
        <v>DAhours_boughtS1203751</v>
      </c>
      <c r="C1932" t="s">
        <v>99</v>
      </c>
      <c r="D1932" t="s">
        <v>113</v>
      </c>
      <c r="E1932" t="s">
        <v>110</v>
      </c>
      <c r="F1932">
        <v>4669</v>
      </c>
      <c r="G1932">
        <v>2037</v>
      </c>
      <c r="H1932">
        <v>5</v>
      </c>
      <c r="I1932">
        <v>1</v>
      </c>
    </row>
    <row r="1933" spans="1:9" x14ac:dyDescent="0.35">
      <c r="A1933" t="str">
        <f t="shared" si="30"/>
        <v>DAhours_soldS1203751</v>
      </c>
      <c r="C1933" t="s">
        <v>99</v>
      </c>
      <c r="D1933" t="s">
        <v>114</v>
      </c>
      <c r="E1933" t="s">
        <v>110</v>
      </c>
      <c r="F1933">
        <v>90</v>
      </c>
      <c r="G1933">
        <v>2037</v>
      </c>
      <c r="H1933">
        <v>5</v>
      </c>
      <c r="I1933">
        <v>1</v>
      </c>
    </row>
    <row r="1934" spans="1:9" x14ac:dyDescent="0.35">
      <c r="A1934" t="str">
        <f t="shared" si="30"/>
        <v>DAco2_emissionS1203751</v>
      </c>
      <c r="B1934" t="s">
        <v>95</v>
      </c>
      <c r="C1934" t="s">
        <v>99</v>
      </c>
      <c r="D1934" t="s">
        <v>204</v>
      </c>
      <c r="E1934" t="s">
        <v>110</v>
      </c>
      <c r="F1934">
        <v>5282.9416372917594</v>
      </c>
      <c r="G1934">
        <v>2037</v>
      </c>
      <c r="H1934">
        <v>5</v>
      </c>
      <c r="I1934">
        <v>1</v>
      </c>
    </row>
    <row r="1935" spans="1:9" x14ac:dyDescent="0.35">
      <c r="A1935" t="str">
        <f t="shared" si="30"/>
        <v>fcrincomeS1203751</v>
      </c>
      <c r="B1935" t="s">
        <v>95</v>
      </c>
      <c r="C1935" t="s">
        <v>102</v>
      </c>
      <c r="D1935" t="s">
        <v>101</v>
      </c>
      <c r="E1935" t="s">
        <v>110</v>
      </c>
      <c r="F1935">
        <v>4.0981394293617072E-2</v>
      </c>
      <c r="G1935">
        <v>2037</v>
      </c>
      <c r="H1935">
        <v>5</v>
      </c>
      <c r="I1935">
        <v>1</v>
      </c>
    </row>
    <row r="1936" spans="1:9" x14ac:dyDescent="0.35">
      <c r="A1936" t="str">
        <f t="shared" si="30"/>
        <v>fcractivation_hoursS1203751</v>
      </c>
      <c r="C1936" t="s">
        <v>102</v>
      </c>
      <c r="D1936" t="s">
        <v>115</v>
      </c>
      <c r="E1936" t="s">
        <v>110</v>
      </c>
      <c r="F1936">
        <v>4</v>
      </c>
      <c r="G1936">
        <v>2037</v>
      </c>
      <c r="H1936">
        <v>5</v>
      </c>
      <c r="I1936">
        <v>1</v>
      </c>
    </row>
    <row r="1937" spans="1:9" x14ac:dyDescent="0.35">
      <c r="A1937" t="str">
        <f t="shared" si="30"/>
        <v>afrrincomeS1203751</v>
      </c>
      <c r="C1937" t="s">
        <v>103</v>
      </c>
      <c r="D1937" t="s">
        <v>101</v>
      </c>
      <c r="E1937" t="s">
        <v>110</v>
      </c>
      <c r="F1937">
        <v>108936.0152554588</v>
      </c>
      <c r="G1937">
        <v>2037</v>
      </c>
      <c r="H1937">
        <v>5</v>
      </c>
      <c r="I1937">
        <v>1</v>
      </c>
    </row>
    <row r="1938" spans="1:9" x14ac:dyDescent="0.35">
      <c r="A1938" t="str">
        <f t="shared" si="30"/>
        <v>afrractivation_hoursS1203751</v>
      </c>
      <c r="C1938" t="s">
        <v>103</v>
      </c>
      <c r="D1938" t="s">
        <v>115</v>
      </c>
      <c r="E1938" t="s">
        <v>110</v>
      </c>
      <c r="F1938">
        <v>8668</v>
      </c>
      <c r="G1938">
        <v>2037</v>
      </c>
      <c r="H1938">
        <v>5</v>
      </c>
      <c r="I1938">
        <v>1</v>
      </c>
    </row>
    <row r="1939" spans="1:9" x14ac:dyDescent="0.35">
      <c r="A1939" t="str">
        <f t="shared" si="30"/>
        <v>networkturpe_power_costS1203851</v>
      </c>
      <c r="C1939" t="s">
        <v>96</v>
      </c>
      <c r="D1939" t="s">
        <v>97</v>
      </c>
      <c r="E1939" t="s">
        <v>110</v>
      </c>
      <c r="F1939">
        <v>4832.592384854388</v>
      </c>
      <c r="G1939">
        <v>2038</v>
      </c>
      <c r="H1939">
        <v>5</v>
      </c>
      <c r="I1939">
        <v>1</v>
      </c>
    </row>
    <row r="1940" spans="1:9" x14ac:dyDescent="0.35">
      <c r="A1940" t="str">
        <f t="shared" si="30"/>
        <v>networkturpe_energy_costS1203851</v>
      </c>
      <c r="C1940" t="s">
        <v>96</v>
      </c>
      <c r="D1940" t="s">
        <v>98</v>
      </c>
      <c r="E1940" t="s">
        <v>110</v>
      </c>
      <c r="F1940">
        <v>1824.506985961548</v>
      </c>
      <c r="G1940">
        <v>2038</v>
      </c>
      <c r="H1940">
        <v>5</v>
      </c>
      <c r="I1940">
        <v>1</v>
      </c>
    </row>
    <row r="1941" spans="1:9" x14ac:dyDescent="0.35">
      <c r="A1941" t="str">
        <f t="shared" si="30"/>
        <v>DAcostS1203851</v>
      </c>
      <c r="C1941" t="s">
        <v>99</v>
      </c>
      <c r="D1941" t="s">
        <v>100</v>
      </c>
      <c r="E1941" t="s">
        <v>110</v>
      </c>
      <c r="F1941">
        <v>4716.6855097565858</v>
      </c>
      <c r="G1941">
        <v>2038</v>
      </c>
      <c r="H1941">
        <v>5</v>
      </c>
      <c r="I1941">
        <v>1</v>
      </c>
    </row>
    <row r="1942" spans="1:9" x14ac:dyDescent="0.35">
      <c r="A1942" t="str">
        <f t="shared" si="30"/>
        <v>DAincomeS1203851</v>
      </c>
      <c r="C1942" t="s">
        <v>99</v>
      </c>
      <c r="D1942" t="s">
        <v>101</v>
      </c>
      <c r="E1942" t="s">
        <v>110</v>
      </c>
      <c r="F1942">
        <v>9855.3822266056832</v>
      </c>
      <c r="G1942">
        <v>2038</v>
      </c>
      <c r="H1942">
        <v>5</v>
      </c>
      <c r="I1942">
        <v>1</v>
      </c>
    </row>
    <row r="1943" spans="1:9" x14ac:dyDescent="0.35">
      <c r="A1943" t="str">
        <f t="shared" si="30"/>
        <v>DAenergy_boughtS1203851</v>
      </c>
      <c r="C1943" t="s">
        <v>99</v>
      </c>
      <c r="D1943" t="s">
        <v>111</v>
      </c>
      <c r="E1943" t="s">
        <v>110</v>
      </c>
      <c r="F1943">
        <v>118.6593786755313</v>
      </c>
      <c r="G1943">
        <v>2038</v>
      </c>
      <c r="H1943">
        <v>5</v>
      </c>
      <c r="I1943">
        <v>1</v>
      </c>
    </row>
    <row r="1944" spans="1:9" x14ac:dyDescent="0.35">
      <c r="A1944" t="str">
        <f t="shared" si="30"/>
        <v>DAenergy_soldS1203851</v>
      </c>
      <c r="C1944" t="s">
        <v>99</v>
      </c>
      <c r="D1944" t="s">
        <v>112</v>
      </c>
      <c r="E1944" t="s">
        <v>110</v>
      </c>
      <c r="F1944">
        <v>88.99788243411713</v>
      </c>
      <c r="G1944">
        <v>2038</v>
      </c>
      <c r="H1944">
        <v>5</v>
      </c>
      <c r="I1944">
        <v>1</v>
      </c>
    </row>
    <row r="1945" spans="1:9" x14ac:dyDescent="0.35">
      <c r="A1945" t="str">
        <f t="shared" si="30"/>
        <v>DAhours_boughtS1203851</v>
      </c>
      <c r="C1945" t="s">
        <v>99</v>
      </c>
      <c r="D1945" t="s">
        <v>113</v>
      </c>
      <c r="E1945" t="s">
        <v>110</v>
      </c>
      <c r="F1945">
        <v>4469</v>
      </c>
      <c r="G1945">
        <v>2038</v>
      </c>
      <c r="H1945">
        <v>5</v>
      </c>
      <c r="I1945">
        <v>1</v>
      </c>
    </row>
    <row r="1946" spans="1:9" x14ac:dyDescent="0.35">
      <c r="A1946" t="str">
        <f t="shared" si="30"/>
        <v>DAhours_soldS1203851</v>
      </c>
      <c r="B1946" t="s">
        <v>95</v>
      </c>
      <c r="C1946" t="s">
        <v>99</v>
      </c>
      <c r="D1946" t="s">
        <v>114</v>
      </c>
      <c r="E1946" t="s">
        <v>110</v>
      </c>
      <c r="F1946">
        <v>126</v>
      </c>
      <c r="G1946">
        <v>2038</v>
      </c>
      <c r="H1946">
        <v>5</v>
      </c>
      <c r="I1946">
        <v>1</v>
      </c>
    </row>
    <row r="1947" spans="1:9" x14ac:dyDescent="0.35">
      <c r="A1947" t="str">
        <f t="shared" si="30"/>
        <v>DAco2_emissionS1203851</v>
      </c>
      <c r="B1947" t="s">
        <v>95</v>
      </c>
      <c r="C1947" t="s">
        <v>99</v>
      </c>
      <c r="D1947" t="s">
        <v>204</v>
      </c>
      <c r="E1947" t="s">
        <v>110</v>
      </c>
      <c r="F1947">
        <v>8306.1565072868052</v>
      </c>
      <c r="G1947">
        <v>2038</v>
      </c>
      <c r="H1947">
        <v>5</v>
      </c>
      <c r="I1947">
        <v>1</v>
      </c>
    </row>
    <row r="1948" spans="1:9" x14ac:dyDescent="0.35">
      <c r="A1948" t="str">
        <f t="shared" si="30"/>
        <v>fcrincomeS1203851</v>
      </c>
      <c r="C1948" t="s">
        <v>102</v>
      </c>
      <c r="D1948" t="s">
        <v>101</v>
      </c>
      <c r="E1948" t="s">
        <v>110</v>
      </c>
      <c r="F1948">
        <v>1.041709693918591E-6</v>
      </c>
      <c r="G1948">
        <v>2038</v>
      </c>
      <c r="H1948">
        <v>5</v>
      </c>
      <c r="I1948">
        <v>1</v>
      </c>
    </row>
    <row r="1949" spans="1:9" x14ac:dyDescent="0.35">
      <c r="A1949" t="str">
        <f t="shared" si="30"/>
        <v>fcractivation_hoursS1203851</v>
      </c>
      <c r="C1949" t="s">
        <v>102</v>
      </c>
      <c r="D1949" t="s">
        <v>115</v>
      </c>
      <c r="E1949" t="s">
        <v>110</v>
      </c>
      <c r="F1949">
        <v>0</v>
      </c>
      <c r="G1949">
        <v>2038</v>
      </c>
      <c r="H1949">
        <v>5</v>
      </c>
      <c r="I1949">
        <v>1</v>
      </c>
    </row>
    <row r="1950" spans="1:9" x14ac:dyDescent="0.35">
      <c r="A1950" t="str">
        <f t="shared" si="30"/>
        <v>afrrincomeS1203851</v>
      </c>
      <c r="C1950" t="s">
        <v>103</v>
      </c>
      <c r="D1950" t="s">
        <v>101</v>
      </c>
      <c r="E1950" t="s">
        <v>110</v>
      </c>
      <c r="F1950">
        <v>105901.49259350161</v>
      </c>
      <c r="G1950">
        <v>2038</v>
      </c>
      <c r="H1950">
        <v>5</v>
      </c>
      <c r="I1950">
        <v>1</v>
      </c>
    </row>
    <row r="1951" spans="1:9" x14ac:dyDescent="0.35">
      <c r="A1951" t="str">
        <f t="shared" si="30"/>
        <v>afrractivation_hoursS1203851</v>
      </c>
      <c r="C1951" t="s">
        <v>103</v>
      </c>
      <c r="D1951" t="s">
        <v>115</v>
      </c>
      <c r="E1951" t="s">
        <v>110</v>
      </c>
      <c r="F1951">
        <v>8604</v>
      </c>
      <c r="G1951">
        <v>2038</v>
      </c>
      <c r="H1951">
        <v>5</v>
      </c>
      <c r="I1951">
        <v>1</v>
      </c>
    </row>
    <row r="1952" spans="1:9" x14ac:dyDescent="0.35">
      <c r="A1952" t="str">
        <f t="shared" si="30"/>
        <v>networkturpe_power_costS1203951</v>
      </c>
      <c r="C1952" t="s">
        <v>96</v>
      </c>
      <c r="D1952" t="s">
        <v>97</v>
      </c>
      <c r="E1952" t="s">
        <v>110</v>
      </c>
      <c r="F1952">
        <v>4704.7763983643008</v>
      </c>
      <c r="G1952">
        <v>2039</v>
      </c>
      <c r="H1952">
        <v>5</v>
      </c>
      <c r="I1952">
        <v>1</v>
      </c>
    </row>
    <row r="1953" spans="1:9" x14ac:dyDescent="0.35">
      <c r="A1953" t="str">
        <f t="shared" si="30"/>
        <v>networkturpe_energy_costS1203951</v>
      </c>
      <c r="C1953" t="s">
        <v>96</v>
      </c>
      <c r="D1953" t="s">
        <v>98</v>
      </c>
      <c r="E1953" t="s">
        <v>110</v>
      </c>
      <c r="F1953">
        <v>1463.6753686631871</v>
      </c>
      <c r="G1953">
        <v>2039</v>
      </c>
      <c r="H1953">
        <v>5</v>
      </c>
      <c r="I1953">
        <v>1</v>
      </c>
    </row>
    <row r="1954" spans="1:9" x14ac:dyDescent="0.35">
      <c r="A1954" t="str">
        <f t="shared" si="30"/>
        <v>DAcostS1203951</v>
      </c>
      <c r="C1954" t="s">
        <v>99</v>
      </c>
      <c r="D1954" t="s">
        <v>100</v>
      </c>
      <c r="E1954" t="s">
        <v>110</v>
      </c>
      <c r="F1954">
        <v>4036.0511431617442</v>
      </c>
      <c r="G1954">
        <v>2039</v>
      </c>
      <c r="H1954">
        <v>5</v>
      </c>
      <c r="I1954">
        <v>1</v>
      </c>
    </row>
    <row r="1955" spans="1:9" x14ac:dyDescent="0.35">
      <c r="A1955" t="str">
        <f t="shared" si="30"/>
        <v>DAincomeS1203951</v>
      </c>
      <c r="C1955" t="s">
        <v>99</v>
      </c>
      <c r="D1955" t="s">
        <v>101</v>
      </c>
      <c r="E1955" t="s">
        <v>110</v>
      </c>
      <c r="F1955">
        <v>8145.1772322681772</v>
      </c>
      <c r="G1955">
        <v>2039</v>
      </c>
      <c r="H1955">
        <v>5</v>
      </c>
      <c r="I1955">
        <v>1</v>
      </c>
    </row>
    <row r="1956" spans="1:9" x14ac:dyDescent="0.35">
      <c r="A1956" t="str">
        <f t="shared" si="30"/>
        <v>DAenergy_boughtS1203951</v>
      </c>
      <c r="C1956" t="s">
        <v>99</v>
      </c>
      <c r="D1956" t="s">
        <v>111</v>
      </c>
      <c r="E1956" t="s">
        <v>110</v>
      </c>
      <c r="F1956">
        <v>98.34571118676034</v>
      </c>
      <c r="G1956">
        <v>2039</v>
      </c>
      <c r="H1956">
        <v>5</v>
      </c>
      <c r="I1956">
        <v>1</v>
      </c>
    </row>
    <row r="1957" spans="1:9" x14ac:dyDescent="0.35">
      <c r="A1957" t="str">
        <f t="shared" si="30"/>
        <v>DAenergy_soldS1203951</v>
      </c>
      <c r="C1957" t="s">
        <v>99</v>
      </c>
      <c r="D1957" t="s">
        <v>112</v>
      </c>
      <c r="E1957" t="s">
        <v>110</v>
      </c>
      <c r="F1957">
        <v>72.722514445117895</v>
      </c>
      <c r="G1957">
        <v>2039</v>
      </c>
      <c r="H1957">
        <v>5</v>
      </c>
      <c r="I1957">
        <v>1</v>
      </c>
    </row>
    <row r="1958" spans="1:9" x14ac:dyDescent="0.35">
      <c r="A1958" t="str">
        <f t="shared" si="30"/>
        <v>DAhours_boughtS1203951</v>
      </c>
      <c r="B1958" t="s">
        <v>95</v>
      </c>
      <c r="C1958" t="s">
        <v>99</v>
      </c>
      <c r="D1958" t="s">
        <v>113</v>
      </c>
      <c r="E1958" t="s">
        <v>110</v>
      </c>
      <c r="F1958">
        <v>4823</v>
      </c>
      <c r="G1958">
        <v>2039</v>
      </c>
      <c r="H1958">
        <v>5</v>
      </c>
      <c r="I1958">
        <v>1</v>
      </c>
    </row>
    <row r="1959" spans="1:9" x14ac:dyDescent="0.35">
      <c r="A1959" t="str">
        <f t="shared" si="30"/>
        <v>DAhours_soldS1203951</v>
      </c>
      <c r="B1959" t="s">
        <v>95</v>
      </c>
      <c r="C1959" t="s">
        <v>99</v>
      </c>
      <c r="D1959" t="s">
        <v>114</v>
      </c>
      <c r="E1959" t="s">
        <v>110</v>
      </c>
      <c r="F1959">
        <v>103</v>
      </c>
      <c r="G1959">
        <v>2039</v>
      </c>
      <c r="H1959">
        <v>5</v>
      </c>
      <c r="I1959">
        <v>1</v>
      </c>
    </row>
    <row r="1960" spans="1:9" x14ac:dyDescent="0.35">
      <c r="A1960" t="str">
        <f t="shared" si="30"/>
        <v>DAco2_emissionS1203951</v>
      </c>
      <c r="C1960" t="s">
        <v>99</v>
      </c>
      <c r="D1960" t="s">
        <v>204</v>
      </c>
      <c r="E1960" t="s">
        <v>110</v>
      </c>
      <c r="F1960">
        <v>6884.1997830733126</v>
      </c>
      <c r="G1960">
        <v>2039</v>
      </c>
      <c r="H1960">
        <v>5</v>
      </c>
      <c r="I1960">
        <v>1</v>
      </c>
    </row>
    <row r="1961" spans="1:9" x14ac:dyDescent="0.35">
      <c r="A1961" t="str">
        <f t="shared" si="30"/>
        <v>fcrincomeS1203951</v>
      </c>
      <c r="C1961" t="s">
        <v>102</v>
      </c>
      <c r="D1961" t="s">
        <v>101</v>
      </c>
      <c r="E1961" t="s">
        <v>110</v>
      </c>
      <c r="F1961">
        <v>0</v>
      </c>
      <c r="G1961">
        <v>2039</v>
      </c>
      <c r="H1961">
        <v>5</v>
      </c>
      <c r="I1961">
        <v>1</v>
      </c>
    </row>
    <row r="1962" spans="1:9" x14ac:dyDescent="0.35">
      <c r="A1962" t="str">
        <f t="shared" si="30"/>
        <v>fcractivation_hoursS1203951</v>
      </c>
      <c r="C1962" t="s">
        <v>102</v>
      </c>
      <c r="D1962" t="s">
        <v>115</v>
      </c>
      <c r="E1962" t="s">
        <v>110</v>
      </c>
      <c r="F1962">
        <v>0</v>
      </c>
      <c r="G1962">
        <v>2039</v>
      </c>
      <c r="H1962">
        <v>5</v>
      </c>
      <c r="I1962">
        <v>1</v>
      </c>
    </row>
    <row r="1963" spans="1:9" x14ac:dyDescent="0.35">
      <c r="A1963" t="str">
        <f t="shared" si="30"/>
        <v>afrrincomeS1203951</v>
      </c>
      <c r="C1963" t="s">
        <v>103</v>
      </c>
      <c r="D1963" t="s">
        <v>101</v>
      </c>
      <c r="E1963" t="s">
        <v>110</v>
      </c>
      <c r="F1963">
        <v>106477.3446208</v>
      </c>
      <c r="G1963">
        <v>2039</v>
      </c>
      <c r="H1963">
        <v>5</v>
      </c>
      <c r="I1963">
        <v>1</v>
      </c>
    </row>
    <row r="1964" spans="1:9" x14ac:dyDescent="0.35">
      <c r="A1964" t="str">
        <f t="shared" si="30"/>
        <v>afrractivation_hoursS1203951</v>
      </c>
      <c r="C1964" t="s">
        <v>103</v>
      </c>
      <c r="D1964" t="s">
        <v>115</v>
      </c>
      <c r="E1964" t="s">
        <v>110</v>
      </c>
      <c r="F1964">
        <v>8620</v>
      </c>
      <c r="G1964">
        <v>2039</v>
      </c>
      <c r="H1964">
        <v>5</v>
      </c>
      <c r="I1964">
        <v>1</v>
      </c>
    </row>
    <row r="1965" spans="1:9" x14ac:dyDescent="0.35">
      <c r="A1965" t="str">
        <f t="shared" si="30"/>
        <v>networkturpe_power_costS1204051</v>
      </c>
      <c r="C1965" t="s">
        <v>96</v>
      </c>
      <c r="D1965" t="s">
        <v>97</v>
      </c>
      <c r="E1965" t="s">
        <v>110</v>
      </c>
      <c r="F1965">
        <v>4723.6316894163538</v>
      </c>
      <c r="G1965">
        <v>2040</v>
      </c>
      <c r="H1965">
        <v>5</v>
      </c>
      <c r="I1965">
        <v>1</v>
      </c>
    </row>
    <row r="1966" spans="1:9" x14ac:dyDescent="0.35">
      <c r="A1966" t="str">
        <f t="shared" si="30"/>
        <v>networkturpe_energy_costS1204051</v>
      </c>
      <c r="C1966" t="s">
        <v>96</v>
      </c>
      <c r="D1966" t="s">
        <v>98</v>
      </c>
      <c r="E1966" t="s">
        <v>110</v>
      </c>
      <c r="F1966">
        <v>3713.1666647507959</v>
      </c>
      <c r="G1966">
        <v>2040</v>
      </c>
      <c r="H1966">
        <v>5</v>
      </c>
      <c r="I1966">
        <v>1</v>
      </c>
    </row>
    <row r="1967" spans="1:9" x14ac:dyDescent="0.35">
      <c r="A1967" t="str">
        <f t="shared" si="30"/>
        <v>DAcostS1204051</v>
      </c>
      <c r="C1967" t="s">
        <v>99</v>
      </c>
      <c r="D1967" t="s">
        <v>100</v>
      </c>
      <c r="E1967" t="s">
        <v>110</v>
      </c>
      <c r="F1967">
        <v>9233.6074162884943</v>
      </c>
      <c r="G1967">
        <v>2040</v>
      </c>
      <c r="H1967">
        <v>5</v>
      </c>
      <c r="I1967">
        <v>1</v>
      </c>
    </row>
    <row r="1968" spans="1:9" x14ac:dyDescent="0.35">
      <c r="A1968" t="str">
        <f t="shared" si="30"/>
        <v>DAincomeS1204051</v>
      </c>
      <c r="C1968" t="s">
        <v>99</v>
      </c>
      <c r="D1968" t="s">
        <v>101</v>
      </c>
      <c r="E1968" t="s">
        <v>110</v>
      </c>
      <c r="F1968">
        <v>20475.703405856118</v>
      </c>
      <c r="G1968">
        <v>2040</v>
      </c>
      <c r="H1968">
        <v>5</v>
      </c>
      <c r="I1968">
        <v>1</v>
      </c>
    </row>
    <row r="1969" spans="1:9" x14ac:dyDescent="0.35">
      <c r="A1969" t="str">
        <f t="shared" si="30"/>
        <v>DAenergy_boughtS1204051</v>
      </c>
      <c r="C1969" t="s">
        <v>99</v>
      </c>
      <c r="D1969" t="s">
        <v>111</v>
      </c>
      <c r="E1969" t="s">
        <v>110</v>
      </c>
      <c r="F1969">
        <v>238.31314983530399</v>
      </c>
      <c r="G1969">
        <v>2040</v>
      </c>
      <c r="H1969">
        <v>5</v>
      </c>
      <c r="I1969">
        <v>1</v>
      </c>
    </row>
    <row r="1970" spans="1:9" x14ac:dyDescent="0.35">
      <c r="A1970" t="str">
        <f t="shared" si="30"/>
        <v>DAenergy_soldS1204051</v>
      </c>
      <c r="B1970" t="s">
        <v>95</v>
      </c>
      <c r="C1970" t="s">
        <v>99</v>
      </c>
      <c r="D1970" t="s">
        <v>112</v>
      </c>
      <c r="E1970" t="s">
        <v>110</v>
      </c>
      <c r="F1970">
        <v>186.1162986751651</v>
      </c>
      <c r="G1970">
        <v>2040</v>
      </c>
      <c r="H1970">
        <v>5</v>
      </c>
      <c r="I1970">
        <v>1</v>
      </c>
    </row>
    <row r="1971" spans="1:9" x14ac:dyDescent="0.35">
      <c r="A1971" t="str">
        <f t="shared" si="30"/>
        <v>DAhours_boughtS1204051</v>
      </c>
      <c r="B1971" t="s">
        <v>95</v>
      </c>
      <c r="C1971" t="s">
        <v>99</v>
      </c>
      <c r="D1971" t="s">
        <v>113</v>
      </c>
      <c r="E1971" t="s">
        <v>110</v>
      </c>
      <c r="F1971">
        <v>3685</v>
      </c>
      <c r="G1971">
        <v>2040</v>
      </c>
      <c r="H1971">
        <v>5</v>
      </c>
      <c r="I1971">
        <v>1</v>
      </c>
    </row>
    <row r="1972" spans="1:9" x14ac:dyDescent="0.35">
      <c r="A1972" t="str">
        <f t="shared" si="30"/>
        <v>DAhours_soldS1204051</v>
      </c>
      <c r="C1972" t="s">
        <v>99</v>
      </c>
      <c r="D1972" t="s">
        <v>114</v>
      </c>
      <c r="E1972" t="s">
        <v>110</v>
      </c>
      <c r="F1972">
        <v>223</v>
      </c>
      <c r="G1972">
        <v>2040</v>
      </c>
      <c r="H1972">
        <v>5</v>
      </c>
      <c r="I1972">
        <v>1</v>
      </c>
    </row>
    <row r="1973" spans="1:9" x14ac:dyDescent="0.35">
      <c r="A1973" t="str">
        <f t="shared" si="30"/>
        <v>DAco2_emissionS1204051</v>
      </c>
      <c r="C1973" t="s">
        <v>99</v>
      </c>
      <c r="D1973" t="s">
        <v>204</v>
      </c>
      <c r="E1973" t="s">
        <v>110</v>
      </c>
      <c r="F1973">
        <v>16681.920488471511</v>
      </c>
      <c r="G1973">
        <v>2040</v>
      </c>
      <c r="H1973">
        <v>5</v>
      </c>
      <c r="I1973">
        <v>1</v>
      </c>
    </row>
    <row r="1974" spans="1:9" x14ac:dyDescent="0.35">
      <c r="A1974" t="str">
        <f t="shared" si="30"/>
        <v>fcrincomeS1204051</v>
      </c>
      <c r="C1974" t="s">
        <v>102</v>
      </c>
      <c r="D1974" t="s">
        <v>101</v>
      </c>
      <c r="E1974" t="s">
        <v>110</v>
      </c>
      <c r="F1974">
        <v>0.51531104548057483</v>
      </c>
      <c r="G1974">
        <v>2040</v>
      </c>
      <c r="H1974">
        <v>5</v>
      </c>
      <c r="I1974">
        <v>1</v>
      </c>
    </row>
    <row r="1975" spans="1:9" x14ac:dyDescent="0.35">
      <c r="A1975" t="str">
        <f t="shared" si="30"/>
        <v>fcractivation_hoursS1204051</v>
      </c>
      <c r="C1975" t="s">
        <v>102</v>
      </c>
      <c r="D1975" t="s">
        <v>115</v>
      </c>
      <c r="E1975" t="s">
        <v>110</v>
      </c>
      <c r="F1975">
        <v>20</v>
      </c>
      <c r="G1975">
        <v>2040</v>
      </c>
      <c r="H1975">
        <v>5</v>
      </c>
      <c r="I1975">
        <v>1</v>
      </c>
    </row>
    <row r="1976" spans="1:9" x14ac:dyDescent="0.35">
      <c r="A1976" t="str">
        <f t="shared" si="30"/>
        <v>afrrincomeS1204051</v>
      </c>
      <c r="C1976" t="s">
        <v>103</v>
      </c>
      <c r="D1976" t="s">
        <v>101</v>
      </c>
      <c r="E1976" t="s">
        <v>110</v>
      </c>
      <c r="F1976">
        <v>74252.870147154361</v>
      </c>
      <c r="G1976">
        <v>2040</v>
      </c>
      <c r="H1976">
        <v>5</v>
      </c>
      <c r="I1976">
        <v>1</v>
      </c>
    </row>
    <row r="1977" spans="1:9" x14ac:dyDescent="0.35">
      <c r="A1977" t="str">
        <f t="shared" si="30"/>
        <v>afrractivation_hoursS1204051</v>
      </c>
      <c r="C1977" t="s">
        <v>103</v>
      </c>
      <c r="D1977" t="s">
        <v>115</v>
      </c>
      <c r="E1977" t="s">
        <v>110</v>
      </c>
      <c r="F1977">
        <v>8386</v>
      </c>
      <c r="G1977">
        <v>2040</v>
      </c>
      <c r="H1977">
        <v>5</v>
      </c>
      <c r="I1977">
        <v>1</v>
      </c>
    </row>
    <row r="1978" spans="1:9" x14ac:dyDescent="0.35">
      <c r="A1978" t="str">
        <f t="shared" si="30"/>
        <v>networkturpe_power_costS1204151</v>
      </c>
      <c r="C1978" t="s">
        <v>96</v>
      </c>
      <c r="D1978" t="s">
        <v>97</v>
      </c>
      <c r="E1978" t="s">
        <v>110</v>
      </c>
      <c r="F1978">
        <v>4854.9039424122639</v>
      </c>
      <c r="G1978">
        <v>2041</v>
      </c>
      <c r="H1978">
        <v>5</v>
      </c>
      <c r="I1978">
        <v>1</v>
      </c>
    </row>
    <row r="1979" spans="1:9" x14ac:dyDescent="0.35">
      <c r="A1979" t="str">
        <f t="shared" si="30"/>
        <v>networkturpe_energy_costS1204151</v>
      </c>
      <c r="C1979" t="s">
        <v>96</v>
      </c>
      <c r="D1979" t="s">
        <v>98</v>
      </c>
      <c r="E1979" t="s">
        <v>110</v>
      </c>
      <c r="F1979">
        <v>5420.9358295817456</v>
      </c>
      <c r="G1979">
        <v>2041</v>
      </c>
      <c r="H1979">
        <v>5</v>
      </c>
      <c r="I1979">
        <v>1</v>
      </c>
    </row>
    <row r="1980" spans="1:9" x14ac:dyDescent="0.35">
      <c r="A1980" t="str">
        <f t="shared" si="30"/>
        <v>DAcostS1204151</v>
      </c>
      <c r="C1980" t="s">
        <v>99</v>
      </c>
      <c r="D1980" t="s">
        <v>100</v>
      </c>
      <c r="E1980" t="s">
        <v>110</v>
      </c>
      <c r="F1980">
        <v>13564.44746690431</v>
      </c>
      <c r="G1980">
        <v>2041</v>
      </c>
      <c r="H1980">
        <v>5</v>
      </c>
      <c r="I1980">
        <v>1</v>
      </c>
    </row>
    <row r="1981" spans="1:9" x14ac:dyDescent="0.35">
      <c r="A1981" t="str">
        <f t="shared" si="30"/>
        <v>DAincomeS1204151</v>
      </c>
      <c r="C1981" t="s">
        <v>99</v>
      </c>
      <c r="D1981" t="s">
        <v>101</v>
      </c>
      <c r="E1981" t="s">
        <v>110</v>
      </c>
      <c r="F1981">
        <v>29756.929208059071</v>
      </c>
      <c r="G1981">
        <v>2041</v>
      </c>
      <c r="H1981">
        <v>5</v>
      </c>
      <c r="I1981">
        <v>1</v>
      </c>
    </row>
    <row r="1982" spans="1:9" x14ac:dyDescent="0.35">
      <c r="A1982" t="str">
        <f t="shared" si="30"/>
        <v>DAenergy_boughtS1204151</v>
      </c>
      <c r="B1982" t="s">
        <v>95</v>
      </c>
      <c r="C1982" t="s">
        <v>99</v>
      </c>
      <c r="D1982" t="s">
        <v>111</v>
      </c>
      <c r="E1982" t="s">
        <v>110</v>
      </c>
      <c r="F1982">
        <v>345.72964759443039</v>
      </c>
      <c r="G1982">
        <v>2041</v>
      </c>
      <c r="H1982">
        <v>5</v>
      </c>
      <c r="I1982">
        <v>1</v>
      </c>
    </row>
    <row r="1983" spans="1:9" x14ac:dyDescent="0.35">
      <c r="A1983" t="str">
        <f t="shared" si="30"/>
        <v>DAenergy_soldS1204151</v>
      </c>
      <c r="B1983" t="s">
        <v>95</v>
      </c>
      <c r="C1983" t="s">
        <v>99</v>
      </c>
      <c r="D1983" t="s">
        <v>112</v>
      </c>
      <c r="E1983" t="s">
        <v>110</v>
      </c>
      <c r="F1983">
        <v>273.40716095665113</v>
      </c>
      <c r="G1983">
        <v>2041</v>
      </c>
      <c r="H1983">
        <v>5</v>
      </c>
      <c r="I1983">
        <v>1</v>
      </c>
    </row>
    <row r="1984" spans="1:9" x14ac:dyDescent="0.35">
      <c r="A1984" t="str">
        <f t="shared" si="30"/>
        <v>DAhours_boughtS1204151</v>
      </c>
      <c r="C1984" t="s">
        <v>99</v>
      </c>
      <c r="D1984" t="s">
        <v>113</v>
      </c>
      <c r="E1984" t="s">
        <v>110</v>
      </c>
      <c r="F1984">
        <v>3742</v>
      </c>
      <c r="G1984">
        <v>2041</v>
      </c>
      <c r="H1984">
        <v>5</v>
      </c>
      <c r="I1984">
        <v>1</v>
      </c>
    </row>
    <row r="1985" spans="1:9" x14ac:dyDescent="0.35">
      <c r="A1985" t="str">
        <f t="shared" si="30"/>
        <v>DAhours_soldS1204151</v>
      </c>
      <c r="C1985" t="s">
        <v>99</v>
      </c>
      <c r="D1985" t="s">
        <v>114</v>
      </c>
      <c r="E1985" t="s">
        <v>110</v>
      </c>
      <c r="F1985">
        <v>254</v>
      </c>
      <c r="G1985">
        <v>2041</v>
      </c>
      <c r="H1985">
        <v>5</v>
      </c>
      <c r="I1985">
        <v>1</v>
      </c>
    </row>
    <row r="1986" spans="1:9" x14ac:dyDescent="0.35">
      <c r="A1986" t="str">
        <f t="shared" si="30"/>
        <v>DAco2_emissionS1204151</v>
      </c>
      <c r="C1986" t="s">
        <v>99</v>
      </c>
      <c r="D1986" t="s">
        <v>204</v>
      </c>
      <c r="E1986" t="s">
        <v>110</v>
      </c>
      <c r="F1986">
        <v>24201.075331610169</v>
      </c>
      <c r="G1986">
        <v>2041</v>
      </c>
      <c r="H1986">
        <v>5</v>
      </c>
      <c r="I1986">
        <v>1</v>
      </c>
    </row>
    <row r="1987" spans="1:9" x14ac:dyDescent="0.35">
      <c r="A1987" t="str">
        <f t="shared" ref="A1987:A2050" si="31">C1987&amp;D1987&amp;E1987&amp;G1987&amp;H1987&amp;I1987</f>
        <v>fcrincomeS1204151</v>
      </c>
      <c r="C1987" t="s">
        <v>102</v>
      </c>
      <c r="D1987" t="s">
        <v>101</v>
      </c>
      <c r="E1987" t="s">
        <v>110</v>
      </c>
      <c r="F1987">
        <v>2.6186205327618128</v>
      </c>
      <c r="G1987">
        <v>2041</v>
      </c>
      <c r="H1987">
        <v>5</v>
      </c>
      <c r="I1987">
        <v>1</v>
      </c>
    </row>
    <row r="1988" spans="1:9" x14ac:dyDescent="0.35">
      <c r="A1988" t="str">
        <f t="shared" si="31"/>
        <v>fcractivation_hoursS1204151</v>
      </c>
      <c r="C1988" t="s">
        <v>102</v>
      </c>
      <c r="D1988" t="s">
        <v>115</v>
      </c>
      <c r="E1988" t="s">
        <v>110</v>
      </c>
      <c r="F1988">
        <v>20</v>
      </c>
      <c r="G1988">
        <v>2041</v>
      </c>
      <c r="H1988">
        <v>5</v>
      </c>
      <c r="I1988">
        <v>1</v>
      </c>
    </row>
    <row r="1989" spans="1:9" x14ac:dyDescent="0.35">
      <c r="A1989" t="str">
        <f t="shared" si="31"/>
        <v>afrrincomeS1204151</v>
      </c>
      <c r="C1989" t="s">
        <v>103</v>
      </c>
      <c r="D1989" t="s">
        <v>101</v>
      </c>
      <c r="E1989" t="s">
        <v>110</v>
      </c>
      <c r="F1989">
        <v>66440.993678360479</v>
      </c>
      <c r="G1989">
        <v>2041</v>
      </c>
      <c r="H1989">
        <v>5</v>
      </c>
      <c r="I1989">
        <v>1</v>
      </c>
    </row>
    <row r="1990" spans="1:9" x14ac:dyDescent="0.35">
      <c r="A1990" t="str">
        <f t="shared" si="31"/>
        <v>afrractivation_hoursS1204151</v>
      </c>
      <c r="C1990" t="s">
        <v>103</v>
      </c>
      <c r="D1990" t="s">
        <v>115</v>
      </c>
      <c r="E1990" t="s">
        <v>110</v>
      </c>
      <c r="F1990">
        <v>8178</v>
      </c>
      <c r="G1990">
        <v>2041</v>
      </c>
      <c r="H1990">
        <v>5</v>
      </c>
      <c r="I1990">
        <v>1</v>
      </c>
    </row>
    <row r="1991" spans="1:9" x14ac:dyDescent="0.35">
      <c r="A1991" t="str">
        <f t="shared" si="31"/>
        <v>networkturpe_power_costS1202552</v>
      </c>
      <c r="C1991" t="s">
        <v>96</v>
      </c>
      <c r="D1991" t="s">
        <v>97</v>
      </c>
      <c r="E1991" t="s">
        <v>110</v>
      </c>
      <c r="F1991">
        <v>10357.1761102985</v>
      </c>
      <c r="G1991">
        <v>2025</v>
      </c>
      <c r="H1991">
        <v>5</v>
      </c>
      <c r="I1991">
        <v>2</v>
      </c>
    </row>
    <row r="1992" spans="1:9" x14ac:dyDescent="0.35">
      <c r="A1992" t="str">
        <f t="shared" si="31"/>
        <v>networkturpe_energy_costS1202552</v>
      </c>
      <c r="C1992" t="s">
        <v>96</v>
      </c>
      <c r="D1992" t="s">
        <v>98</v>
      </c>
      <c r="E1992" t="s">
        <v>110</v>
      </c>
      <c r="F1992">
        <v>9713.548308411484</v>
      </c>
      <c r="G1992">
        <v>2025</v>
      </c>
      <c r="H1992">
        <v>5</v>
      </c>
      <c r="I1992">
        <v>2</v>
      </c>
    </row>
    <row r="1993" spans="1:9" x14ac:dyDescent="0.35">
      <c r="A1993" t="str">
        <f t="shared" si="31"/>
        <v>DAcostS1202552</v>
      </c>
      <c r="C1993" t="s">
        <v>99</v>
      </c>
      <c r="D1993" t="s">
        <v>100</v>
      </c>
      <c r="E1993" t="s">
        <v>110</v>
      </c>
      <c r="F1993">
        <v>88525.424366165797</v>
      </c>
      <c r="G1993">
        <v>2025</v>
      </c>
      <c r="H1993">
        <v>5</v>
      </c>
      <c r="I1993">
        <v>2</v>
      </c>
    </row>
    <row r="1994" spans="1:9" x14ac:dyDescent="0.35">
      <c r="A1994" t="str">
        <f t="shared" si="31"/>
        <v>DAincomeS1202552</v>
      </c>
      <c r="B1994" t="s">
        <v>95</v>
      </c>
      <c r="C1994" t="s">
        <v>99</v>
      </c>
      <c r="D1994" t="s">
        <v>101</v>
      </c>
      <c r="E1994" t="s">
        <v>110</v>
      </c>
      <c r="F1994">
        <v>111661.93847363671</v>
      </c>
      <c r="G1994">
        <v>2025</v>
      </c>
      <c r="H1994">
        <v>5</v>
      </c>
      <c r="I1994">
        <v>2</v>
      </c>
    </row>
    <row r="1995" spans="1:9" x14ac:dyDescent="0.35">
      <c r="A1995" t="str">
        <f t="shared" si="31"/>
        <v>DAenergy_boughtS1202552</v>
      </c>
      <c r="B1995" t="s">
        <v>95</v>
      </c>
      <c r="C1995" t="s">
        <v>99</v>
      </c>
      <c r="D1995" t="s">
        <v>111</v>
      </c>
      <c r="E1995" t="s">
        <v>110</v>
      </c>
      <c r="F1995">
        <v>623.53859818411524</v>
      </c>
      <c r="G1995">
        <v>2025</v>
      </c>
      <c r="H1995">
        <v>5</v>
      </c>
      <c r="I1995">
        <v>2</v>
      </c>
    </row>
    <row r="1996" spans="1:9" x14ac:dyDescent="0.35">
      <c r="A1996" t="str">
        <f t="shared" si="31"/>
        <v>DAenergy_soldS1202552</v>
      </c>
      <c r="C1996" t="s">
        <v>99</v>
      </c>
      <c r="D1996" t="s">
        <v>112</v>
      </c>
      <c r="E1996" t="s">
        <v>110</v>
      </c>
      <c r="F1996">
        <v>487.63479800076988</v>
      </c>
      <c r="G1996">
        <v>2025</v>
      </c>
      <c r="H1996">
        <v>5</v>
      </c>
      <c r="I1996">
        <v>2</v>
      </c>
    </row>
    <row r="1997" spans="1:9" x14ac:dyDescent="0.35">
      <c r="A1997" t="str">
        <f t="shared" si="31"/>
        <v>DAhours_boughtS1202552</v>
      </c>
      <c r="C1997" t="s">
        <v>99</v>
      </c>
      <c r="D1997" t="s">
        <v>113</v>
      </c>
      <c r="E1997" t="s">
        <v>110</v>
      </c>
      <c r="F1997">
        <v>890</v>
      </c>
      <c r="G1997">
        <v>2025</v>
      </c>
      <c r="H1997">
        <v>5</v>
      </c>
      <c r="I1997">
        <v>2</v>
      </c>
    </row>
    <row r="1998" spans="1:9" x14ac:dyDescent="0.35">
      <c r="A1998" t="str">
        <f t="shared" si="31"/>
        <v>DAhours_soldS1202552</v>
      </c>
      <c r="C1998" t="s">
        <v>99</v>
      </c>
      <c r="D1998" t="s">
        <v>114</v>
      </c>
      <c r="E1998" t="s">
        <v>110</v>
      </c>
      <c r="F1998">
        <v>181</v>
      </c>
      <c r="G1998">
        <v>2025</v>
      </c>
      <c r="H1998">
        <v>5</v>
      </c>
      <c r="I1998">
        <v>2</v>
      </c>
    </row>
    <row r="1999" spans="1:9" x14ac:dyDescent="0.35">
      <c r="A1999" t="str">
        <f t="shared" si="31"/>
        <v>DAco2_emissionS1202552</v>
      </c>
      <c r="C1999" t="s">
        <v>99</v>
      </c>
      <c r="D1999" t="s">
        <v>204</v>
      </c>
      <c r="E1999" t="s">
        <v>110</v>
      </c>
      <c r="F1999">
        <v>43647.701872887228</v>
      </c>
      <c r="G1999">
        <v>2025</v>
      </c>
      <c r="H1999">
        <v>5</v>
      </c>
      <c r="I1999">
        <v>2</v>
      </c>
    </row>
    <row r="2000" spans="1:9" x14ac:dyDescent="0.35">
      <c r="A2000" t="str">
        <f t="shared" si="31"/>
        <v>fcrincomeS1202552</v>
      </c>
      <c r="C2000" t="s">
        <v>102</v>
      </c>
      <c r="D2000" t="s">
        <v>101</v>
      </c>
      <c r="E2000" t="s">
        <v>110</v>
      </c>
      <c r="F2000">
        <v>0</v>
      </c>
      <c r="G2000">
        <v>2025</v>
      </c>
      <c r="H2000">
        <v>5</v>
      </c>
      <c r="I2000">
        <v>2</v>
      </c>
    </row>
    <row r="2001" spans="1:9" x14ac:dyDescent="0.35">
      <c r="A2001" t="str">
        <f t="shared" si="31"/>
        <v>fcractivation_hoursS1202552</v>
      </c>
      <c r="C2001" t="s">
        <v>102</v>
      </c>
      <c r="D2001" t="s">
        <v>115</v>
      </c>
      <c r="E2001" t="s">
        <v>110</v>
      </c>
      <c r="F2001">
        <v>0</v>
      </c>
      <c r="G2001">
        <v>2025</v>
      </c>
      <c r="H2001">
        <v>5</v>
      </c>
      <c r="I2001">
        <v>2</v>
      </c>
    </row>
    <row r="2002" spans="1:9" x14ac:dyDescent="0.35">
      <c r="A2002" t="str">
        <f t="shared" si="31"/>
        <v>afrrincomeS1202552</v>
      </c>
      <c r="C2002" t="s">
        <v>103</v>
      </c>
      <c r="D2002" t="s">
        <v>101</v>
      </c>
      <c r="E2002" t="s">
        <v>110</v>
      </c>
      <c r="F2002">
        <v>248581.28894860111</v>
      </c>
      <c r="G2002">
        <v>2025</v>
      </c>
      <c r="H2002">
        <v>5</v>
      </c>
      <c r="I2002">
        <v>2</v>
      </c>
    </row>
    <row r="2003" spans="1:9" x14ac:dyDescent="0.35">
      <c r="A2003" t="str">
        <f t="shared" si="31"/>
        <v>afrractivation_hoursS1202552</v>
      </c>
      <c r="C2003" t="s">
        <v>103</v>
      </c>
      <c r="D2003" t="s">
        <v>115</v>
      </c>
      <c r="E2003" t="s">
        <v>110</v>
      </c>
      <c r="F2003">
        <v>8737</v>
      </c>
      <c r="G2003">
        <v>2025</v>
      </c>
      <c r="H2003">
        <v>5</v>
      </c>
      <c r="I2003">
        <v>2</v>
      </c>
    </row>
    <row r="2004" spans="1:9" x14ac:dyDescent="0.35">
      <c r="A2004" t="str">
        <f t="shared" si="31"/>
        <v>networkturpe_power_costS1202652</v>
      </c>
      <c r="C2004" t="s">
        <v>96</v>
      </c>
      <c r="D2004" t="s">
        <v>97</v>
      </c>
      <c r="E2004" t="s">
        <v>110</v>
      </c>
      <c r="F2004">
        <v>8882.2755861580972</v>
      </c>
      <c r="G2004">
        <v>2026</v>
      </c>
      <c r="H2004">
        <v>5</v>
      </c>
      <c r="I2004">
        <v>2</v>
      </c>
    </row>
    <row r="2005" spans="1:9" x14ac:dyDescent="0.35">
      <c r="A2005" t="str">
        <f t="shared" si="31"/>
        <v>networkturpe_energy_costS1202652</v>
      </c>
      <c r="C2005" t="s">
        <v>96</v>
      </c>
      <c r="D2005" t="s">
        <v>98</v>
      </c>
      <c r="E2005" t="s">
        <v>110</v>
      </c>
      <c r="F2005">
        <v>5450.4366868935222</v>
      </c>
      <c r="G2005">
        <v>2026</v>
      </c>
      <c r="H2005">
        <v>5</v>
      </c>
      <c r="I2005">
        <v>2</v>
      </c>
    </row>
    <row r="2006" spans="1:9" x14ac:dyDescent="0.35">
      <c r="A2006" t="str">
        <f t="shared" si="31"/>
        <v>DAcostS1202652</v>
      </c>
      <c r="B2006" t="s">
        <v>95</v>
      </c>
      <c r="C2006" t="s">
        <v>99</v>
      </c>
      <c r="D2006" t="s">
        <v>100</v>
      </c>
      <c r="E2006" t="s">
        <v>110</v>
      </c>
      <c r="F2006">
        <v>46107.167190061897</v>
      </c>
      <c r="G2006">
        <v>2026</v>
      </c>
      <c r="H2006">
        <v>5</v>
      </c>
      <c r="I2006">
        <v>2</v>
      </c>
    </row>
    <row r="2007" spans="1:9" x14ac:dyDescent="0.35">
      <c r="A2007" t="str">
        <f t="shared" si="31"/>
        <v>DAincomeS1202652</v>
      </c>
      <c r="B2007" t="s">
        <v>95</v>
      </c>
      <c r="C2007" t="s">
        <v>99</v>
      </c>
      <c r="D2007" t="s">
        <v>101</v>
      </c>
      <c r="E2007" t="s">
        <v>110</v>
      </c>
      <c r="F2007">
        <v>58630.049709204417</v>
      </c>
      <c r="G2007">
        <v>2026</v>
      </c>
      <c r="H2007">
        <v>5</v>
      </c>
      <c r="I2007">
        <v>2</v>
      </c>
    </row>
    <row r="2008" spans="1:9" x14ac:dyDescent="0.35">
      <c r="A2008" t="str">
        <f t="shared" si="31"/>
        <v>DAenergy_boughtS1202652</v>
      </c>
      <c r="C2008" t="s">
        <v>99</v>
      </c>
      <c r="D2008" t="s">
        <v>111</v>
      </c>
      <c r="E2008" t="s">
        <v>110</v>
      </c>
      <c r="F2008">
        <v>368.84791219039579</v>
      </c>
      <c r="G2008">
        <v>2026</v>
      </c>
      <c r="H2008">
        <v>5</v>
      </c>
      <c r="I2008">
        <v>2</v>
      </c>
    </row>
    <row r="2009" spans="1:9" x14ac:dyDescent="0.35">
      <c r="A2009" t="str">
        <f t="shared" si="31"/>
        <v>DAenergy_soldS1202652</v>
      </c>
      <c r="C2009" t="s">
        <v>99</v>
      </c>
      <c r="D2009" t="s">
        <v>112</v>
      </c>
      <c r="E2009" t="s">
        <v>110</v>
      </c>
      <c r="F2009">
        <v>282.79277317957718</v>
      </c>
      <c r="G2009">
        <v>2026</v>
      </c>
      <c r="H2009">
        <v>5</v>
      </c>
      <c r="I2009">
        <v>2</v>
      </c>
    </row>
    <row r="2010" spans="1:9" x14ac:dyDescent="0.35">
      <c r="A2010" t="str">
        <f t="shared" si="31"/>
        <v>DAhours_boughtS1202652</v>
      </c>
      <c r="C2010" t="s">
        <v>99</v>
      </c>
      <c r="D2010" t="s">
        <v>113</v>
      </c>
      <c r="E2010" t="s">
        <v>110</v>
      </c>
      <c r="F2010">
        <v>788</v>
      </c>
      <c r="G2010">
        <v>2026</v>
      </c>
      <c r="H2010">
        <v>5</v>
      </c>
      <c r="I2010">
        <v>2</v>
      </c>
    </row>
    <row r="2011" spans="1:9" x14ac:dyDescent="0.35">
      <c r="A2011" t="str">
        <f t="shared" si="31"/>
        <v>DAhours_soldS1202652</v>
      </c>
      <c r="C2011" t="s">
        <v>99</v>
      </c>
      <c r="D2011" t="s">
        <v>114</v>
      </c>
      <c r="E2011" t="s">
        <v>110</v>
      </c>
      <c r="F2011">
        <v>119</v>
      </c>
      <c r="G2011">
        <v>2026</v>
      </c>
      <c r="H2011">
        <v>5</v>
      </c>
      <c r="I2011">
        <v>2</v>
      </c>
    </row>
    <row r="2012" spans="1:9" x14ac:dyDescent="0.35">
      <c r="A2012" t="str">
        <f t="shared" si="31"/>
        <v>DAco2_emissionS1202652</v>
      </c>
      <c r="C2012" t="s">
        <v>99</v>
      </c>
      <c r="D2012" t="s">
        <v>204</v>
      </c>
      <c r="E2012" t="s">
        <v>110</v>
      </c>
      <c r="F2012">
        <v>25819.353853327961</v>
      </c>
      <c r="G2012">
        <v>2026</v>
      </c>
      <c r="H2012">
        <v>5</v>
      </c>
      <c r="I2012">
        <v>2</v>
      </c>
    </row>
    <row r="2013" spans="1:9" x14ac:dyDescent="0.35">
      <c r="A2013" t="str">
        <f t="shared" si="31"/>
        <v>fcrincomeS1202652</v>
      </c>
      <c r="C2013" t="s">
        <v>102</v>
      </c>
      <c r="D2013" t="s">
        <v>101</v>
      </c>
      <c r="E2013" t="s">
        <v>110</v>
      </c>
      <c r="F2013">
        <v>0</v>
      </c>
      <c r="G2013">
        <v>2026</v>
      </c>
      <c r="H2013">
        <v>5</v>
      </c>
      <c r="I2013">
        <v>2</v>
      </c>
    </row>
    <row r="2014" spans="1:9" x14ac:dyDescent="0.35">
      <c r="A2014" t="str">
        <f t="shared" si="31"/>
        <v>fcractivation_hoursS1202652</v>
      </c>
      <c r="C2014" t="s">
        <v>102</v>
      </c>
      <c r="D2014" t="s">
        <v>115</v>
      </c>
      <c r="E2014" t="s">
        <v>110</v>
      </c>
      <c r="F2014">
        <v>0</v>
      </c>
      <c r="G2014">
        <v>2026</v>
      </c>
      <c r="H2014">
        <v>5</v>
      </c>
      <c r="I2014">
        <v>2</v>
      </c>
    </row>
    <row r="2015" spans="1:9" x14ac:dyDescent="0.35">
      <c r="A2015" t="str">
        <f t="shared" si="31"/>
        <v>afrrincomeS1202652</v>
      </c>
      <c r="C2015" t="s">
        <v>103</v>
      </c>
      <c r="D2015" t="s">
        <v>101</v>
      </c>
      <c r="E2015" t="s">
        <v>110</v>
      </c>
      <c r="F2015">
        <v>244566.5575722465</v>
      </c>
      <c r="G2015">
        <v>2026</v>
      </c>
      <c r="H2015">
        <v>5</v>
      </c>
      <c r="I2015">
        <v>2</v>
      </c>
    </row>
    <row r="2016" spans="1:9" x14ac:dyDescent="0.35">
      <c r="A2016" t="str">
        <f t="shared" si="31"/>
        <v>afrractivation_hoursS1202652</v>
      </c>
      <c r="C2016" t="s">
        <v>103</v>
      </c>
      <c r="D2016" t="s">
        <v>115</v>
      </c>
      <c r="E2016" t="s">
        <v>110</v>
      </c>
      <c r="F2016">
        <v>8746</v>
      </c>
      <c r="G2016">
        <v>2026</v>
      </c>
      <c r="H2016">
        <v>5</v>
      </c>
      <c r="I2016">
        <v>2</v>
      </c>
    </row>
    <row r="2017" spans="1:9" x14ac:dyDescent="0.35">
      <c r="A2017" t="str">
        <f t="shared" si="31"/>
        <v>networkturpe_power_costS1202752</v>
      </c>
      <c r="C2017" t="s">
        <v>96</v>
      </c>
      <c r="D2017" t="s">
        <v>97</v>
      </c>
      <c r="E2017" t="s">
        <v>110</v>
      </c>
      <c r="F2017">
        <v>10024.28573150878</v>
      </c>
      <c r="G2017">
        <v>2027</v>
      </c>
      <c r="H2017">
        <v>5</v>
      </c>
      <c r="I2017">
        <v>2</v>
      </c>
    </row>
    <row r="2018" spans="1:9" x14ac:dyDescent="0.35">
      <c r="A2018" t="str">
        <f t="shared" si="31"/>
        <v>networkturpe_energy_costS1202752</v>
      </c>
      <c r="B2018" t="s">
        <v>95</v>
      </c>
      <c r="C2018" t="s">
        <v>96</v>
      </c>
      <c r="D2018" t="s">
        <v>98</v>
      </c>
      <c r="E2018" t="s">
        <v>110</v>
      </c>
      <c r="F2018">
        <v>9309.6719575558036</v>
      </c>
      <c r="G2018">
        <v>2027</v>
      </c>
      <c r="H2018">
        <v>5</v>
      </c>
      <c r="I2018">
        <v>2</v>
      </c>
    </row>
    <row r="2019" spans="1:9" x14ac:dyDescent="0.35">
      <c r="A2019" t="str">
        <f t="shared" si="31"/>
        <v>DAcostS1202752</v>
      </c>
      <c r="B2019" t="s">
        <v>95</v>
      </c>
      <c r="C2019" t="s">
        <v>99</v>
      </c>
      <c r="D2019" t="s">
        <v>100</v>
      </c>
      <c r="E2019" t="s">
        <v>110</v>
      </c>
      <c r="F2019">
        <v>62098.902594586798</v>
      </c>
      <c r="G2019">
        <v>2027</v>
      </c>
      <c r="H2019">
        <v>5</v>
      </c>
      <c r="I2019">
        <v>2</v>
      </c>
    </row>
    <row r="2020" spans="1:9" x14ac:dyDescent="0.35">
      <c r="A2020" t="str">
        <f t="shared" si="31"/>
        <v>DAincomeS1202752</v>
      </c>
      <c r="C2020" t="s">
        <v>99</v>
      </c>
      <c r="D2020" t="s">
        <v>101</v>
      </c>
      <c r="E2020" t="s">
        <v>110</v>
      </c>
      <c r="F2020">
        <v>84634.782814900347</v>
      </c>
      <c r="G2020">
        <v>2027</v>
      </c>
      <c r="H2020">
        <v>5</v>
      </c>
      <c r="I2020">
        <v>2</v>
      </c>
    </row>
    <row r="2021" spans="1:9" x14ac:dyDescent="0.35">
      <c r="A2021" t="str">
        <f t="shared" si="31"/>
        <v>DAenergy_boughtS1202752</v>
      </c>
      <c r="C2021" t="s">
        <v>99</v>
      </c>
      <c r="D2021" t="s">
        <v>111</v>
      </c>
      <c r="E2021" t="s">
        <v>110</v>
      </c>
      <c r="F2021">
        <v>638.6343493843334</v>
      </c>
      <c r="G2021">
        <v>2027</v>
      </c>
      <c r="H2021">
        <v>5</v>
      </c>
      <c r="I2021">
        <v>2</v>
      </c>
    </row>
    <row r="2022" spans="1:9" x14ac:dyDescent="0.35">
      <c r="A2022" t="str">
        <f t="shared" si="31"/>
        <v>DAenergy_soldS1202752</v>
      </c>
      <c r="C2022" t="s">
        <v>99</v>
      </c>
      <c r="D2022" t="s">
        <v>112</v>
      </c>
      <c r="E2022" t="s">
        <v>110</v>
      </c>
      <c r="F2022">
        <v>500.34938828119601</v>
      </c>
      <c r="G2022">
        <v>2027</v>
      </c>
      <c r="H2022">
        <v>5</v>
      </c>
      <c r="I2022">
        <v>2</v>
      </c>
    </row>
    <row r="2023" spans="1:9" x14ac:dyDescent="0.35">
      <c r="A2023" t="str">
        <f t="shared" si="31"/>
        <v>DAhours_boughtS1202752</v>
      </c>
      <c r="C2023" t="s">
        <v>99</v>
      </c>
      <c r="D2023" t="s">
        <v>113</v>
      </c>
      <c r="E2023" t="s">
        <v>110</v>
      </c>
      <c r="F2023">
        <v>973</v>
      </c>
      <c r="G2023">
        <v>2027</v>
      </c>
      <c r="H2023">
        <v>5</v>
      </c>
      <c r="I2023">
        <v>2</v>
      </c>
    </row>
    <row r="2024" spans="1:9" x14ac:dyDescent="0.35">
      <c r="A2024" t="str">
        <f t="shared" si="31"/>
        <v>DAhours_soldS1202752</v>
      </c>
      <c r="C2024" t="s">
        <v>99</v>
      </c>
      <c r="D2024" t="s">
        <v>114</v>
      </c>
      <c r="E2024" t="s">
        <v>110</v>
      </c>
      <c r="F2024">
        <v>191</v>
      </c>
      <c r="G2024">
        <v>2027</v>
      </c>
      <c r="H2024">
        <v>5</v>
      </c>
      <c r="I2024">
        <v>2</v>
      </c>
    </row>
    <row r="2025" spans="1:9" x14ac:dyDescent="0.35">
      <c r="A2025" t="str">
        <f t="shared" si="31"/>
        <v>DAco2_emissionS1202752</v>
      </c>
      <c r="C2025" t="s">
        <v>99</v>
      </c>
      <c r="D2025" t="s">
        <v>204</v>
      </c>
      <c r="E2025" t="s">
        <v>110</v>
      </c>
      <c r="F2025">
        <v>44704.404456903088</v>
      </c>
      <c r="G2025">
        <v>2027</v>
      </c>
      <c r="H2025">
        <v>5</v>
      </c>
      <c r="I2025">
        <v>2</v>
      </c>
    </row>
    <row r="2026" spans="1:9" x14ac:dyDescent="0.35">
      <c r="A2026" t="str">
        <f t="shared" si="31"/>
        <v>fcrincomeS1202752</v>
      </c>
      <c r="C2026" t="s">
        <v>102</v>
      </c>
      <c r="D2026" t="s">
        <v>101</v>
      </c>
      <c r="E2026" t="s">
        <v>110</v>
      </c>
      <c r="F2026">
        <v>0</v>
      </c>
      <c r="G2026">
        <v>2027</v>
      </c>
      <c r="H2026">
        <v>5</v>
      </c>
      <c r="I2026">
        <v>2</v>
      </c>
    </row>
    <row r="2027" spans="1:9" x14ac:dyDescent="0.35">
      <c r="A2027" t="str">
        <f t="shared" si="31"/>
        <v>fcractivation_hoursS1202752</v>
      </c>
      <c r="C2027" t="s">
        <v>102</v>
      </c>
      <c r="D2027" t="s">
        <v>115</v>
      </c>
      <c r="E2027" t="s">
        <v>110</v>
      </c>
      <c r="F2027">
        <v>0</v>
      </c>
      <c r="G2027">
        <v>2027</v>
      </c>
      <c r="H2027">
        <v>5</v>
      </c>
      <c r="I2027">
        <v>2</v>
      </c>
    </row>
    <row r="2028" spans="1:9" x14ac:dyDescent="0.35">
      <c r="A2028" t="str">
        <f t="shared" si="31"/>
        <v>afrrincomeS1202752</v>
      </c>
      <c r="C2028" t="s">
        <v>103</v>
      </c>
      <c r="D2028" t="s">
        <v>101</v>
      </c>
      <c r="E2028" t="s">
        <v>110</v>
      </c>
      <c r="F2028">
        <v>210469.8155081305</v>
      </c>
      <c r="G2028">
        <v>2027</v>
      </c>
      <c r="H2028">
        <v>5</v>
      </c>
      <c r="I2028">
        <v>2</v>
      </c>
    </row>
    <row r="2029" spans="1:9" x14ac:dyDescent="0.35">
      <c r="A2029" t="str">
        <f t="shared" si="31"/>
        <v>afrractivation_hoursS1202752</v>
      </c>
      <c r="C2029" t="s">
        <v>103</v>
      </c>
      <c r="D2029" t="s">
        <v>115</v>
      </c>
      <c r="E2029" t="s">
        <v>110</v>
      </c>
      <c r="F2029">
        <v>8719</v>
      </c>
      <c r="G2029">
        <v>2027</v>
      </c>
      <c r="H2029">
        <v>5</v>
      </c>
      <c r="I2029">
        <v>2</v>
      </c>
    </row>
    <row r="2030" spans="1:9" x14ac:dyDescent="0.35">
      <c r="A2030" t="str">
        <f t="shared" si="31"/>
        <v>networkturpe_power_costS1202852</v>
      </c>
      <c r="B2030" t="s">
        <v>95</v>
      </c>
      <c r="C2030" t="s">
        <v>96</v>
      </c>
      <c r="D2030" t="s">
        <v>97</v>
      </c>
      <c r="E2030" t="s">
        <v>110</v>
      </c>
      <c r="F2030">
        <v>10879.11517071542</v>
      </c>
      <c r="G2030">
        <v>2028</v>
      </c>
      <c r="H2030">
        <v>5</v>
      </c>
      <c r="I2030">
        <v>2</v>
      </c>
    </row>
    <row r="2031" spans="1:9" x14ac:dyDescent="0.35">
      <c r="A2031" t="str">
        <f t="shared" si="31"/>
        <v>networkturpe_energy_costS1202852</v>
      </c>
      <c r="B2031" t="s">
        <v>95</v>
      </c>
      <c r="C2031" t="s">
        <v>96</v>
      </c>
      <c r="D2031" t="s">
        <v>98</v>
      </c>
      <c r="E2031" t="s">
        <v>110</v>
      </c>
      <c r="F2031">
        <v>12969.578542691799</v>
      </c>
      <c r="G2031">
        <v>2028</v>
      </c>
      <c r="H2031">
        <v>5</v>
      </c>
      <c r="I2031">
        <v>2</v>
      </c>
    </row>
    <row r="2032" spans="1:9" x14ac:dyDescent="0.35">
      <c r="A2032" t="str">
        <f t="shared" si="31"/>
        <v>DAcostS1202852</v>
      </c>
      <c r="C2032" t="s">
        <v>99</v>
      </c>
      <c r="D2032" t="s">
        <v>100</v>
      </c>
      <c r="E2032" t="s">
        <v>110</v>
      </c>
      <c r="F2032">
        <v>78838.847665580441</v>
      </c>
      <c r="G2032">
        <v>2028</v>
      </c>
      <c r="H2032">
        <v>5</v>
      </c>
      <c r="I2032">
        <v>2</v>
      </c>
    </row>
    <row r="2033" spans="1:9" x14ac:dyDescent="0.35">
      <c r="A2033" t="str">
        <f t="shared" si="31"/>
        <v>DAincomeS1202852</v>
      </c>
      <c r="C2033" t="s">
        <v>99</v>
      </c>
      <c r="D2033" t="s">
        <v>101</v>
      </c>
      <c r="E2033" t="s">
        <v>110</v>
      </c>
      <c r="F2033">
        <v>110645.87782416079</v>
      </c>
      <c r="G2033">
        <v>2028</v>
      </c>
      <c r="H2033">
        <v>5</v>
      </c>
      <c r="I2033">
        <v>2</v>
      </c>
    </row>
    <row r="2034" spans="1:9" x14ac:dyDescent="0.35">
      <c r="A2034" t="str">
        <f t="shared" si="31"/>
        <v>DAenergy_boughtS1202852</v>
      </c>
      <c r="C2034" t="s">
        <v>99</v>
      </c>
      <c r="D2034" t="s">
        <v>111</v>
      </c>
      <c r="E2034" t="s">
        <v>110</v>
      </c>
      <c r="F2034">
        <v>881.9349954781643</v>
      </c>
      <c r="G2034">
        <v>2028</v>
      </c>
      <c r="H2034">
        <v>5</v>
      </c>
      <c r="I2034">
        <v>2</v>
      </c>
    </row>
    <row r="2035" spans="1:9" x14ac:dyDescent="0.35">
      <c r="A2035" t="str">
        <f t="shared" si="31"/>
        <v>DAenergy_soldS1202852</v>
      </c>
      <c r="C2035" t="s">
        <v>99</v>
      </c>
      <c r="D2035" t="s">
        <v>112</v>
      </c>
      <c r="E2035" t="s">
        <v>110</v>
      </c>
      <c r="F2035">
        <v>696.91444386954743</v>
      </c>
      <c r="G2035">
        <v>2028</v>
      </c>
      <c r="H2035">
        <v>5</v>
      </c>
      <c r="I2035">
        <v>2</v>
      </c>
    </row>
    <row r="2036" spans="1:9" x14ac:dyDescent="0.35">
      <c r="A2036" t="str">
        <f t="shared" si="31"/>
        <v>DAhours_boughtS1202852</v>
      </c>
      <c r="C2036" t="s">
        <v>99</v>
      </c>
      <c r="D2036" t="s">
        <v>113</v>
      </c>
      <c r="E2036" t="s">
        <v>110</v>
      </c>
      <c r="F2036">
        <v>1215</v>
      </c>
      <c r="G2036">
        <v>2028</v>
      </c>
      <c r="H2036">
        <v>5</v>
      </c>
      <c r="I2036">
        <v>2</v>
      </c>
    </row>
    <row r="2037" spans="1:9" x14ac:dyDescent="0.35">
      <c r="A2037" t="str">
        <f t="shared" si="31"/>
        <v>DAhours_soldS1202852</v>
      </c>
      <c r="C2037" t="s">
        <v>99</v>
      </c>
      <c r="D2037" t="s">
        <v>114</v>
      </c>
      <c r="E2037" t="s">
        <v>110</v>
      </c>
      <c r="F2037">
        <v>246</v>
      </c>
      <c r="G2037">
        <v>2028</v>
      </c>
      <c r="H2037">
        <v>5</v>
      </c>
      <c r="I2037">
        <v>2</v>
      </c>
    </row>
    <row r="2038" spans="1:9" x14ac:dyDescent="0.35">
      <c r="A2038" t="str">
        <f t="shared" si="31"/>
        <v>DAco2_emissionS1202852</v>
      </c>
      <c r="C2038" t="s">
        <v>99</v>
      </c>
      <c r="D2038" t="s">
        <v>204</v>
      </c>
      <c r="E2038" t="s">
        <v>110</v>
      </c>
      <c r="F2038">
        <v>61735.449683471277</v>
      </c>
      <c r="G2038">
        <v>2028</v>
      </c>
      <c r="H2038">
        <v>5</v>
      </c>
      <c r="I2038">
        <v>2</v>
      </c>
    </row>
    <row r="2039" spans="1:9" x14ac:dyDescent="0.35">
      <c r="A2039" t="str">
        <f t="shared" si="31"/>
        <v>fcrincomeS1202852</v>
      </c>
      <c r="C2039" t="s">
        <v>102</v>
      </c>
      <c r="D2039" t="s">
        <v>101</v>
      </c>
      <c r="E2039" t="s">
        <v>110</v>
      </c>
      <c r="F2039">
        <v>0</v>
      </c>
      <c r="G2039">
        <v>2028</v>
      </c>
      <c r="H2039">
        <v>5</v>
      </c>
      <c r="I2039">
        <v>2</v>
      </c>
    </row>
    <row r="2040" spans="1:9" x14ac:dyDescent="0.35">
      <c r="A2040" t="str">
        <f t="shared" si="31"/>
        <v>fcractivation_hoursS1202852</v>
      </c>
      <c r="C2040" t="s">
        <v>102</v>
      </c>
      <c r="D2040" t="s">
        <v>115</v>
      </c>
      <c r="E2040" t="s">
        <v>110</v>
      </c>
      <c r="F2040">
        <v>0</v>
      </c>
      <c r="G2040">
        <v>2028</v>
      </c>
      <c r="H2040">
        <v>5</v>
      </c>
      <c r="I2040">
        <v>2</v>
      </c>
    </row>
    <row r="2041" spans="1:9" x14ac:dyDescent="0.35">
      <c r="A2041" t="str">
        <f t="shared" si="31"/>
        <v>afrrincomeS1202852</v>
      </c>
      <c r="C2041" t="s">
        <v>103</v>
      </c>
      <c r="D2041" t="s">
        <v>101</v>
      </c>
      <c r="E2041" t="s">
        <v>110</v>
      </c>
      <c r="F2041">
        <v>210013.7777967435</v>
      </c>
      <c r="G2041">
        <v>2028</v>
      </c>
      <c r="H2041">
        <v>5</v>
      </c>
      <c r="I2041">
        <v>2</v>
      </c>
    </row>
    <row r="2042" spans="1:9" x14ac:dyDescent="0.35">
      <c r="A2042" t="str">
        <f t="shared" si="31"/>
        <v>afrractivation_hoursS1202852</v>
      </c>
      <c r="B2042" t="s">
        <v>95</v>
      </c>
      <c r="C2042" t="s">
        <v>103</v>
      </c>
      <c r="D2042" t="s">
        <v>115</v>
      </c>
      <c r="E2042" t="s">
        <v>110</v>
      </c>
      <c r="F2042">
        <v>8721</v>
      </c>
      <c r="G2042">
        <v>2028</v>
      </c>
      <c r="H2042">
        <v>5</v>
      </c>
      <c r="I2042">
        <v>2</v>
      </c>
    </row>
    <row r="2043" spans="1:9" x14ac:dyDescent="0.35">
      <c r="A2043" t="str">
        <f t="shared" si="31"/>
        <v>networkturpe_power_costS1202952</v>
      </c>
      <c r="B2043" t="s">
        <v>95</v>
      </c>
      <c r="C2043" t="s">
        <v>96</v>
      </c>
      <c r="D2043" t="s">
        <v>97</v>
      </c>
      <c r="E2043" t="s">
        <v>110</v>
      </c>
      <c r="F2043">
        <v>11620.616290094569</v>
      </c>
      <c r="G2043">
        <v>2029</v>
      </c>
      <c r="H2043">
        <v>5</v>
      </c>
      <c r="I2043">
        <v>2</v>
      </c>
    </row>
    <row r="2044" spans="1:9" x14ac:dyDescent="0.35">
      <c r="A2044" t="str">
        <f t="shared" si="31"/>
        <v>networkturpe_energy_costS1202952</v>
      </c>
      <c r="C2044" t="s">
        <v>96</v>
      </c>
      <c r="D2044" t="s">
        <v>98</v>
      </c>
      <c r="E2044" t="s">
        <v>110</v>
      </c>
      <c r="F2044">
        <v>14054.783965180561</v>
      </c>
      <c r="G2044">
        <v>2029</v>
      </c>
      <c r="H2044">
        <v>5</v>
      </c>
      <c r="I2044">
        <v>2</v>
      </c>
    </row>
    <row r="2045" spans="1:9" x14ac:dyDescent="0.35">
      <c r="A2045" t="str">
        <f t="shared" si="31"/>
        <v>DAcostS1202952</v>
      </c>
      <c r="C2045" t="s">
        <v>99</v>
      </c>
      <c r="D2045" t="s">
        <v>100</v>
      </c>
      <c r="E2045" t="s">
        <v>110</v>
      </c>
      <c r="F2045">
        <v>67619.012374040016</v>
      </c>
      <c r="G2045">
        <v>2029</v>
      </c>
      <c r="H2045">
        <v>5</v>
      </c>
      <c r="I2045">
        <v>2</v>
      </c>
    </row>
    <row r="2046" spans="1:9" x14ac:dyDescent="0.35">
      <c r="A2046" t="str">
        <f t="shared" si="31"/>
        <v>DAincomeS1202952</v>
      </c>
      <c r="C2046" t="s">
        <v>99</v>
      </c>
      <c r="D2046" t="s">
        <v>101</v>
      </c>
      <c r="E2046" t="s">
        <v>110</v>
      </c>
      <c r="F2046">
        <v>103999.1871811145</v>
      </c>
      <c r="G2046">
        <v>2029</v>
      </c>
      <c r="H2046">
        <v>5</v>
      </c>
      <c r="I2046">
        <v>2</v>
      </c>
    </row>
    <row r="2047" spans="1:9" x14ac:dyDescent="0.35">
      <c r="A2047" t="str">
        <f t="shared" si="31"/>
        <v>DAenergy_boughtS1202952</v>
      </c>
      <c r="C2047" t="s">
        <v>99</v>
      </c>
      <c r="D2047" t="s">
        <v>111</v>
      </c>
      <c r="E2047" t="s">
        <v>110</v>
      </c>
      <c r="F2047">
        <v>948.2048307484614</v>
      </c>
      <c r="G2047">
        <v>2029</v>
      </c>
      <c r="H2047">
        <v>5</v>
      </c>
      <c r="I2047">
        <v>2</v>
      </c>
    </row>
    <row r="2048" spans="1:9" x14ac:dyDescent="0.35">
      <c r="A2048" t="str">
        <f t="shared" si="31"/>
        <v>DAenergy_soldS1202952</v>
      </c>
      <c r="C2048" t="s">
        <v>99</v>
      </c>
      <c r="D2048" t="s">
        <v>112</v>
      </c>
      <c r="E2048" t="s">
        <v>110</v>
      </c>
      <c r="F2048">
        <v>750.49966883132038</v>
      </c>
      <c r="G2048">
        <v>2029</v>
      </c>
      <c r="H2048">
        <v>5</v>
      </c>
      <c r="I2048">
        <v>2</v>
      </c>
    </row>
    <row r="2049" spans="1:9" x14ac:dyDescent="0.35">
      <c r="A2049" t="str">
        <f t="shared" si="31"/>
        <v>DAhours_boughtS1202952</v>
      </c>
      <c r="C2049" t="s">
        <v>99</v>
      </c>
      <c r="D2049" t="s">
        <v>113</v>
      </c>
      <c r="E2049" t="s">
        <v>110</v>
      </c>
      <c r="F2049">
        <v>1311</v>
      </c>
      <c r="G2049">
        <v>2029</v>
      </c>
      <c r="H2049">
        <v>5</v>
      </c>
      <c r="I2049">
        <v>2</v>
      </c>
    </row>
    <row r="2050" spans="1:9" x14ac:dyDescent="0.35">
      <c r="A2050" t="str">
        <f t="shared" si="31"/>
        <v>DAhours_soldS1202952</v>
      </c>
      <c r="C2050" t="s">
        <v>99</v>
      </c>
      <c r="D2050" t="s">
        <v>114</v>
      </c>
      <c r="E2050" t="s">
        <v>110</v>
      </c>
      <c r="F2050">
        <v>261</v>
      </c>
      <c r="G2050">
        <v>2029</v>
      </c>
      <c r="H2050">
        <v>5</v>
      </c>
      <c r="I2050">
        <v>2</v>
      </c>
    </row>
    <row r="2051" spans="1:9" x14ac:dyDescent="0.35">
      <c r="A2051" t="str">
        <f t="shared" ref="A2051:A2114" si="32">C2051&amp;D2051&amp;E2051&amp;G2051&amp;H2051&amp;I2051</f>
        <v>DAco2_emissionS1202952</v>
      </c>
      <c r="C2051" t="s">
        <v>99</v>
      </c>
      <c r="D2051" t="s">
        <v>204</v>
      </c>
      <c r="E2051" t="s">
        <v>110</v>
      </c>
      <c r="F2051">
        <v>66374.338152392826</v>
      </c>
      <c r="G2051">
        <v>2029</v>
      </c>
      <c r="H2051">
        <v>5</v>
      </c>
      <c r="I2051">
        <v>2</v>
      </c>
    </row>
    <row r="2052" spans="1:9" x14ac:dyDescent="0.35">
      <c r="A2052" t="str">
        <f t="shared" si="32"/>
        <v>fcrincomeS1202952</v>
      </c>
      <c r="C2052" t="s">
        <v>102</v>
      </c>
      <c r="D2052" t="s">
        <v>101</v>
      </c>
      <c r="E2052" t="s">
        <v>110</v>
      </c>
      <c r="F2052">
        <v>0</v>
      </c>
      <c r="G2052">
        <v>2029</v>
      </c>
      <c r="H2052">
        <v>5</v>
      </c>
      <c r="I2052">
        <v>2</v>
      </c>
    </row>
    <row r="2053" spans="1:9" x14ac:dyDescent="0.35">
      <c r="A2053" t="str">
        <f t="shared" si="32"/>
        <v>fcractivation_hoursS1202952</v>
      </c>
      <c r="C2053" t="s">
        <v>102</v>
      </c>
      <c r="D2053" t="s">
        <v>115</v>
      </c>
      <c r="E2053" t="s">
        <v>110</v>
      </c>
      <c r="F2053">
        <v>0</v>
      </c>
      <c r="G2053">
        <v>2029</v>
      </c>
      <c r="H2053">
        <v>5</v>
      </c>
      <c r="I2053">
        <v>2</v>
      </c>
    </row>
    <row r="2054" spans="1:9" x14ac:dyDescent="0.35">
      <c r="A2054" t="str">
        <f t="shared" si="32"/>
        <v>afrrincomeS1202952</v>
      </c>
      <c r="B2054" t="s">
        <v>95</v>
      </c>
      <c r="C2054" t="s">
        <v>103</v>
      </c>
      <c r="D2054" t="s">
        <v>101</v>
      </c>
      <c r="E2054" t="s">
        <v>110</v>
      </c>
      <c r="F2054">
        <v>222233.75294680911</v>
      </c>
      <c r="G2054">
        <v>2029</v>
      </c>
      <c r="H2054">
        <v>5</v>
      </c>
      <c r="I2054">
        <v>2</v>
      </c>
    </row>
    <row r="2055" spans="1:9" x14ac:dyDescent="0.35">
      <c r="A2055" t="str">
        <f t="shared" si="32"/>
        <v>afrractivation_hoursS1202952</v>
      </c>
      <c r="B2055" t="s">
        <v>95</v>
      </c>
      <c r="C2055" t="s">
        <v>103</v>
      </c>
      <c r="D2055" t="s">
        <v>115</v>
      </c>
      <c r="E2055" t="s">
        <v>110</v>
      </c>
      <c r="F2055">
        <v>8731</v>
      </c>
      <c r="G2055">
        <v>2029</v>
      </c>
      <c r="H2055">
        <v>5</v>
      </c>
      <c r="I2055">
        <v>2</v>
      </c>
    </row>
    <row r="2056" spans="1:9" x14ac:dyDescent="0.35">
      <c r="A2056" t="str">
        <f t="shared" si="32"/>
        <v>networkturpe_power_costS1203052</v>
      </c>
      <c r="C2056" t="s">
        <v>96</v>
      </c>
      <c r="D2056" t="s">
        <v>97</v>
      </c>
      <c r="E2056" t="s">
        <v>110</v>
      </c>
      <c r="F2056">
        <v>13671.38389106274</v>
      </c>
      <c r="G2056">
        <v>2030</v>
      </c>
      <c r="H2056">
        <v>5</v>
      </c>
      <c r="I2056">
        <v>2</v>
      </c>
    </row>
    <row r="2057" spans="1:9" x14ac:dyDescent="0.35">
      <c r="A2057" t="str">
        <f t="shared" si="32"/>
        <v>networkturpe_energy_costS1203052</v>
      </c>
      <c r="C2057" t="s">
        <v>96</v>
      </c>
      <c r="D2057" t="s">
        <v>98</v>
      </c>
      <c r="E2057" t="s">
        <v>110</v>
      </c>
      <c r="F2057">
        <v>22203.078661643671</v>
      </c>
      <c r="G2057">
        <v>2030</v>
      </c>
      <c r="H2057">
        <v>5</v>
      </c>
      <c r="I2057">
        <v>2</v>
      </c>
    </row>
    <row r="2058" spans="1:9" x14ac:dyDescent="0.35">
      <c r="A2058" t="str">
        <f t="shared" si="32"/>
        <v>DAcostS1203052</v>
      </c>
      <c r="C2058" t="s">
        <v>99</v>
      </c>
      <c r="D2058" t="s">
        <v>100</v>
      </c>
      <c r="E2058" t="s">
        <v>110</v>
      </c>
      <c r="F2058">
        <v>80250.456936260991</v>
      </c>
      <c r="G2058">
        <v>2030</v>
      </c>
      <c r="H2058">
        <v>5</v>
      </c>
      <c r="I2058">
        <v>2</v>
      </c>
    </row>
    <row r="2059" spans="1:9" x14ac:dyDescent="0.35">
      <c r="A2059" t="str">
        <f t="shared" si="32"/>
        <v>DAincomeS1203052</v>
      </c>
      <c r="C2059" t="s">
        <v>99</v>
      </c>
      <c r="D2059" t="s">
        <v>101</v>
      </c>
      <c r="E2059" t="s">
        <v>110</v>
      </c>
      <c r="F2059">
        <v>137510.9338568626</v>
      </c>
      <c r="G2059">
        <v>2030</v>
      </c>
      <c r="H2059">
        <v>5</v>
      </c>
      <c r="I2059">
        <v>2</v>
      </c>
    </row>
    <row r="2060" spans="1:9" x14ac:dyDescent="0.35">
      <c r="A2060" t="str">
        <f t="shared" si="32"/>
        <v>DAenergy_boughtS1203052</v>
      </c>
      <c r="C2060" t="s">
        <v>99</v>
      </c>
      <c r="D2060" t="s">
        <v>111</v>
      </c>
      <c r="E2060" t="s">
        <v>110</v>
      </c>
      <c r="F2060">
        <v>1449.7167826150801</v>
      </c>
      <c r="G2060">
        <v>2030</v>
      </c>
      <c r="H2060">
        <v>5</v>
      </c>
      <c r="I2060">
        <v>2</v>
      </c>
    </row>
    <row r="2061" spans="1:9" x14ac:dyDescent="0.35">
      <c r="A2061" t="str">
        <f t="shared" si="32"/>
        <v>DAenergy_soldS1203052</v>
      </c>
      <c r="C2061" t="s">
        <v>99</v>
      </c>
      <c r="D2061" t="s">
        <v>112</v>
      </c>
      <c r="E2061" t="s">
        <v>110</v>
      </c>
      <c r="F2061">
        <v>1156.6527201251131</v>
      </c>
      <c r="G2061">
        <v>2030</v>
      </c>
      <c r="H2061">
        <v>5</v>
      </c>
      <c r="I2061">
        <v>2</v>
      </c>
    </row>
    <row r="2062" spans="1:9" x14ac:dyDescent="0.35">
      <c r="A2062" t="str">
        <f t="shared" si="32"/>
        <v>DAhours_boughtS1203052</v>
      </c>
      <c r="C2062" t="s">
        <v>99</v>
      </c>
      <c r="D2062" t="s">
        <v>113</v>
      </c>
      <c r="E2062" t="s">
        <v>110</v>
      </c>
      <c r="F2062">
        <v>1764</v>
      </c>
      <c r="G2062">
        <v>2030</v>
      </c>
      <c r="H2062">
        <v>5</v>
      </c>
      <c r="I2062">
        <v>2</v>
      </c>
    </row>
    <row r="2063" spans="1:9" x14ac:dyDescent="0.35">
      <c r="A2063" t="str">
        <f t="shared" si="32"/>
        <v>DAhours_soldS1203052</v>
      </c>
      <c r="C2063" t="s">
        <v>99</v>
      </c>
      <c r="D2063" t="s">
        <v>114</v>
      </c>
      <c r="E2063" t="s">
        <v>110</v>
      </c>
      <c r="F2063">
        <v>384</v>
      </c>
      <c r="G2063">
        <v>2030</v>
      </c>
      <c r="H2063">
        <v>5</v>
      </c>
      <c r="I2063">
        <v>2</v>
      </c>
    </row>
    <row r="2064" spans="1:9" x14ac:dyDescent="0.35">
      <c r="A2064" t="str">
        <f t="shared" si="32"/>
        <v>DAco2_emissionS1203052</v>
      </c>
      <c r="C2064" t="s">
        <v>99</v>
      </c>
      <c r="D2064" t="s">
        <v>204</v>
      </c>
      <c r="E2064" t="s">
        <v>110</v>
      </c>
      <c r="F2064">
        <v>101480.1747830551</v>
      </c>
      <c r="G2064">
        <v>2030</v>
      </c>
      <c r="H2064">
        <v>5</v>
      </c>
      <c r="I2064">
        <v>2</v>
      </c>
    </row>
    <row r="2065" spans="1:9" x14ac:dyDescent="0.35">
      <c r="A2065" t="str">
        <f t="shared" si="32"/>
        <v>fcrincomeS1203052</v>
      </c>
      <c r="C2065" t="s">
        <v>102</v>
      </c>
      <c r="D2065" t="s">
        <v>101</v>
      </c>
      <c r="E2065" t="s">
        <v>110</v>
      </c>
      <c r="F2065">
        <v>2.3599832379139389</v>
      </c>
      <c r="G2065">
        <v>2030</v>
      </c>
      <c r="H2065">
        <v>5</v>
      </c>
      <c r="I2065">
        <v>2</v>
      </c>
    </row>
    <row r="2066" spans="1:9" x14ac:dyDescent="0.35">
      <c r="A2066" t="str">
        <f t="shared" si="32"/>
        <v>fcractivation_hoursS1203052</v>
      </c>
      <c r="B2066" t="s">
        <v>95</v>
      </c>
      <c r="C2066" t="s">
        <v>102</v>
      </c>
      <c r="D2066" t="s">
        <v>115</v>
      </c>
      <c r="E2066" t="s">
        <v>110</v>
      </c>
      <c r="F2066">
        <v>12</v>
      </c>
      <c r="G2066">
        <v>2030</v>
      </c>
      <c r="H2066">
        <v>5</v>
      </c>
      <c r="I2066">
        <v>2</v>
      </c>
    </row>
    <row r="2067" spans="1:9" x14ac:dyDescent="0.35">
      <c r="A2067" t="str">
        <f t="shared" si="32"/>
        <v>afrrincomeS1203052</v>
      </c>
      <c r="B2067" t="s">
        <v>95</v>
      </c>
      <c r="C2067" t="s">
        <v>103</v>
      </c>
      <c r="D2067" t="s">
        <v>101</v>
      </c>
      <c r="E2067" t="s">
        <v>110</v>
      </c>
      <c r="F2067">
        <v>130953.25702002049</v>
      </c>
      <c r="G2067">
        <v>2030</v>
      </c>
      <c r="H2067">
        <v>5</v>
      </c>
      <c r="I2067">
        <v>2</v>
      </c>
    </row>
    <row r="2068" spans="1:9" x14ac:dyDescent="0.35">
      <c r="A2068" t="str">
        <f t="shared" si="32"/>
        <v>afrractivation_hoursS1203052</v>
      </c>
      <c r="C2068" t="s">
        <v>103</v>
      </c>
      <c r="D2068" t="s">
        <v>115</v>
      </c>
      <c r="E2068" t="s">
        <v>110</v>
      </c>
      <c r="F2068">
        <v>8597</v>
      </c>
      <c r="G2068">
        <v>2030</v>
      </c>
      <c r="H2068">
        <v>5</v>
      </c>
      <c r="I2068">
        <v>2</v>
      </c>
    </row>
    <row r="2069" spans="1:9" x14ac:dyDescent="0.35">
      <c r="A2069" t="str">
        <f t="shared" si="32"/>
        <v>networkturpe_power_costS1203152</v>
      </c>
      <c r="C2069" t="s">
        <v>96</v>
      </c>
      <c r="D2069" t="s">
        <v>97</v>
      </c>
      <c r="E2069" t="s">
        <v>110</v>
      </c>
      <c r="F2069">
        <v>13273.05056068144</v>
      </c>
      <c r="G2069">
        <v>2031</v>
      </c>
      <c r="H2069">
        <v>5</v>
      </c>
      <c r="I2069">
        <v>2</v>
      </c>
    </row>
    <row r="2070" spans="1:9" x14ac:dyDescent="0.35">
      <c r="A2070" t="str">
        <f t="shared" si="32"/>
        <v>networkturpe_energy_costS1203152</v>
      </c>
      <c r="C2070" t="s">
        <v>96</v>
      </c>
      <c r="D2070" t="s">
        <v>98</v>
      </c>
      <c r="E2070" t="s">
        <v>110</v>
      </c>
      <c r="F2070">
        <v>21638.129940212399</v>
      </c>
      <c r="G2070">
        <v>2031</v>
      </c>
      <c r="H2070">
        <v>5</v>
      </c>
      <c r="I2070">
        <v>2</v>
      </c>
    </row>
    <row r="2071" spans="1:9" x14ac:dyDescent="0.35">
      <c r="A2071" t="str">
        <f t="shared" si="32"/>
        <v>DAcostS1203152</v>
      </c>
      <c r="C2071" t="s">
        <v>99</v>
      </c>
      <c r="D2071" t="s">
        <v>100</v>
      </c>
      <c r="E2071" t="s">
        <v>110</v>
      </c>
      <c r="F2071">
        <v>66622.46019856754</v>
      </c>
      <c r="G2071">
        <v>2031</v>
      </c>
      <c r="H2071">
        <v>5</v>
      </c>
      <c r="I2071">
        <v>2</v>
      </c>
    </row>
    <row r="2072" spans="1:9" x14ac:dyDescent="0.35">
      <c r="A2072" t="str">
        <f t="shared" si="32"/>
        <v>DAincomeS1203152</v>
      </c>
      <c r="C2072" t="s">
        <v>99</v>
      </c>
      <c r="D2072" t="s">
        <v>101</v>
      </c>
      <c r="E2072" t="s">
        <v>110</v>
      </c>
      <c r="F2072">
        <v>122385.3793991514</v>
      </c>
      <c r="G2072">
        <v>2031</v>
      </c>
      <c r="H2072">
        <v>5</v>
      </c>
      <c r="I2072">
        <v>2</v>
      </c>
    </row>
    <row r="2073" spans="1:9" x14ac:dyDescent="0.35">
      <c r="A2073" t="str">
        <f t="shared" si="32"/>
        <v>DAenergy_boughtS1203152</v>
      </c>
      <c r="C2073" t="s">
        <v>99</v>
      </c>
      <c r="D2073" t="s">
        <v>111</v>
      </c>
      <c r="E2073" t="s">
        <v>110</v>
      </c>
      <c r="F2073">
        <v>1410.480770223601</v>
      </c>
      <c r="G2073">
        <v>2031</v>
      </c>
      <c r="H2073">
        <v>5</v>
      </c>
      <c r="I2073">
        <v>2</v>
      </c>
    </row>
    <row r="2074" spans="1:9" x14ac:dyDescent="0.35">
      <c r="A2074" t="str">
        <f t="shared" si="32"/>
        <v>DAenergy_soldS1203152</v>
      </c>
      <c r="C2074" t="s">
        <v>99</v>
      </c>
      <c r="D2074" t="s">
        <v>112</v>
      </c>
      <c r="E2074" t="s">
        <v>110</v>
      </c>
      <c r="F2074">
        <v>1125.404008873677</v>
      </c>
      <c r="G2074">
        <v>2031</v>
      </c>
      <c r="H2074">
        <v>5</v>
      </c>
      <c r="I2074">
        <v>2</v>
      </c>
    </row>
    <row r="2075" spans="1:9" x14ac:dyDescent="0.35">
      <c r="A2075" t="str">
        <f t="shared" si="32"/>
        <v>DAhours_boughtS1203152</v>
      </c>
      <c r="C2075" t="s">
        <v>99</v>
      </c>
      <c r="D2075" t="s">
        <v>113</v>
      </c>
      <c r="E2075" t="s">
        <v>110</v>
      </c>
      <c r="F2075">
        <v>1687</v>
      </c>
      <c r="G2075">
        <v>2031</v>
      </c>
      <c r="H2075">
        <v>5</v>
      </c>
      <c r="I2075">
        <v>2</v>
      </c>
    </row>
    <row r="2076" spans="1:9" x14ac:dyDescent="0.35">
      <c r="A2076" t="str">
        <f t="shared" si="32"/>
        <v>DAhours_soldS1203152</v>
      </c>
      <c r="C2076" t="s">
        <v>99</v>
      </c>
      <c r="D2076" t="s">
        <v>114</v>
      </c>
      <c r="E2076" t="s">
        <v>110</v>
      </c>
      <c r="F2076">
        <v>410</v>
      </c>
      <c r="G2076">
        <v>2031</v>
      </c>
      <c r="H2076">
        <v>5</v>
      </c>
      <c r="I2076">
        <v>2</v>
      </c>
    </row>
    <row r="2077" spans="1:9" x14ac:dyDescent="0.35">
      <c r="A2077" t="str">
        <f t="shared" si="32"/>
        <v>DAco2_emissionS1203152</v>
      </c>
      <c r="C2077" t="s">
        <v>99</v>
      </c>
      <c r="D2077" t="s">
        <v>204</v>
      </c>
      <c r="E2077" t="s">
        <v>110</v>
      </c>
      <c r="F2077">
        <v>98733.653915651928</v>
      </c>
      <c r="G2077">
        <v>2031</v>
      </c>
      <c r="H2077">
        <v>5</v>
      </c>
      <c r="I2077">
        <v>2</v>
      </c>
    </row>
    <row r="2078" spans="1:9" x14ac:dyDescent="0.35">
      <c r="A2078" t="str">
        <f t="shared" si="32"/>
        <v>fcrincomeS1203152</v>
      </c>
      <c r="B2078" t="s">
        <v>95</v>
      </c>
      <c r="C2078" t="s">
        <v>102</v>
      </c>
      <c r="D2078" t="s">
        <v>101</v>
      </c>
      <c r="E2078" t="s">
        <v>110</v>
      </c>
      <c r="F2078">
        <v>0.20216097923191789</v>
      </c>
      <c r="G2078">
        <v>2031</v>
      </c>
      <c r="H2078">
        <v>5</v>
      </c>
      <c r="I2078">
        <v>2</v>
      </c>
    </row>
    <row r="2079" spans="1:9" x14ac:dyDescent="0.35">
      <c r="A2079" t="str">
        <f t="shared" si="32"/>
        <v>fcractivation_hoursS1203152</v>
      </c>
      <c r="B2079" t="s">
        <v>95</v>
      </c>
      <c r="C2079" t="s">
        <v>102</v>
      </c>
      <c r="D2079" t="s">
        <v>115</v>
      </c>
      <c r="E2079" t="s">
        <v>110</v>
      </c>
      <c r="F2079">
        <v>4</v>
      </c>
      <c r="G2079">
        <v>2031</v>
      </c>
      <c r="H2079">
        <v>5</v>
      </c>
      <c r="I2079">
        <v>2</v>
      </c>
    </row>
    <row r="2080" spans="1:9" x14ac:dyDescent="0.35">
      <c r="A2080" t="str">
        <f t="shared" si="32"/>
        <v>afrrincomeS1203152</v>
      </c>
      <c r="C2080" t="s">
        <v>103</v>
      </c>
      <c r="D2080" t="s">
        <v>101</v>
      </c>
      <c r="E2080" t="s">
        <v>110</v>
      </c>
      <c r="F2080">
        <v>131849.89547594529</v>
      </c>
      <c r="G2080">
        <v>2031</v>
      </c>
      <c r="H2080">
        <v>5</v>
      </c>
      <c r="I2080">
        <v>2</v>
      </c>
    </row>
    <row r="2081" spans="1:9" x14ac:dyDescent="0.35">
      <c r="A2081" t="str">
        <f t="shared" si="32"/>
        <v>afrractivation_hoursS1203152</v>
      </c>
      <c r="C2081" t="s">
        <v>103</v>
      </c>
      <c r="D2081" t="s">
        <v>115</v>
      </c>
      <c r="E2081" t="s">
        <v>110</v>
      </c>
      <c r="F2081">
        <v>8563</v>
      </c>
      <c r="G2081">
        <v>2031</v>
      </c>
      <c r="H2081">
        <v>5</v>
      </c>
      <c r="I2081">
        <v>2</v>
      </c>
    </row>
    <row r="2082" spans="1:9" x14ac:dyDescent="0.35">
      <c r="A2082" t="str">
        <f t="shared" si="32"/>
        <v>networkturpe_power_costS1203252</v>
      </c>
      <c r="C2082" t="s">
        <v>96</v>
      </c>
      <c r="D2082" t="s">
        <v>97</v>
      </c>
      <c r="E2082" t="s">
        <v>110</v>
      </c>
      <c r="F2082">
        <v>12881.053410340841</v>
      </c>
      <c r="G2082">
        <v>2032</v>
      </c>
      <c r="H2082">
        <v>5</v>
      </c>
      <c r="I2082">
        <v>2</v>
      </c>
    </row>
    <row r="2083" spans="1:9" x14ac:dyDescent="0.35">
      <c r="A2083" t="str">
        <f t="shared" si="32"/>
        <v>networkturpe_energy_costS1203252</v>
      </c>
      <c r="C2083" t="s">
        <v>96</v>
      </c>
      <c r="D2083" t="s">
        <v>98</v>
      </c>
      <c r="E2083" t="s">
        <v>110</v>
      </c>
      <c r="F2083">
        <v>19798.53983371763</v>
      </c>
      <c r="G2083">
        <v>2032</v>
      </c>
      <c r="H2083">
        <v>5</v>
      </c>
      <c r="I2083">
        <v>2</v>
      </c>
    </row>
    <row r="2084" spans="1:9" x14ac:dyDescent="0.35">
      <c r="A2084" t="str">
        <f t="shared" si="32"/>
        <v>DAcostS1203252</v>
      </c>
      <c r="C2084" t="s">
        <v>99</v>
      </c>
      <c r="D2084" t="s">
        <v>100</v>
      </c>
      <c r="E2084" t="s">
        <v>110</v>
      </c>
      <c r="F2084">
        <v>63571.3138560812</v>
      </c>
      <c r="G2084">
        <v>2032</v>
      </c>
      <c r="H2084">
        <v>5</v>
      </c>
      <c r="I2084">
        <v>2</v>
      </c>
    </row>
    <row r="2085" spans="1:9" x14ac:dyDescent="0.35">
      <c r="A2085" t="str">
        <f t="shared" si="32"/>
        <v>DAincomeS1203252</v>
      </c>
      <c r="C2085" t="s">
        <v>99</v>
      </c>
      <c r="D2085" t="s">
        <v>101</v>
      </c>
      <c r="E2085" t="s">
        <v>110</v>
      </c>
      <c r="F2085">
        <v>119259.4625051155</v>
      </c>
      <c r="G2085">
        <v>2032</v>
      </c>
      <c r="H2085">
        <v>5</v>
      </c>
      <c r="I2085">
        <v>2</v>
      </c>
    </row>
    <row r="2086" spans="1:9" x14ac:dyDescent="0.35">
      <c r="A2086" t="str">
        <f t="shared" si="32"/>
        <v>DAenergy_boughtS1203252</v>
      </c>
      <c r="C2086" t="s">
        <v>99</v>
      </c>
      <c r="D2086" t="s">
        <v>111</v>
      </c>
      <c r="E2086" t="s">
        <v>110</v>
      </c>
      <c r="F2086">
        <v>1360.529175610543</v>
      </c>
      <c r="G2086">
        <v>2032</v>
      </c>
      <c r="H2086">
        <v>5</v>
      </c>
      <c r="I2086">
        <v>2</v>
      </c>
    </row>
    <row r="2087" spans="1:9" x14ac:dyDescent="0.35">
      <c r="A2087" t="str">
        <f t="shared" si="32"/>
        <v>DAenergy_soldS1203252</v>
      </c>
      <c r="C2087" t="s">
        <v>99</v>
      </c>
      <c r="D2087" t="s">
        <v>112</v>
      </c>
      <c r="E2087" t="s">
        <v>110</v>
      </c>
      <c r="F2087">
        <v>1085.6440059369031</v>
      </c>
      <c r="G2087">
        <v>2032</v>
      </c>
      <c r="H2087">
        <v>5</v>
      </c>
      <c r="I2087">
        <v>2</v>
      </c>
    </row>
    <row r="2088" spans="1:9" x14ac:dyDescent="0.35">
      <c r="A2088" t="str">
        <f t="shared" si="32"/>
        <v>DAhours_boughtS1203252</v>
      </c>
      <c r="C2088" t="s">
        <v>99</v>
      </c>
      <c r="D2088" t="s">
        <v>113</v>
      </c>
      <c r="E2088" t="s">
        <v>110</v>
      </c>
      <c r="F2088">
        <v>1783</v>
      </c>
      <c r="G2088">
        <v>2032</v>
      </c>
      <c r="H2088">
        <v>5</v>
      </c>
      <c r="I2088">
        <v>2</v>
      </c>
    </row>
    <row r="2089" spans="1:9" x14ac:dyDescent="0.35">
      <c r="A2089" t="str">
        <f t="shared" si="32"/>
        <v>DAhours_soldS1203252</v>
      </c>
      <c r="C2089" t="s">
        <v>99</v>
      </c>
      <c r="D2089" t="s">
        <v>114</v>
      </c>
      <c r="E2089" t="s">
        <v>110</v>
      </c>
      <c r="F2089">
        <v>413</v>
      </c>
      <c r="G2089">
        <v>2032</v>
      </c>
      <c r="H2089">
        <v>5</v>
      </c>
      <c r="I2089">
        <v>2</v>
      </c>
    </row>
    <row r="2090" spans="1:9" x14ac:dyDescent="0.35">
      <c r="A2090" t="str">
        <f t="shared" si="32"/>
        <v>DAco2_emissionS1203252</v>
      </c>
      <c r="B2090" t="s">
        <v>95</v>
      </c>
      <c r="C2090" t="s">
        <v>99</v>
      </c>
      <c r="D2090" t="s">
        <v>204</v>
      </c>
      <c r="E2090" t="s">
        <v>110</v>
      </c>
      <c r="F2090">
        <v>95237.042292737286</v>
      </c>
      <c r="G2090">
        <v>2032</v>
      </c>
      <c r="H2090">
        <v>5</v>
      </c>
      <c r="I2090">
        <v>2</v>
      </c>
    </row>
    <row r="2091" spans="1:9" x14ac:dyDescent="0.35">
      <c r="A2091" t="str">
        <f t="shared" si="32"/>
        <v>fcrincomeS1203252</v>
      </c>
      <c r="B2091" t="s">
        <v>95</v>
      </c>
      <c r="C2091" t="s">
        <v>102</v>
      </c>
      <c r="D2091" t="s">
        <v>101</v>
      </c>
      <c r="E2091" t="s">
        <v>110</v>
      </c>
      <c r="F2091">
        <v>24.479506686822539</v>
      </c>
      <c r="G2091">
        <v>2032</v>
      </c>
      <c r="H2091">
        <v>5</v>
      </c>
      <c r="I2091">
        <v>2</v>
      </c>
    </row>
    <row r="2092" spans="1:9" x14ac:dyDescent="0.35">
      <c r="A2092" t="str">
        <f t="shared" si="32"/>
        <v>fcractivation_hoursS1203252</v>
      </c>
      <c r="C2092" t="s">
        <v>102</v>
      </c>
      <c r="D2092" t="s">
        <v>115</v>
      </c>
      <c r="E2092" t="s">
        <v>110</v>
      </c>
      <c r="F2092">
        <v>16</v>
      </c>
      <c r="G2092">
        <v>2032</v>
      </c>
      <c r="H2092">
        <v>5</v>
      </c>
      <c r="I2092">
        <v>2</v>
      </c>
    </row>
    <row r="2093" spans="1:9" x14ac:dyDescent="0.35">
      <c r="A2093" t="str">
        <f t="shared" si="32"/>
        <v>afrrincomeS1203252</v>
      </c>
      <c r="C2093" t="s">
        <v>103</v>
      </c>
      <c r="D2093" t="s">
        <v>101</v>
      </c>
      <c r="E2093" t="s">
        <v>110</v>
      </c>
      <c r="F2093">
        <v>130733.5089190109</v>
      </c>
      <c r="G2093">
        <v>2032</v>
      </c>
      <c r="H2093">
        <v>5</v>
      </c>
      <c r="I2093">
        <v>2</v>
      </c>
    </row>
    <row r="2094" spans="1:9" x14ac:dyDescent="0.35">
      <c r="A2094" t="str">
        <f t="shared" si="32"/>
        <v>afrractivation_hoursS1203252</v>
      </c>
      <c r="C2094" t="s">
        <v>103</v>
      </c>
      <c r="D2094" t="s">
        <v>115</v>
      </c>
      <c r="E2094" t="s">
        <v>110</v>
      </c>
      <c r="F2094">
        <v>8497</v>
      </c>
      <c r="G2094">
        <v>2032</v>
      </c>
      <c r="H2094">
        <v>5</v>
      </c>
      <c r="I2094">
        <v>2</v>
      </c>
    </row>
    <row r="2095" spans="1:9" x14ac:dyDescent="0.35">
      <c r="A2095" t="str">
        <f t="shared" si="32"/>
        <v>networkturpe_power_costS1203352</v>
      </c>
      <c r="C2095" t="s">
        <v>96</v>
      </c>
      <c r="D2095" t="s">
        <v>97</v>
      </c>
      <c r="E2095" t="s">
        <v>110</v>
      </c>
      <c r="F2095">
        <v>11695.574924459919</v>
      </c>
      <c r="G2095">
        <v>2033</v>
      </c>
      <c r="H2095">
        <v>5</v>
      </c>
      <c r="I2095">
        <v>2</v>
      </c>
    </row>
    <row r="2096" spans="1:9" x14ac:dyDescent="0.35">
      <c r="A2096" t="str">
        <f t="shared" si="32"/>
        <v>networkturpe_energy_costS1203352</v>
      </c>
      <c r="C2096" t="s">
        <v>96</v>
      </c>
      <c r="D2096" t="s">
        <v>98</v>
      </c>
      <c r="E2096" t="s">
        <v>110</v>
      </c>
      <c r="F2096">
        <v>18703.08714534745</v>
      </c>
      <c r="G2096">
        <v>2033</v>
      </c>
      <c r="H2096">
        <v>5</v>
      </c>
      <c r="I2096">
        <v>2</v>
      </c>
    </row>
    <row r="2097" spans="1:9" x14ac:dyDescent="0.35">
      <c r="A2097" t="str">
        <f t="shared" si="32"/>
        <v>DAcostS1203352</v>
      </c>
      <c r="C2097" t="s">
        <v>99</v>
      </c>
      <c r="D2097" t="s">
        <v>100</v>
      </c>
      <c r="E2097" t="s">
        <v>110</v>
      </c>
      <c r="F2097">
        <v>58182.389838362062</v>
      </c>
      <c r="G2097">
        <v>2033</v>
      </c>
      <c r="H2097">
        <v>5</v>
      </c>
      <c r="I2097">
        <v>2</v>
      </c>
    </row>
    <row r="2098" spans="1:9" x14ac:dyDescent="0.35">
      <c r="A2098" t="str">
        <f t="shared" si="32"/>
        <v>DAincomeS1203352</v>
      </c>
      <c r="C2098" t="s">
        <v>99</v>
      </c>
      <c r="D2098" t="s">
        <v>101</v>
      </c>
      <c r="E2098" t="s">
        <v>110</v>
      </c>
      <c r="F2098">
        <v>109030.2224325391</v>
      </c>
      <c r="G2098">
        <v>2033</v>
      </c>
      <c r="H2098">
        <v>5</v>
      </c>
      <c r="I2098">
        <v>2</v>
      </c>
    </row>
    <row r="2099" spans="1:9" x14ac:dyDescent="0.35">
      <c r="A2099" t="str">
        <f t="shared" si="32"/>
        <v>DAenergy_boughtS1203352</v>
      </c>
      <c r="C2099" t="s">
        <v>99</v>
      </c>
      <c r="D2099" t="s">
        <v>111</v>
      </c>
      <c r="E2099" t="s">
        <v>110</v>
      </c>
      <c r="F2099">
        <v>1260.591716742201</v>
      </c>
      <c r="G2099">
        <v>2033</v>
      </c>
      <c r="H2099">
        <v>5</v>
      </c>
      <c r="I2099">
        <v>2</v>
      </c>
    </row>
    <row r="2100" spans="1:9" x14ac:dyDescent="0.35">
      <c r="A2100" t="str">
        <f t="shared" si="32"/>
        <v>DAenergy_soldS1203352</v>
      </c>
      <c r="C2100" t="s">
        <v>99</v>
      </c>
      <c r="D2100" t="s">
        <v>112</v>
      </c>
      <c r="E2100" t="s">
        <v>110</v>
      </c>
      <c r="F2100">
        <v>1005.096431914028</v>
      </c>
      <c r="G2100">
        <v>2033</v>
      </c>
      <c r="H2100">
        <v>5</v>
      </c>
      <c r="I2100">
        <v>2</v>
      </c>
    </row>
    <row r="2101" spans="1:9" x14ac:dyDescent="0.35">
      <c r="A2101" t="str">
        <f t="shared" si="32"/>
        <v>DAhours_boughtS1203352</v>
      </c>
      <c r="C2101" t="s">
        <v>99</v>
      </c>
      <c r="D2101" t="s">
        <v>113</v>
      </c>
      <c r="E2101" t="s">
        <v>110</v>
      </c>
      <c r="F2101">
        <v>1776</v>
      </c>
      <c r="G2101">
        <v>2033</v>
      </c>
      <c r="H2101">
        <v>5</v>
      </c>
      <c r="I2101">
        <v>2</v>
      </c>
    </row>
    <row r="2102" spans="1:9" x14ac:dyDescent="0.35">
      <c r="A2102" t="str">
        <f t="shared" si="32"/>
        <v>DAhours_soldS1203352</v>
      </c>
      <c r="B2102" t="s">
        <v>95</v>
      </c>
      <c r="C2102" t="s">
        <v>99</v>
      </c>
      <c r="D2102" t="s">
        <v>114</v>
      </c>
      <c r="E2102" t="s">
        <v>110</v>
      </c>
      <c r="F2102">
        <v>410</v>
      </c>
      <c r="G2102">
        <v>2033</v>
      </c>
      <c r="H2102">
        <v>5</v>
      </c>
      <c r="I2102">
        <v>2</v>
      </c>
    </row>
    <row r="2103" spans="1:9" x14ac:dyDescent="0.35">
      <c r="A2103" t="str">
        <f t="shared" si="32"/>
        <v>DAco2_emissionS1203352</v>
      </c>
      <c r="B2103" t="s">
        <v>95</v>
      </c>
      <c r="C2103" t="s">
        <v>99</v>
      </c>
      <c r="D2103" t="s">
        <v>204</v>
      </c>
      <c r="E2103" t="s">
        <v>110</v>
      </c>
      <c r="F2103">
        <v>88241.420171954829</v>
      </c>
      <c r="G2103">
        <v>2033</v>
      </c>
      <c r="H2103">
        <v>5</v>
      </c>
      <c r="I2103">
        <v>2</v>
      </c>
    </row>
    <row r="2104" spans="1:9" x14ac:dyDescent="0.35">
      <c r="A2104" t="str">
        <f t="shared" si="32"/>
        <v>fcrincomeS1203352</v>
      </c>
      <c r="C2104" t="s">
        <v>102</v>
      </c>
      <c r="D2104" t="s">
        <v>101</v>
      </c>
      <c r="E2104" t="s">
        <v>110</v>
      </c>
      <c r="F2104">
        <v>10.85549990962984</v>
      </c>
      <c r="G2104">
        <v>2033</v>
      </c>
      <c r="H2104">
        <v>5</v>
      </c>
      <c r="I2104">
        <v>2</v>
      </c>
    </row>
    <row r="2105" spans="1:9" x14ac:dyDescent="0.35">
      <c r="A2105" t="str">
        <f t="shared" si="32"/>
        <v>fcractivation_hoursS1203352</v>
      </c>
      <c r="C2105" t="s">
        <v>102</v>
      </c>
      <c r="D2105" t="s">
        <v>115</v>
      </c>
      <c r="E2105" t="s">
        <v>110</v>
      </c>
      <c r="F2105">
        <v>12</v>
      </c>
      <c r="G2105">
        <v>2033</v>
      </c>
      <c r="H2105">
        <v>5</v>
      </c>
      <c r="I2105">
        <v>2</v>
      </c>
    </row>
    <row r="2106" spans="1:9" x14ac:dyDescent="0.35">
      <c r="A2106" t="str">
        <f t="shared" si="32"/>
        <v>afrrincomeS1203352</v>
      </c>
      <c r="C2106" t="s">
        <v>103</v>
      </c>
      <c r="D2106" t="s">
        <v>101</v>
      </c>
      <c r="E2106" t="s">
        <v>110</v>
      </c>
      <c r="F2106">
        <v>134771.2727898075</v>
      </c>
      <c r="G2106">
        <v>2033</v>
      </c>
      <c r="H2106">
        <v>5</v>
      </c>
      <c r="I2106">
        <v>2</v>
      </c>
    </row>
    <row r="2107" spans="1:9" x14ac:dyDescent="0.35">
      <c r="A2107" t="str">
        <f t="shared" si="32"/>
        <v>afrractivation_hoursS1203352</v>
      </c>
      <c r="C2107" t="s">
        <v>103</v>
      </c>
      <c r="D2107" t="s">
        <v>115</v>
      </c>
      <c r="E2107" t="s">
        <v>110</v>
      </c>
      <c r="F2107">
        <v>8533</v>
      </c>
      <c r="G2107">
        <v>2033</v>
      </c>
      <c r="H2107">
        <v>5</v>
      </c>
      <c r="I2107">
        <v>2</v>
      </c>
    </row>
    <row r="2108" spans="1:9" x14ac:dyDescent="0.35">
      <c r="A2108" t="str">
        <f t="shared" si="32"/>
        <v>networkturpe_power_costS1203452</v>
      </c>
      <c r="C2108" t="s">
        <v>96</v>
      </c>
      <c r="D2108" t="s">
        <v>97</v>
      </c>
      <c r="E2108" t="s">
        <v>110</v>
      </c>
      <c r="F2108">
        <v>12158.552250405341</v>
      </c>
      <c r="G2108">
        <v>2034</v>
      </c>
      <c r="H2108">
        <v>5</v>
      </c>
      <c r="I2108">
        <v>2</v>
      </c>
    </row>
    <row r="2109" spans="1:9" x14ac:dyDescent="0.35">
      <c r="A2109" t="str">
        <f t="shared" si="32"/>
        <v>networkturpe_energy_costS1203452</v>
      </c>
      <c r="C2109" t="s">
        <v>96</v>
      </c>
      <c r="D2109" t="s">
        <v>98</v>
      </c>
      <c r="E2109" t="s">
        <v>110</v>
      </c>
      <c r="F2109">
        <v>20121.53675652128</v>
      </c>
      <c r="G2109">
        <v>2034</v>
      </c>
      <c r="H2109">
        <v>5</v>
      </c>
      <c r="I2109">
        <v>2</v>
      </c>
    </row>
    <row r="2110" spans="1:9" x14ac:dyDescent="0.35">
      <c r="A2110" t="str">
        <f t="shared" si="32"/>
        <v>DAcostS1203452</v>
      </c>
      <c r="C2110" t="s">
        <v>99</v>
      </c>
      <c r="D2110" t="s">
        <v>100</v>
      </c>
      <c r="E2110" t="s">
        <v>110</v>
      </c>
      <c r="F2110">
        <v>60677.358565165487</v>
      </c>
      <c r="G2110">
        <v>2034</v>
      </c>
      <c r="H2110">
        <v>5</v>
      </c>
      <c r="I2110">
        <v>2</v>
      </c>
    </row>
    <row r="2111" spans="1:9" x14ac:dyDescent="0.35">
      <c r="A2111" t="str">
        <f t="shared" si="32"/>
        <v>DAincomeS1203452</v>
      </c>
      <c r="C2111" t="s">
        <v>99</v>
      </c>
      <c r="D2111" t="s">
        <v>101</v>
      </c>
      <c r="E2111" t="s">
        <v>110</v>
      </c>
      <c r="F2111">
        <v>114207.64421887881</v>
      </c>
      <c r="G2111">
        <v>2034</v>
      </c>
      <c r="H2111">
        <v>5</v>
      </c>
      <c r="I2111">
        <v>2</v>
      </c>
    </row>
    <row r="2112" spans="1:9" x14ac:dyDescent="0.35">
      <c r="A2112" t="str">
        <f t="shared" si="32"/>
        <v>DAenergy_boughtS1203452</v>
      </c>
      <c r="C2112" t="s">
        <v>99</v>
      </c>
      <c r="D2112" t="s">
        <v>111</v>
      </c>
      <c r="E2112" t="s">
        <v>110</v>
      </c>
      <c r="F2112">
        <v>1298.359611188049</v>
      </c>
      <c r="G2112">
        <v>2034</v>
      </c>
      <c r="H2112">
        <v>5</v>
      </c>
      <c r="I2112">
        <v>2</v>
      </c>
    </row>
    <row r="2113" spans="1:9" x14ac:dyDescent="0.35">
      <c r="A2113" t="str">
        <f t="shared" si="32"/>
        <v>DAenergy_soldS1203452</v>
      </c>
      <c r="C2113" t="s">
        <v>99</v>
      </c>
      <c r="D2113" t="s">
        <v>112</v>
      </c>
      <c r="E2113" t="s">
        <v>110</v>
      </c>
      <c r="F2113">
        <v>1036.1389583584621</v>
      </c>
      <c r="G2113">
        <v>2034</v>
      </c>
      <c r="H2113">
        <v>5</v>
      </c>
      <c r="I2113">
        <v>2</v>
      </c>
    </row>
    <row r="2114" spans="1:9" x14ac:dyDescent="0.35">
      <c r="A2114" t="str">
        <f t="shared" si="32"/>
        <v>DAhours_boughtS1203452</v>
      </c>
      <c r="B2114" t="s">
        <v>95</v>
      </c>
      <c r="C2114" t="s">
        <v>99</v>
      </c>
      <c r="D2114" t="s">
        <v>113</v>
      </c>
      <c r="E2114" t="s">
        <v>110</v>
      </c>
      <c r="F2114">
        <v>1872</v>
      </c>
      <c r="G2114">
        <v>2034</v>
      </c>
      <c r="H2114">
        <v>5</v>
      </c>
      <c r="I2114">
        <v>2</v>
      </c>
    </row>
    <row r="2115" spans="1:9" x14ac:dyDescent="0.35">
      <c r="A2115" t="str">
        <f t="shared" ref="A2115:A2178" si="33">C2115&amp;D2115&amp;E2115&amp;G2115&amp;H2115&amp;I2115</f>
        <v>DAhours_soldS1203452</v>
      </c>
      <c r="B2115" t="s">
        <v>95</v>
      </c>
      <c r="C2115" t="s">
        <v>99</v>
      </c>
      <c r="D2115" t="s">
        <v>114</v>
      </c>
      <c r="E2115" t="s">
        <v>110</v>
      </c>
      <c r="F2115">
        <v>394</v>
      </c>
      <c r="G2115">
        <v>2034</v>
      </c>
      <c r="H2115">
        <v>5</v>
      </c>
      <c r="I2115">
        <v>2</v>
      </c>
    </row>
    <row r="2116" spans="1:9" x14ac:dyDescent="0.35">
      <c r="A2116" t="str">
        <f t="shared" si="33"/>
        <v>DAco2_emissionS1203452</v>
      </c>
      <c r="C2116" t="s">
        <v>99</v>
      </c>
      <c r="D2116" t="s">
        <v>204</v>
      </c>
      <c r="E2116" t="s">
        <v>110</v>
      </c>
      <c r="F2116">
        <v>90885.172783164206</v>
      </c>
      <c r="G2116">
        <v>2034</v>
      </c>
      <c r="H2116">
        <v>5</v>
      </c>
      <c r="I2116">
        <v>2</v>
      </c>
    </row>
    <row r="2117" spans="1:9" x14ac:dyDescent="0.35">
      <c r="A2117" t="str">
        <f t="shared" si="33"/>
        <v>fcrincomeS1203452</v>
      </c>
      <c r="C2117" t="s">
        <v>102</v>
      </c>
      <c r="D2117" t="s">
        <v>101</v>
      </c>
      <c r="E2117" t="s">
        <v>110</v>
      </c>
      <c r="F2117">
        <v>1.76873429201587</v>
      </c>
      <c r="G2117">
        <v>2034</v>
      </c>
      <c r="H2117">
        <v>5</v>
      </c>
      <c r="I2117">
        <v>2</v>
      </c>
    </row>
    <row r="2118" spans="1:9" x14ac:dyDescent="0.35">
      <c r="A2118" t="str">
        <f t="shared" si="33"/>
        <v>fcractivation_hoursS1203452</v>
      </c>
      <c r="C2118" t="s">
        <v>102</v>
      </c>
      <c r="D2118" t="s">
        <v>115</v>
      </c>
      <c r="E2118" t="s">
        <v>110</v>
      </c>
      <c r="F2118">
        <v>4</v>
      </c>
      <c r="G2118">
        <v>2034</v>
      </c>
      <c r="H2118">
        <v>5</v>
      </c>
      <c r="I2118">
        <v>2</v>
      </c>
    </row>
    <row r="2119" spans="1:9" x14ac:dyDescent="0.35">
      <c r="A2119" t="str">
        <f t="shared" si="33"/>
        <v>afrrincomeS1203452</v>
      </c>
      <c r="C2119" t="s">
        <v>103</v>
      </c>
      <c r="D2119" t="s">
        <v>101</v>
      </c>
      <c r="E2119" t="s">
        <v>110</v>
      </c>
      <c r="F2119">
        <v>141821.87724720771</v>
      </c>
      <c r="G2119">
        <v>2034</v>
      </c>
      <c r="H2119">
        <v>5</v>
      </c>
      <c r="I2119">
        <v>2</v>
      </c>
    </row>
    <row r="2120" spans="1:9" x14ac:dyDescent="0.35">
      <c r="A2120" t="str">
        <f t="shared" si="33"/>
        <v>afrractivation_hoursS1203452</v>
      </c>
      <c r="C2120" t="s">
        <v>103</v>
      </c>
      <c r="D2120" t="s">
        <v>115</v>
      </c>
      <c r="E2120" t="s">
        <v>110</v>
      </c>
      <c r="F2120">
        <v>8568</v>
      </c>
      <c r="G2120">
        <v>2034</v>
      </c>
      <c r="H2120">
        <v>5</v>
      </c>
      <c r="I2120">
        <v>2</v>
      </c>
    </row>
    <row r="2121" spans="1:9" x14ac:dyDescent="0.35">
      <c r="A2121" t="str">
        <f t="shared" si="33"/>
        <v>networkturpe_power_costS1203552</v>
      </c>
      <c r="C2121" t="s">
        <v>96</v>
      </c>
      <c r="D2121" t="s">
        <v>97</v>
      </c>
      <c r="E2121" t="s">
        <v>110</v>
      </c>
      <c r="F2121">
        <v>11825.65754335239</v>
      </c>
      <c r="G2121">
        <v>2035</v>
      </c>
      <c r="H2121">
        <v>5</v>
      </c>
      <c r="I2121">
        <v>2</v>
      </c>
    </row>
    <row r="2122" spans="1:9" x14ac:dyDescent="0.35">
      <c r="A2122" t="str">
        <f t="shared" si="33"/>
        <v>networkturpe_energy_costS1203552</v>
      </c>
      <c r="C2122" t="s">
        <v>96</v>
      </c>
      <c r="D2122" t="s">
        <v>98</v>
      </c>
      <c r="E2122" t="s">
        <v>110</v>
      </c>
      <c r="F2122">
        <v>19254.513138360351</v>
      </c>
      <c r="G2122">
        <v>2035</v>
      </c>
      <c r="H2122">
        <v>5</v>
      </c>
      <c r="I2122">
        <v>2</v>
      </c>
    </row>
    <row r="2123" spans="1:9" x14ac:dyDescent="0.35">
      <c r="A2123" t="str">
        <f t="shared" si="33"/>
        <v>DAcostS1203552</v>
      </c>
      <c r="C2123" t="s">
        <v>99</v>
      </c>
      <c r="D2123" t="s">
        <v>100</v>
      </c>
      <c r="E2123" t="s">
        <v>110</v>
      </c>
      <c r="F2123">
        <v>55050.764595170578</v>
      </c>
      <c r="G2123">
        <v>2035</v>
      </c>
      <c r="H2123">
        <v>5</v>
      </c>
      <c r="I2123">
        <v>2</v>
      </c>
    </row>
    <row r="2124" spans="1:9" x14ac:dyDescent="0.35">
      <c r="A2124" t="str">
        <f t="shared" si="33"/>
        <v>DAincomeS1203552</v>
      </c>
      <c r="C2124" t="s">
        <v>99</v>
      </c>
      <c r="D2124" t="s">
        <v>101</v>
      </c>
      <c r="E2124" t="s">
        <v>110</v>
      </c>
      <c r="F2124">
        <v>105861.6221189825</v>
      </c>
      <c r="G2124">
        <v>2035</v>
      </c>
      <c r="H2124">
        <v>5</v>
      </c>
      <c r="I2124">
        <v>2</v>
      </c>
    </row>
    <row r="2125" spans="1:9" x14ac:dyDescent="0.35">
      <c r="A2125" t="str">
        <f t="shared" si="33"/>
        <v>DAenergy_boughtS1203552</v>
      </c>
      <c r="C2125" t="s">
        <v>99</v>
      </c>
      <c r="D2125" t="s">
        <v>111</v>
      </c>
      <c r="E2125" t="s">
        <v>110</v>
      </c>
      <c r="F2125">
        <v>1238.2095885117269</v>
      </c>
      <c r="G2125">
        <v>2035</v>
      </c>
      <c r="H2125">
        <v>5</v>
      </c>
      <c r="I2125">
        <v>2</v>
      </c>
    </row>
    <row r="2126" spans="1:9" x14ac:dyDescent="0.35">
      <c r="A2126" t="str">
        <f t="shared" si="33"/>
        <v>DAenergy_soldS1203552</v>
      </c>
      <c r="B2126" t="s">
        <v>95</v>
      </c>
      <c r="C2126" t="s">
        <v>99</v>
      </c>
      <c r="D2126" t="s">
        <v>112</v>
      </c>
      <c r="E2126" t="s">
        <v>110</v>
      </c>
      <c r="F2126">
        <v>987.81756732798181</v>
      </c>
      <c r="G2126">
        <v>2035</v>
      </c>
      <c r="H2126">
        <v>5</v>
      </c>
      <c r="I2126">
        <v>2</v>
      </c>
    </row>
    <row r="2127" spans="1:9" x14ac:dyDescent="0.35">
      <c r="A2127" t="str">
        <f t="shared" si="33"/>
        <v>DAhours_boughtS1203552</v>
      </c>
      <c r="B2127" t="s">
        <v>95</v>
      </c>
      <c r="C2127" t="s">
        <v>99</v>
      </c>
      <c r="D2127" t="s">
        <v>113</v>
      </c>
      <c r="E2127" t="s">
        <v>110</v>
      </c>
      <c r="F2127">
        <v>1871</v>
      </c>
      <c r="G2127">
        <v>2035</v>
      </c>
      <c r="H2127">
        <v>5</v>
      </c>
      <c r="I2127">
        <v>2</v>
      </c>
    </row>
    <row r="2128" spans="1:9" x14ac:dyDescent="0.35">
      <c r="A2128" t="str">
        <f t="shared" si="33"/>
        <v>DAhours_soldS1203552</v>
      </c>
      <c r="C2128" t="s">
        <v>99</v>
      </c>
      <c r="D2128" t="s">
        <v>114</v>
      </c>
      <c r="E2128" t="s">
        <v>110</v>
      </c>
      <c r="F2128">
        <v>402</v>
      </c>
      <c r="G2128">
        <v>2035</v>
      </c>
      <c r="H2128">
        <v>5</v>
      </c>
      <c r="I2128">
        <v>2</v>
      </c>
    </row>
    <row r="2129" spans="1:9" x14ac:dyDescent="0.35">
      <c r="A2129" t="str">
        <f t="shared" si="33"/>
        <v>DAco2_emissionS1203552</v>
      </c>
      <c r="C2129" t="s">
        <v>99</v>
      </c>
      <c r="D2129" t="s">
        <v>204</v>
      </c>
      <c r="E2129" t="s">
        <v>110</v>
      </c>
      <c r="F2129">
        <v>86674.671195821371</v>
      </c>
      <c r="G2129">
        <v>2035</v>
      </c>
      <c r="H2129">
        <v>5</v>
      </c>
      <c r="I2129">
        <v>2</v>
      </c>
    </row>
    <row r="2130" spans="1:9" x14ac:dyDescent="0.35">
      <c r="A2130" t="str">
        <f t="shared" si="33"/>
        <v>fcrincomeS1203552</v>
      </c>
      <c r="C2130" t="s">
        <v>102</v>
      </c>
      <c r="D2130" t="s">
        <v>101</v>
      </c>
      <c r="E2130" t="s">
        <v>110</v>
      </c>
      <c r="F2130">
        <v>0</v>
      </c>
      <c r="G2130">
        <v>2035</v>
      </c>
      <c r="H2130">
        <v>5</v>
      </c>
      <c r="I2130">
        <v>2</v>
      </c>
    </row>
    <row r="2131" spans="1:9" x14ac:dyDescent="0.35">
      <c r="A2131" t="str">
        <f t="shared" si="33"/>
        <v>fcractivation_hoursS1203552</v>
      </c>
      <c r="C2131" t="s">
        <v>102</v>
      </c>
      <c r="D2131" t="s">
        <v>115</v>
      </c>
      <c r="E2131" t="s">
        <v>110</v>
      </c>
      <c r="F2131">
        <v>0</v>
      </c>
      <c r="G2131">
        <v>2035</v>
      </c>
      <c r="H2131">
        <v>5</v>
      </c>
      <c r="I2131">
        <v>2</v>
      </c>
    </row>
    <row r="2132" spans="1:9" x14ac:dyDescent="0.35">
      <c r="A2132" t="str">
        <f t="shared" si="33"/>
        <v>afrrincomeS1203552</v>
      </c>
      <c r="C2132" t="s">
        <v>103</v>
      </c>
      <c r="D2132" t="s">
        <v>101</v>
      </c>
      <c r="E2132" t="s">
        <v>110</v>
      </c>
      <c r="F2132">
        <v>141061.7017405419</v>
      </c>
      <c r="G2132">
        <v>2035</v>
      </c>
      <c r="H2132">
        <v>5</v>
      </c>
      <c r="I2132">
        <v>2</v>
      </c>
    </row>
    <row r="2133" spans="1:9" x14ac:dyDescent="0.35">
      <c r="A2133" t="str">
        <f t="shared" si="33"/>
        <v>afrractivation_hoursS1203552</v>
      </c>
      <c r="C2133" t="s">
        <v>103</v>
      </c>
      <c r="D2133" t="s">
        <v>115</v>
      </c>
      <c r="E2133" t="s">
        <v>110</v>
      </c>
      <c r="F2133">
        <v>8558</v>
      </c>
      <c r="G2133">
        <v>2035</v>
      </c>
      <c r="H2133">
        <v>5</v>
      </c>
      <c r="I2133">
        <v>2</v>
      </c>
    </row>
    <row r="2134" spans="1:9" x14ac:dyDescent="0.35">
      <c r="A2134" t="str">
        <f t="shared" si="33"/>
        <v>networkturpe_power_costS1203652</v>
      </c>
      <c r="C2134" t="s">
        <v>96</v>
      </c>
      <c r="D2134" t="s">
        <v>97</v>
      </c>
      <c r="E2134" t="s">
        <v>110</v>
      </c>
      <c r="F2134">
        <v>11468.17486436917</v>
      </c>
      <c r="G2134">
        <v>2036</v>
      </c>
      <c r="H2134">
        <v>5</v>
      </c>
      <c r="I2134">
        <v>2</v>
      </c>
    </row>
    <row r="2135" spans="1:9" x14ac:dyDescent="0.35">
      <c r="A2135" t="str">
        <f t="shared" si="33"/>
        <v>networkturpe_energy_costS1203652</v>
      </c>
      <c r="C2135" t="s">
        <v>96</v>
      </c>
      <c r="D2135" t="s">
        <v>98</v>
      </c>
      <c r="E2135" t="s">
        <v>110</v>
      </c>
      <c r="F2135">
        <v>18692.227107885181</v>
      </c>
      <c r="G2135">
        <v>2036</v>
      </c>
      <c r="H2135">
        <v>5</v>
      </c>
      <c r="I2135">
        <v>2</v>
      </c>
    </row>
    <row r="2136" spans="1:9" x14ac:dyDescent="0.35">
      <c r="A2136" t="str">
        <f t="shared" si="33"/>
        <v>DAcostS1203652</v>
      </c>
      <c r="C2136" t="s">
        <v>99</v>
      </c>
      <c r="D2136" t="s">
        <v>100</v>
      </c>
      <c r="E2136" t="s">
        <v>110</v>
      </c>
      <c r="F2136">
        <v>54565.940574978653</v>
      </c>
      <c r="G2136">
        <v>2036</v>
      </c>
      <c r="H2136">
        <v>5</v>
      </c>
      <c r="I2136">
        <v>2</v>
      </c>
    </row>
    <row r="2137" spans="1:9" x14ac:dyDescent="0.35">
      <c r="A2137" t="str">
        <f t="shared" si="33"/>
        <v>DAincomeS1203652</v>
      </c>
      <c r="C2137" t="s">
        <v>99</v>
      </c>
      <c r="D2137" t="s">
        <v>101</v>
      </c>
      <c r="E2137" t="s">
        <v>110</v>
      </c>
      <c r="F2137">
        <v>105351.72201761779</v>
      </c>
      <c r="G2137">
        <v>2036</v>
      </c>
      <c r="H2137">
        <v>5</v>
      </c>
      <c r="I2137">
        <v>2</v>
      </c>
    </row>
    <row r="2138" spans="1:9" x14ac:dyDescent="0.35">
      <c r="A2138" t="str">
        <f t="shared" si="33"/>
        <v>DAenergy_boughtS1203652</v>
      </c>
      <c r="B2138" t="s">
        <v>95</v>
      </c>
      <c r="C2138" t="s">
        <v>99</v>
      </c>
      <c r="D2138" t="s">
        <v>111</v>
      </c>
      <c r="E2138" t="s">
        <v>110</v>
      </c>
      <c r="F2138">
        <v>1202.5871629711989</v>
      </c>
      <c r="G2138">
        <v>2036</v>
      </c>
      <c r="H2138">
        <v>5</v>
      </c>
      <c r="I2138">
        <v>2</v>
      </c>
    </row>
    <row r="2139" spans="1:9" x14ac:dyDescent="0.35">
      <c r="A2139" t="str">
        <f t="shared" si="33"/>
        <v>DAenergy_soldS1203652</v>
      </c>
      <c r="B2139" t="s">
        <v>95</v>
      </c>
      <c r="C2139" t="s">
        <v>99</v>
      </c>
      <c r="D2139" t="s">
        <v>112</v>
      </c>
      <c r="E2139" t="s">
        <v>110</v>
      </c>
      <c r="F2139">
        <v>959.51953191024165</v>
      </c>
      <c r="G2139">
        <v>2036</v>
      </c>
      <c r="H2139">
        <v>5</v>
      </c>
      <c r="I2139">
        <v>2</v>
      </c>
    </row>
    <row r="2140" spans="1:9" x14ac:dyDescent="0.35">
      <c r="A2140" t="str">
        <f t="shared" si="33"/>
        <v>DAhours_boughtS1203652</v>
      </c>
      <c r="C2140" t="s">
        <v>99</v>
      </c>
      <c r="D2140" t="s">
        <v>113</v>
      </c>
      <c r="E2140" t="s">
        <v>110</v>
      </c>
      <c r="F2140">
        <v>1820</v>
      </c>
      <c r="G2140">
        <v>2036</v>
      </c>
      <c r="H2140">
        <v>5</v>
      </c>
      <c r="I2140">
        <v>2</v>
      </c>
    </row>
    <row r="2141" spans="1:9" x14ac:dyDescent="0.35">
      <c r="A2141" t="str">
        <f t="shared" si="33"/>
        <v>DAhours_soldS1203652</v>
      </c>
      <c r="C2141" t="s">
        <v>99</v>
      </c>
      <c r="D2141" t="s">
        <v>114</v>
      </c>
      <c r="E2141" t="s">
        <v>110</v>
      </c>
      <c r="F2141">
        <v>417</v>
      </c>
      <c r="G2141">
        <v>2036</v>
      </c>
      <c r="H2141">
        <v>5</v>
      </c>
      <c r="I2141">
        <v>2</v>
      </c>
    </row>
    <row r="2142" spans="1:9" x14ac:dyDescent="0.35">
      <c r="A2142" t="str">
        <f t="shared" si="33"/>
        <v>DAco2_emissionS1203652</v>
      </c>
      <c r="C2142" t="s">
        <v>99</v>
      </c>
      <c r="D2142" t="s">
        <v>204</v>
      </c>
      <c r="E2142" t="s">
        <v>110</v>
      </c>
      <c r="F2142">
        <v>84181.101407983471</v>
      </c>
      <c r="G2142">
        <v>2036</v>
      </c>
      <c r="H2142">
        <v>5</v>
      </c>
      <c r="I2142">
        <v>2</v>
      </c>
    </row>
    <row r="2143" spans="1:9" x14ac:dyDescent="0.35">
      <c r="A2143" t="str">
        <f t="shared" si="33"/>
        <v>fcrincomeS1203652</v>
      </c>
      <c r="C2143" t="s">
        <v>102</v>
      </c>
      <c r="D2143" t="s">
        <v>101</v>
      </c>
      <c r="E2143" t="s">
        <v>110</v>
      </c>
      <c r="F2143">
        <v>3.429283401037635</v>
      </c>
      <c r="G2143">
        <v>2036</v>
      </c>
      <c r="H2143">
        <v>5</v>
      </c>
      <c r="I2143">
        <v>2</v>
      </c>
    </row>
    <row r="2144" spans="1:9" x14ac:dyDescent="0.35">
      <c r="A2144" t="str">
        <f t="shared" si="33"/>
        <v>fcractivation_hoursS1203652</v>
      </c>
      <c r="C2144" t="s">
        <v>102</v>
      </c>
      <c r="D2144" t="s">
        <v>115</v>
      </c>
      <c r="E2144" t="s">
        <v>110</v>
      </c>
      <c r="F2144">
        <v>4</v>
      </c>
      <c r="G2144">
        <v>2036</v>
      </c>
      <c r="H2144">
        <v>5</v>
      </c>
      <c r="I2144">
        <v>2</v>
      </c>
    </row>
    <row r="2145" spans="1:9" x14ac:dyDescent="0.35">
      <c r="A2145" t="str">
        <f t="shared" si="33"/>
        <v>afrrincomeS1203652</v>
      </c>
      <c r="C2145" t="s">
        <v>103</v>
      </c>
      <c r="D2145" t="s">
        <v>101</v>
      </c>
      <c r="E2145" t="s">
        <v>110</v>
      </c>
      <c r="F2145">
        <v>133705.6074485828</v>
      </c>
      <c r="G2145">
        <v>2036</v>
      </c>
      <c r="H2145">
        <v>5</v>
      </c>
      <c r="I2145">
        <v>2</v>
      </c>
    </row>
    <row r="2146" spans="1:9" x14ac:dyDescent="0.35">
      <c r="A2146" t="str">
        <f t="shared" si="33"/>
        <v>afrractivation_hoursS1203652</v>
      </c>
      <c r="C2146" t="s">
        <v>103</v>
      </c>
      <c r="D2146" t="s">
        <v>115</v>
      </c>
      <c r="E2146" t="s">
        <v>110</v>
      </c>
      <c r="F2146">
        <v>8510</v>
      </c>
      <c r="G2146">
        <v>2036</v>
      </c>
      <c r="H2146">
        <v>5</v>
      </c>
      <c r="I2146">
        <v>2</v>
      </c>
    </row>
    <row r="2147" spans="1:9" x14ac:dyDescent="0.35">
      <c r="A2147" t="str">
        <f t="shared" si="33"/>
        <v>networkturpe_power_costS1203752</v>
      </c>
      <c r="C2147" t="s">
        <v>96</v>
      </c>
      <c r="D2147" t="s">
        <v>97</v>
      </c>
      <c r="E2147" t="s">
        <v>110</v>
      </c>
      <c r="F2147">
        <v>10615.86320205535</v>
      </c>
      <c r="G2147">
        <v>2037</v>
      </c>
      <c r="H2147">
        <v>5</v>
      </c>
      <c r="I2147">
        <v>2</v>
      </c>
    </row>
    <row r="2148" spans="1:9" x14ac:dyDescent="0.35">
      <c r="A2148" t="str">
        <f t="shared" si="33"/>
        <v>networkturpe_energy_costS1203752</v>
      </c>
      <c r="C2148" t="s">
        <v>96</v>
      </c>
      <c r="D2148" t="s">
        <v>98</v>
      </c>
      <c r="E2148" t="s">
        <v>110</v>
      </c>
      <c r="F2148">
        <v>16476.25546441762</v>
      </c>
      <c r="G2148">
        <v>2037</v>
      </c>
      <c r="H2148">
        <v>5</v>
      </c>
      <c r="I2148">
        <v>2</v>
      </c>
    </row>
    <row r="2149" spans="1:9" x14ac:dyDescent="0.35">
      <c r="A2149" t="str">
        <f t="shared" si="33"/>
        <v>DAcostS1203752</v>
      </c>
      <c r="C2149" t="s">
        <v>99</v>
      </c>
      <c r="D2149" t="s">
        <v>100</v>
      </c>
      <c r="E2149" t="s">
        <v>110</v>
      </c>
      <c r="F2149">
        <v>46002.447308279181</v>
      </c>
      <c r="G2149">
        <v>2037</v>
      </c>
      <c r="H2149">
        <v>5</v>
      </c>
      <c r="I2149">
        <v>2</v>
      </c>
    </row>
    <row r="2150" spans="1:9" x14ac:dyDescent="0.35">
      <c r="A2150" t="str">
        <f t="shared" si="33"/>
        <v>DAincomeS1203752</v>
      </c>
      <c r="B2150" t="s">
        <v>95</v>
      </c>
      <c r="C2150" t="s">
        <v>99</v>
      </c>
      <c r="D2150" t="s">
        <v>101</v>
      </c>
      <c r="E2150" t="s">
        <v>110</v>
      </c>
      <c r="F2150">
        <v>90431.093854959181</v>
      </c>
      <c r="G2150">
        <v>2037</v>
      </c>
      <c r="H2150">
        <v>5</v>
      </c>
      <c r="I2150">
        <v>2</v>
      </c>
    </row>
    <row r="2151" spans="1:9" x14ac:dyDescent="0.35">
      <c r="A2151" t="str">
        <f t="shared" si="33"/>
        <v>DAenergy_boughtS1203752</v>
      </c>
      <c r="B2151" t="s">
        <v>95</v>
      </c>
      <c r="C2151" t="s">
        <v>99</v>
      </c>
      <c r="D2151" t="s">
        <v>111</v>
      </c>
      <c r="E2151" t="s">
        <v>110</v>
      </c>
      <c r="F2151">
        <v>1056.4719350743101</v>
      </c>
      <c r="G2151">
        <v>2037</v>
      </c>
      <c r="H2151">
        <v>5</v>
      </c>
      <c r="I2151">
        <v>2</v>
      </c>
    </row>
    <row r="2152" spans="1:9" x14ac:dyDescent="0.35">
      <c r="A2152" t="str">
        <f t="shared" si="33"/>
        <v>DAenergy_soldS1203752</v>
      </c>
      <c r="C2152" t="s">
        <v>99</v>
      </c>
      <c r="D2152" t="s">
        <v>112</v>
      </c>
      <c r="E2152" t="s">
        <v>110</v>
      </c>
      <c r="F2152">
        <v>841.30515026301396</v>
      </c>
      <c r="G2152">
        <v>2037</v>
      </c>
      <c r="H2152">
        <v>5</v>
      </c>
      <c r="I2152">
        <v>2</v>
      </c>
    </row>
    <row r="2153" spans="1:9" x14ac:dyDescent="0.35">
      <c r="A2153" t="str">
        <f t="shared" si="33"/>
        <v>DAhours_boughtS1203752</v>
      </c>
      <c r="C2153" t="s">
        <v>99</v>
      </c>
      <c r="D2153" t="s">
        <v>113</v>
      </c>
      <c r="E2153" t="s">
        <v>110</v>
      </c>
      <c r="F2153">
        <v>1872</v>
      </c>
      <c r="G2153">
        <v>2037</v>
      </c>
      <c r="H2153">
        <v>5</v>
      </c>
      <c r="I2153">
        <v>2</v>
      </c>
    </row>
    <row r="2154" spans="1:9" x14ac:dyDescent="0.35">
      <c r="A2154" t="str">
        <f t="shared" si="33"/>
        <v>DAhours_soldS1203752</v>
      </c>
      <c r="C2154" t="s">
        <v>99</v>
      </c>
      <c r="D2154" t="s">
        <v>114</v>
      </c>
      <c r="E2154" t="s">
        <v>110</v>
      </c>
      <c r="F2154">
        <v>391</v>
      </c>
      <c r="G2154">
        <v>2037</v>
      </c>
      <c r="H2154">
        <v>5</v>
      </c>
      <c r="I2154">
        <v>2</v>
      </c>
    </row>
    <row r="2155" spans="1:9" x14ac:dyDescent="0.35">
      <c r="A2155" t="str">
        <f t="shared" si="33"/>
        <v>DAco2_emissionS1203752</v>
      </c>
      <c r="C2155" t="s">
        <v>99</v>
      </c>
      <c r="D2155" t="s">
        <v>204</v>
      </c>
      <c r="E2155" t="s">
        <v>110</v>
      </c>
      <c r="F2155">
        <v>73953.0354552028</v>
      </c>
      <c r="G2155">
        <v>2037</v>
      </c>
      <c r="H2155">
        <v>5</v>
      </c>
      <c r="I2155">
        <v>2</v>
      </c>
    </row>
    <row r="2156" spans="1:9" x14ac:dyDescent="0.35">
      <c r="A2156" t="str">
        <f t="shared" si="33"/>
        <v>fcrincomeS1203752</v>
      </c>
      <c r="C2156" t="s">
        <v>102</v>
      </c>
      <c r="D2156" t="s">
        <v>101</v>
      </c>
      <c r="E2156" t="s">
        <v>110</v>
      </c>
      <c r="F2156">
        <v>3.2261693843046988</v>
      </c>
      <c r="G2156">
        <v>2037</v>
      </c>
      <c r="H2156">
        <v>5</v>
      </c>
      <c r="I2156">
        <v>2</v>
      </c>
    </row>
    <row r="2157" spans="1:9" x14ac:dyDescent="0.35">
      <c r="A2157" t="str">
        <f t="shared" si="33"/>
        <v>fcractivation_hoursS1203752</v>
      </c>
      <c r="C2157" t="s">
        <v>102</v>
      </c>
      <c r="D2157" t="s">
        <v>115</v>
      </c>
      <c r="E2157" t="s">
        <v>110</v>
      </c>
      <c r="F2157">
        <v>8</v>
      </c>
      <c r="G2157">
        <v>2037</v>
      </c>
      <c r="H2157">
        <v>5</v>
      </c>
      <c r="I2157">
        <v>2</v>
      </c>
    </row>
    <row r="2158" spans="1:9" x14ac:dyDescent="0.35">
      <c r="A2158" t="str">
        <f t="shared" si="33"/>
        <v>afrrincomeS1203752</v>
      </c>
      <c r="C2158" t="s">
        <v>103</v>
      </c>
      <c r="D2158" t="s">
        <v>101</v>
      </c>
      <c r="E2158" t="s">
        <v>110</v>
      </c>
      <c r="F2158">
        <v>139048.6945759886</v>
      </c>
      <c r="G2158">
        <v>2037</v>
      </c>
      <c r="H2158">
        <v>5</v>
      </c>
      <c r="I2158">
        <v>2</v>
      </c>
    </row>
    <row r="2159" spans="1:9" x14ac:dyDescent="0.35">
      <c r="A2159" t="str">
        <f t="shared" si="33"/>
        <v>afrractivation_hoursS1203752</v>
      </c>
      <c r="C2159" t="s">
        <v>103</v>
      </c>
      <c r="D2159" t="s">
        <v>115</v>
      </c>
      <c r="E2159" t="s">
        <v>110</v>
      </c>
      <c r="F2159">
        <v>8566</v>
      </c>
      <c r="G2159">
        <v>2037</v>
      </c>
      <c r="H2159">
        <v>5</v>
      </c>
      <c r="I2159">
        <v>2</v>
      </c>
    </row>
    <row r="2160" spans="1:9" x14ac:dyDescent="0.35">
      <c r="A2160" t="str">
        <f t="shared" si="33"/>
        <v>networkturpe_power_costS1203852</v>
      </c>
      <c r="C2160" t="s">
        <v>96</v>
      </c>
      <c r="D2160" t="s">
        <v>97</v>
      </c>
      <c r="E2160" t="s">
        <v>110</v>
      </c>
      <c r="F2160">
        <v>10795.204671868019</v>
      </c>
      <c r="G2160">
        <v>2038</v>
      </c>
      <c r="H2160">
        <v>5</v>
      </c>
      <c r="I2160">
        <v>2</v>
      </c>
    </row>
    <row r="2161" spans="1:9" x14ac:dyDescent="0.35">
      <c r="A2161" t="str">
        <f t="shared" si="33"/>
        <v>networkturpe_energy_costS1203852</v>
      </c>
      <c r="C2161" t="s">
        <v>96</v>
      </c>
      <c r="D2161" t="s">
        <v>98</v>
      </c>
      <c r="E2161" t="s">
        <v>110</v>
      </c>
      <c r="F2161">
        <v>17376.654830132411</v>
      </c>
      <c r="G2161">
        <v>2038</v>
      </c>
      <c r="H2161">
        <v>5</v>
      </c>
      <c r="I2161">
        <v>2</v>
      </c>
    </row>
    <row r="2162" spans="1:9" x14ac:dyDescent="0.35">
      <c r="A2162" t="str">
        <f t="shared" si="33"/>
        <v>DAcostS1203852</v>
      </c>
      <c r="B2162" t="s">
        <v>95</v>
      </c>
      <c r="C2162" t="s">
        <v>99</v>
      </c>
      <c r="D2162" t="s">
        <v>100</v>
      </c>
      <c r="E2162" t="s">
        <v>110</v>
      </c>
      <c r="F2162">
        <v>45283.779997243961</v>
      </c>
      <c r="G2162">
        <v>2038</v>
      </c>
      <c r="H2162">
        <v>5</v>
      </c>
      <c r="I2162">
        <v>2</v>
      </c>
    </row>
    <row r="2163" spans="1:9" x14ac:dyDescent="0.35">
      <c r="A2163" t="str">
        <f t="shared" si="33"/>
        <v>DAincomeS1203852</v>
      </c>
      <c r="B2163" t="s">
        <v>95</v>
      </c>
      <c r="C2163" t="s">
        <v>99</v>
      </c>
      <c r="D2163" t="s">
        <v>101</v>
      </c>
      <c r="E2163" t="s">
        <v>110</v>
      </c>
      <c r="F2163">
        <v>93905.575860519108</v>
      </c>
      <c r="G2163">
        <v>2038</v>
      </c>
      <c r="H2163">
        <v>5</v>
      </c>
      <c r="I2163">
        <v>2</v>
      </c>
    </row>
    <row r="2164" spans="1:9" x14ac:dyDescent="0.35">
      <c r="A2164" t="str">
        <f t="shared" si="33"/>
        <v>DAenergy_boughtS1203852</v>
      </c>
      <c r="C2164" t="s">
        <v>99</v>
      </c>
      <c r="D2164" t="s">
        <v>111</v>
      </c>
      <c r="E2164" t="s">
        <v>110</v>
      </c>
      <c r="F2164">
        <v>1093.4691222820429</v>
      </c>
      <c r="G2164">
        <v>2038</v>
      </c>
      <c r="H2164">
        <v>5</v>
      </c>
      <c r="I2164">
        <v>2</v>
      </c>
    </row>
    <row r="2165" spans="1:9" x14ac:dyDescent="0.35">
      <c r="A2165" t="str">
        <f t="shared" si="33"/>
        <v>DAenergy_soldS1203852</v>
      </c>
      <c r="C2165" t="s">
        <v>99</v>
      </c>
      <c r="D2165" t="s">
        <v>112</v>
      </c>
      <c r="E2165" t="s">
        <v>110</v>
      </c>
      <c r="F2165">
        <v>871.65626547971408</v>
      </c>
      <c r="G2165">
        <v>2038</v>
      </c>
      <c r="H2165">
        <v>5</v>
      </c>
      <c r="I2165">
        <v>2</v>
      </c>
    </row>
    <row r="2166" spans="1:9" x14ac:dyDescent="0.35">
      <c r="A2166" t="str">
        <f t="shared" si="33"/>
        <v>DAhours_boughtS1203852</v>
      </c>
      <c r="C2166" t="s">
        <v>99</v>
      </c>
      <c r="D2166" t="s">
        <v>113</v>
      </c>
      <c r="E2166" t="s">
        <v>110</v>
      </c>
      <c r="F2166">
        <v>1964</v>
      </c>
      <c r="G2166">
        <v>2038</v>
      </c>
      <c r="H2166">
        <v>5</v>
      </c>
      <c r="I2166">
        <v>2</v>
      </c>
    </row>
    <row r="2167" spans="1:9" x14ac:dyDescent="0.35">
      <c r="A2167" t="str">
        <f t="shared" si="33"/>
        <v>DAhours_soldS1203852</v>
      </c>
      <c r="C2167" t="s">
        <v>99</v>
      </c>
      <c r="D2167" t="s">
        <v>114</v>
      </c>
      <c r="E2167" t="s">
        <v>110</v>
      </c>
      <c r="F2167">
        <v>394</v>
      </c>
      <c r="G2167">
        <v>2038</v>
      </c>
      <c r="H2167">
        <v>5</v>
      </c>
      <c r="I2167">
        <v>2</v>
      </c>
    </row>
    <row r="2168" spans="1:9" x14ac:dyDescent="0.35">
      <c r="A2168" t="str">
        <f t="shared" si="33"/>
        <v>DAco2_emissionS1203852</v>
      </c>
      <c r="C2168" t="s">
        <v>99</v>
      </c>
      <c r="D2168" t="s">
        <v>204</v>
      </c>
      <c r="E2168" t="s">
        <v>110</v>
      </c>
      <c r="F2168">
        <v>76542.838559743017</v>
      </c>
      <c r="G2168">
        <v>2038</v>
      </c>
      <c r="H2168">
        <v>5</v>
      </c>
      <c r="I2168">
        <v>2</v>
      </c>
    </row>
    <row r="2169" spans="1:9" x14ac:dyDescent="0.35">
      <c r="A2169" t="str">
        <f t="shared" si="33"/>
        <v>fcrincomeS1203852</v>
      </c>
      <c r="C2169" t="s">
        <v>102</v>
      </c>
      <c r="D2169" t="s">
        <v>101</v>
      </c>
      <c r="E2169" t="s">
        <v>110</v>
      </c>
      <c r="F2169">
        <v>0</v>
      </c>
      <c r="G2169">
        <v>2038</v>
      </c>
      <c r="H2169">
        <v>5</v>
      </c>
      <c r="I2169">
        <v>2</v>
      </c>
    </row>
    <row r="2170" spans="1:9" x14ac:dyDescent="0.35">
      <c r="A2170" t="str">
        <f t="shared" si="33"/>
        <v>fcractivation_hoursS1203852</v>
      </c>
      <c r="C2170" t="s">
        <v>102</v>
      </c>
      <c r="D2170" t="s">
        <v>115</v>
      </c>
      <c r="E2170" t="s">
        <v>110</v>
      </c>
      <c r="F2170">
        <v>0</v>
      </c>
      <c r="G2170">
        <v>2038</v>
      </c>
      <c r="H2170">
        <v>5</v>
      </c>
      <c r="I2170">
        <v>2</v>
      </c>
    </row>
    <row r="2171" spans="1:9" x14ac:dyDescent="0.35">
      <c r="A2171" t="str">
        <f t="shared" si="33"/>
        <v>afrrincomeS1203852</v>
      </c>
      <c r="C2171" t="s">
        <v>103</v>
      </c>
      <c r="D2171" t="s">
        <v>101</v>
      </c>
      <c r="E2171" t="s">
        <v>110</v>
      </c>
      <c r="F2171">
        <v>139147.14100292971</v>
      </c>
      <c r="G2171">
        <v>2038</v>
      </c>
      <c r="H2171">
        <v>5</v>
      </c>
      <c r="I2171">
        <v>2</v>
      </c>
    </row>
    <row r="2172" spans="1:9" x14ac:dyDescent="0.35">
      <c r="A2172" t="str">
        <f t="shared" si="33"/>
        <v>afrractivation_hoursS1203852</v>
      </c>
      <c r="C2172" t="s">
        <v>103</v>
      </c>
      <c r="D2172" t="s">
        <v>115</v>
      </c>
      <c r="E2172" t="s">
        <v>110</v>
      </c>
      <c r="F2172">
        <v>8510</v>
      </c>
      <c r="G2172">
        <v>2038</v>
      </c>
      <c r="H2172">
        <v>5</v>
      </c>
      <c r="I2172">
        <v>2</v>
      </c>
    </row>
    <row r="2173" spans="1:9" x14ac:dyDescent="0.35">
      <c r="A2173" t="str">
        <f t="shared" si="33"/>
        <v>networkturpe_power_costS1203952</v>
      </c>
      <c r="C2173" t="s">
        <v>96</v>
      </c>
      <c r="D2173" t="s">
        <v>97</v>
      </c>
      <c r="E2173" t="s">
        <v>110</v>
      </c>
      <c r="F2173">
        <v>9978.8510425044879</v>
      </c>
      <c r="G2173">
        <v>2039</v>
      </c>
      <c r="H2173">
        <v>5</v>
      </c>
      <c r="I2173">
        <v>2</v>
      </c>
    </row>
    <row r="2174" spans="1:9" x14ac:dyDescent="0.35">
      <c r="A2174" t="str">
        <f t="shared" si="33"/>
        <v>networkturpe_energy_costS1203952</v>
      </c>
      <c r="B2174" t="s">
        <v>95</v>
      </c>
      <c r="C2174" t="s">
        <v>96</v>
      </c>
      <c r="D2174" t="s">
        <v>98</v>
      </c>
      <c r="E2174" t="s">
        <v>110</v>
      </c>
      <c r="F2174">
        <v>14322.901812784959</v>
      </c>
      <c r="G2174">
        <v>2039</v>
      </c>
      <c r="H2174">
        <v>5</v>
      </c>
      <c r="I2174">
        <v>2</v>
      </c>
    </row>
    <row r="2175" spans="1:9" x14ac:dyDescent="0.35">
      <c r="A2175" t="str">
        <f t="shared" si="33"/>
        <v>DAcostS1203952</v>
      </c>
      <c r="B2175" t="s">
        <v>95</v>
      </c>
      <c r="C2175" t="s">
        <v>99</v>
      </c>
      <c r="D2175" t="s">
        <v>100</v>
      </c>
      <c r="E2175" t="s">
        <v>110</v>
      </c>
      <c r="F2175">
        <v>37297.342145927432</v>
      </c>
      <c r="G2175">
        <v>2039</v>
      </c>
      <c r="H2175">
        <v>5</v>
      </c>
      <c r="I2175">
        <v>2</v>
      </c>
    </row>
    <row r="2176" spans="1:9" x14ac:dyDescent="0.35">
      <c r="A2176" t="str">
        <f t="shared" si="33"/>
        <v>DAincomeS1203952</v>
      </c>
      <c r="C2176" t="s">
        <v>99</v>
      </c>
      <c r="D2176" t="s">
        <v>101</v>
      </c>
      <c r="E2176" t="s">
        <v>110</v>
      </c>
      <c r="F2176">
        <v>78176.428298444182</v>
      </c>
      <c r="G2176">
        <v>2039</v>
      </c>
      <c r="H2176">
        <v>5</v>
      </c>
      <c r="I2176">
        <v>2</v>
      </c>
    </row>
    <row r="2177" spans="1:9" x14ac:dyDescent="0.35">
      <c r="A2177" t="str">
        <f t="shared" si="33"/>
        <v>DAenergy_boughtS1203952</v>
      </c>
      <c r="C2177" t="s">
        <v>99</v>
      </c>
      <c r="D2177" t="s">
        <v>111</v>
      </c>
      <c r="E2177" t="s">
        <v>110</v>
      </c>
      <c r="F2177">
        <v>919.78358322051145</v>
      </c>
      <c r="G2177">
        <v>2039</v>
      </c>
      <c r="H2177">
        <v>5</v>
      </c>
      <c r="I2177">
        <v>2</v>
      </c>
    </row>
    <row r="2178" spans="1:9" x14ac:dyDescent="0.35">
      <c r="A2178" t="str">
        <f t="shared" si="33"/>
        <v>DAenergy_soldS1203952</v>
      </c>
      <c r="C2178" t="s">
        <v>99</v>
      </c>
      <c r="D2178" t="s">
        <v>112</v>
      </c>
      <c r="E2178" t="s">
        <v>110</v>
      </c>
      <c r="F2178">
        <v>731.35769952064061</v>
      </c>
      <c r="G2178">
        <v>2039</v>
      </c>
      <c r="H2178">
        <v>5</v>
      </c>
      <c r="I2178">
        <v>2</v>
      </c>
    </row>
    <row r="2179" spans="1:9" x14ac:dyDescent="0.35">
      <c r="A2179" t="str">
        <f t="shared" ref="A2179:A2242" si="34">C2179&amp;D2179&amp;E2179&amp;G2179&amp;H2179&amp;I2179</f>
        <v>DAhours_boughtS1203952</v>
      </c>
      <c r="C2179" t="s">
        <v>99</v>
      </c>
      <c r="D2179" t="s">
        <v>113</v>
      </c>
      <c r="E2179" t="s">
        <v>110</v>
      </c>
      <c r="F2179">
        <v>1872</v>
      </c>
      <c r="G2179">
        <v>2039</v>
      </c>
      <c r="H2179">
        <v>5</v>
      </c>
      <c r="I2179">
        <v>2</v>
      </c>
    </row>
    <row r="2180" spans="1:9" x14ac:dyDescent="0.35">
      <c r="A2180" t="str">
        <f t="shared" si="34"/>
        <v>DAhours_soldS1203952</v>
      </c>
      <c r="C2180" t="s">
        <v>99</v>
      </c>
      <c r="D2180" t="s">
        <v>114</v>
      </c>
      <c r="E2180" t="s">
        <v>110</v>
      </c>
      <c r="F2180">
        <v>379</v>
      </c>
      <c r="G2180">
        <v>2039</v>
      </c>
      <c r="H2180">
        <v>5</v>
      </c>
      <c r="I2180">
        <v>2</v>
      </c>
    </row>
    <row r="2181" spans="1:9" x14ac:dyDescent="0.35">
      <c r="A2181" t="str">
        <f t="shared" si="34"/>
        <v>DAco2_emissionS1203952</v>
      </c>
      <c r="C2181" t="s">
        <v>99</v>
      </c>
      <c r="D2181" t="s">
        <v>204</v>
      </c>
      <c r="E2181" t="s">
        <v>110</v>
      </c>
      <c r="F2181">
        <v>64384.850825435533</v>
      </c>
      <c r="G2181">
        <v>2039</v>
      </c>
      <c r="H2181">
        <v>5</v>
      </c>
      <c r="I2181">
        <v>2</v>
      </c>
    </row>
    <row r="2182" spans="1:9" x14ac:dyDescent="0.35">
      <c r="A2182" t="str">
        <f t="shared" si="34"/>
        <v>fcrincomeS1203952</v>
      </c>
      <c r="C2182" t="s">
        <v>102</v>
      </c>
      <c r="D2182" t="s">
        <v>101</v>
      </c>
      <c r="E2182" t="s">
        <v>110</v>
      </c>
      <c r="F2182">
        <v>3.253194669277375</v>
      </c>
      <c r="G2182">
        <v>2039</v>
      </c>
      <c r="H2182">
        <v>5</v>
      </c>
      <c r="I2182">
        <v>2</v>
      </c>
    </row>
    <row r="2183" spans="1:9" x14ac:dyDescent="0.35">
      <c r="A2183" t="str">
        <f t="shared" si="34"/>
        <v>fcractivation_hoursS1203952</v>
      </c>
      <c r="C2183" t="s">
        <v>102</v>
      </c>
      <c r="D2183" t="s">
        <v>115</v>
      </c>
      <c r="E2183" t="s">
        <v>110</v>
      </c>
      <c r="F2183">
        <v>4</v>
      </c>
      <c r="G2183">
        <v>2039</v>
      </c>
      <c r="H2183">
        <v>5</v>
      </c>
      <c r="I2183">
        <v>2</v>
      </c>
    </row>
    <row r="2184" spans="1:9" x14ac:dyDescent="0.35">
      <c r="A2184" t="str">
        <f t="shared" si="34"/>
        <v>afrrincomeS1203952</v>
      </c>
      <c r="C2184" t="s">
        <v>103</v>
      </c>
      <c r="D2184" t="s">
        <v>101</v>
      </c>
      <c r="E2184" t="s">
        <v>110</v>
      </c>
      <c r="F2184">
        <v>144371.7549647323</v>
      </c>
      <c r="G2184">
        <v>2039</v>
      </c>
      <c r="H2184">
        <v>5</v>
      </c>
      <c r="I2184">
        <v>2</v>
      </c>
    </row>
    <row r="2185" spans="1:9" x14ac:dyDescent="0.35">
      <c r="A2185" t="str">
        <f t="shared" si="34"/>
        <v>afrractivation_hoursS1203952</v>
      </c>
      <c r="C2185" t="s">
        <v>103</v>
      </c>
      <c r="D2185" t="s">
        <v>115</v>
      </c>
      <c r="E2185" t="s">
        <v>110</v>
      </c>
      <c r="F2185">
        <v>8545</v>
      </c>
      <c r="G2185">
        <v>2039</v>
      </c>
      <c r="H2185">
        <v>5</v>
      </c>
      <c r="I2185">
        <v>2</v>
      </c>
    </row>
    <row r="2186" spans="1:9" x14ac:dyDescent="0.35">
      <c r="A2186" t="str">
        <f t="shared" si="34"/>
        <v>networkturpe_power_costS1204052</v>
      </c>
      <c r="B2186" t="s">
        <v>95</v>
      </c>
      <c r="C2186" t="s">
        <v>96</v>
      </c>
      <c r="D2186" t="s">
        <v>97</v>
      </c>
      <c r="E2186" t="s">
        <v>110</v>
      </c>
      <c r="F2186">
        <v>9801.8533117904517</v>
      </c>
      <c r="G2186">
        <v>2040</v>
      </c>
      <c r="H2186">
        <v>5</v>
      </c>
      <c r="I2186">
        <v>2</v>
      </c>
    </row>
    <row r="2187" spans="1:9" x14ac:dyDescent="0.35">
      <c r="A2187" t="str">
        <f t="shared" si="34"/>
        <v>networkturpe_energy_costS1204052</v>
      </c>
      <c r="B2187" t="s">
        <v>95</v>
      </c>
      <c r="C2187" t="s">
        <v>96</v>
      </c>
      <c r="D2187" t="s">
        <v>98</v>
      </c>
      <c r="E2187" t="s">
        <v>110</v>
      </c>
      <c r="F2187">
        <v>17936.626521904349</v>
      </c>
      <c r="G2187">
        <v>2040</v>
      </c>
      <c r="H2187">
        <v>5</v>
      </c>
      <c r="I2187">
        <v>2</v>
      </c>
    </row>
    <row r="2188" spans="1:9" x14ac:dyDescent="0.35">
      <c r="A2188" t="str">
        <f t="shared" si="34"/>
        <v>DAcostS1204052</v>
      </c>
      <c r="C2188" t="s">
        <v>99</v>
      </c>
      <c r="D2188" t="s">
        <v>100</v>
      </c>
      <c r="E2188" t="s">
        <v>110</v>
      </c>
      <c r="F2188">
        <v>42777.557503093449</v>
      </c>
      <c r="G2188">
        <v>2040</v>
      </c>
      <c r="H2188">
        <v>5</v>
      </c>
      <c r="I2188">
        <v>2</v>
      </c>
    </row>
    <row r="2189" spans="1:9" x14ac:dyDescent="0.35">
      <c r="A2189" t="str">
        <f t="shared" si="34"/>
        <v>DAincomeS1204052</v>
      </c>
      <c r="C2189" t="s">
        <v>99</v>
      </c>
      <c r="D2189" t="s">
        <v>101</v>
      </c>
      <c r="E2189" t="s">
        <v>110</v>
      </c>
      <c r="F2189">
        <v>93906.837072996554</v>
      </c>
      <c r="G2189">
        <v>2040</v>
      </c>
      <c r="H2189">
        <v>5</v>
      </c>
      <c r="I2189">
        <v>2</v>
      </c>
    </row>
    <row r="2190" spans="1:9" x14ac:dyDescent="0.35">
      <c r="A2190" t="str">
        <f t="shared" si="34"/>
        <v>DAenergy_boughtS1204052</v>
      </c>
      <c r="C2190" t="s">
        <v>99</v>
      </c>
      <c r="D2190" t="s">
        <v>111</v>
      </c>
      <c r="E2190" t="s">
        <v>110</v>
      </c>
      <c r="F2190">
        <v>1099.00391944532</v>
      </c>
      <c r="G2190">
        <v>2040</v>
      </c>
      <c r="H2190">
        <v>5</v>
      </c>
      <c r="I2190">
        <v>2</v>
      </c>
    </row>
    <row r="2191" spans="1:9" x14ac:dyDescent="0.35">
      <c r="A2191" t="str">
        <f t="shared" si="34"/>
        <v>DAenergy_soldS1204052</v>
      </c>
      <c r="C2191" t="s">
        <v>99</v>
      </c>
      <c r="D2191" t="s">
        <v>112</v>
      </c>
      <c r="E2191" t="s">
        <v>110</v>
      </c>
      <c r="F2191">
        <v>876.73718981156946</v>
      </c>
      <c r="G2191">
        <v>2040</v>
      </c>
      <c r="H2191">
        <v>5</v>
      </c>
      <c r="I2191">
        <v>2</v>
      </c>
    </row>
    <row r="2192" spans="1:9" x14ac:dyDescent="0.35">
      <c r="A2192" t="str">
        <f t="shared" si="34"/>
        <v>DAhours_boughtS1204052</v>
      </c>
      <c r="C2192" t="s">
        <v>99</v>
      </c>
      <c r="D2192" t="s">
        <v>113</v>
      </c>
      <c r="E2192" t="s">
        <v>110</v>
      </c>
      <c r="F2192">
        <v>1987</v>
      </c>
      <c r="G2192">
        <v>2040</v>
      </c>
      <c r="H2192">
        <v>5</v>
      </c>
      <c r="I2192">
        <v>2</v>
      </c>
    </row>
    <row r="2193" spans="1:9" x14ac:dyDescent="0.35">
      <c r="A2193" t="str">
        <f t="shared" si="34"/>
        <v>DAhours_soldS1204052</v>
      </c>
      <c r="C2193" t="s">
        <v>99</v>
      </c>
      <c r="D2193" t="s">
        <v>114</v>
      </c>
      <c r="E2193" t="s">
        <v>110</v>
      </c>
      <c r="F2193">
        <v>411</v>
      </c>
      <c r="G2193">
        <v>2040</v>
      </c>
      <c r="H2193">
        <v>5</v>
      </c>
      <c r="I2193">
        <v>2</v>
      </c>
    </row>
    <row r="2194" spans="1:9" x14ac:dyDescent="0.35">
      <c r="A2194" t="str">
        <f t="shared" si="34"/>
        <v>DAco2_emissionS1204052</v>
      </c>
      <c r="C2194" t="s">
        <v>99</v>
      </c>
      <c r="D2194" t="s">
        <v>204</v>
      </c>
      <c r="E2194" t="s">
        <v>110</v>
      </c>
      <c r="F2194">
        <v>76930.274361172837</v>
      </c>
      <c r="G2194">
        <v>2040</v>
      </c>
      <c r="H2194">
        <v>5</v>
      </c>
      <c r="I2194">
        <v>2</v>
      </c>
    </row>
    <row r="2195" spans="1:9" x14ac:dyDescent="0.35">
      <c r="A2195" t="str">
        <f t="shared" si="34"/>
        <v>fcrincomeS1204052</v>
      </c>
      <c r="C2195" t="s">
        <v>102</v>
      </c>
      <c r="D2195" t="s">
        <v>101</v>
      </c>
      <c r="E2195" t="s">
        <v>110</v>
      </c>
      <c r="F2195">
        <v>22.759340326418659</v>
      </c>
      <c r="G2195">
        <v>2040</v>
      </c>
      <c r="H2195">
        <v>5</v>
      </c>
      <c r="I2195">
        <v>2</v>
      </c>
    </row>
    <row r="2196" spans="1:9" x14ac:dyDescent="0.35">
      <c r="A2196" t="str">
        <f t="shared" si="34"/>
        <v>fcractivation_hoursS1204052</v>
      </c>
      <c r="C2196" t="s">
        <v>102</v>
      </c>
      <c r="D2196" t="s">
        <v>115</v>
      </c>
      <c r="E2196" t="s">
        <v>110</v>
      </c>
      <c r="F2196">
        <v>20</v>
      </c>
      <c r="G2196">
        <v>2040</v>
      </c>
      <c r="H2196">
        <v>5</v>
      </c>
      <c r="I2196">
        <v>2</v>
      </c>
    </row>
    <row r="2197" spans="1:9" x14ac:dyDescent="0.35">
      <c r="A2197" t="str">
        <f t="shared" si="34"/>
        <v>afrrincomeS1204052</v>
      </c>
      <c r="C2197" t="s">
        <v>103</v>
      </c>
      <c r="D2197" t="s">
        <v>101</v>
      </c>
      <c r="E2197" t="s">
        <v>110</v>
      </c>
      <c r="F2197">
        <v>103684.5822515061</v>
      </c>
      <c r="G2197">
        <v>2040</v>
      </c>
      <c r="H2197">
        <v>5</v>
      </c>
      <c r="I2197">
        <v>2</v>
      </c>
    </row>
    <row r="2198" spans="1:9" x14ac:dyDescent="0.35">
      <c r="A2198" t="str">
        <f t="shared" si="34"/>
        <v>afrractivation_hoursS1204052</v>
      </c>
      <c r="B2198" t="s">
        <v>95</v>
      </c>
      <c r="C2198" t="s">
        <v>103</v>
      </c>
      <c r="D2198" t="s">
        <v>115</v>
      </c>
      <c r="E2198" t="s">
        <v>110</v>
      </c>
      <c r="F2198">
        <v>8326</v>
      </c>
      <c r="G2198">
        <v>2040</v>
      </c>
      <c r="H2198">
        <v>5</v>
      </c>
      <c r="I2198">
        <v>2</v>
      </c>
    </row>
    <row r="2199" spans="1:9" x14ac:dyDescent="0.35">
      <c r="A2199" t="str">
        <f t="shared" si="34"/>
        <v>networkturpe_power_costS1204152</v>
      </c>
      <c r="B2199" t="s">
        <v>95</v>
      </c>
      <c r="C2199" t="s">
        <v>96</v>
      </c>
      <c r="D2199" t="s">
        <v>97</v>
      </c>
      <c r="E2199" t="s">
        <v>110</v>
      </c>
      <c r="F2199">
        <v>9886.8620834935609</v>
      </c>
      <c r="G2199">
        <v>2041</v>
      </c>
      <c r="H2199">
        <v>5</v>
      </c>
      <c r="I2199">
        <v>2</v>
      </c>
    </row>
    <row r="2200" spans="1:9" x14ac:dyDescent="0.35">
      <c r="A2200" t="str">
        <f t="shared" si="34"/>
        <v>networkturpe_energy_costS1204152</v>
      </c>
      <c r="C2200" t="s">
        <v>96</v>
      </c>
      <c r="D2200" t="s">
        <v>98</v>
      </c>
      <c r="E2200" t="s">
        <v>110</v>
      </c>
      <c r="F2200">
        <v>19598.575947619109</v>
      </c>
      <c r="G2200">
        <v>2041</v>
      </c>
      <c r="H2200">
        <v>5</v>
      </c>
      <c r="I2200">
        <v>2</v>
      </c>
    </row>
    <row r="2201" spans="1:9" x14ac:dyDescent="0.35">
      <c r="A2201" t="str">
        <f t="shared" si="34"/>
        <v>DAcostS1204152</v>
      </c>
      <c r="C2201" t="s">
        <v>99</v>
      </c>
      <c r="D2201" t="s">
        <v>100</v>
      </c>
      <c r="E2201" t="s">
        <v>110</v>
      </c>
      <c r="F2201">
        <v>46242.727631654052</v>
      </c>
      <c r="G2201">
        <v>2041</v>
      </c>
      <c r="H2201">
        <v>5</v>
      </c>
      <c r="I2201">
        <v>2</v>
      </c>
    </row>
    <row r="2202" spans="1:9" x14ac:dyDescent="0.35">
      <c r="A2202" t="str">
        <f t="shared" si="34"/>
        <v>DAincomeS1204152</v>
      </c>
      <c r="C2202" t="s">
        <v>99</v>
      </c>
      <c r="D2202" t="s">
        <v>101</v>
      </c>
      <c r="E2202" t="s">
        <v>110</v>
      </c>
      <c r="F2202">
        <v>100705.4516221638</v>
      </c>
      <c r="G2202">
        <v>2041</v>
      </c>
      <c r="H2202">
        <v>5</v>
      </c>
      <c r="I2202">
        <v>2</v>
      </c>
    </row>
    <row r="2203" spans="1:9" x14ac:dyDescent="0.35">
      <c r="A2203" t="str">
        <f t="shared" si="34"/>
        <v>DAenergy_boughtS1204152</v>
      </c>
      <c r="C2203" t="s">
        <v>99</v>
      </c>
      <c r="D2203" t="s">
        <v>111</v>
      </c>
      <c r="E2203" t="s">
        <v>110</v>
      </c>
      <c r="F2203">
        <v>1182.8424792406381</v>
      </c>
      <c r="G2203">
        <v>2041</v>
      </c>
      <c r="H2203">
        <v>5</v>
      </c>
      <c r="I2203">
        <v>2</v>
      </c>
    </row>
    <row r="2204" spans="1:9" x14ac:dyDescent="0.35">
      <c r="A2204" t="str">
        <f t="shared" si="34"/>
        <v>DAenergy_soldS1204152</v>
      </c>
      <c r="C2204" t="s">
        <v>99</v>
      </c>
      <c r="D2204" t="s">
        <v>112</v>
      </c>
      <c r="E2204" t="s">
        <v>110</v>
      </c>
      <c r="F2204">
        <v>944.96264590876046</v>
      </c>
      <c r="G2204">
        <v>2041</v>
      </c>
      <c r="H2204">
        <v>5</v>
      </c>
      <c r="I2204">
        <v>2</v>
      </c>
    </row>
    <row r="2205" spans="1:9" x14ac:dyDescent="0.35">
      <c r="A2205" t="str">
        <f t="shared" si="34"/>
        <v>DAhours_boughtS1204152</v>
      </c>
      <c r="C2205" t="s">
        <v>99</v>
      </c>
      <c r="D2205" t="s">
        <v>113</v>
      </c>
      <c r="E2205" t="s">
        <v>110</v>
      </c>
      <c r="F2205">
        <v>1836</v>
      </c>
      <c r="G2205">
        <v>2041</v>
      </c>
      <c r="H2205">
        <v>5</v>
      </c>
      <c r="I2205">
        <v>2</v>
      </c>
    </row>
    <row r="2206" spans="1:9" x14ac:dyDescent="0.35">
      <c r="A2206" t="str">
        <f t="shared" si="34"/>
        <v>DAhours_soldS1204152</v>
      </c>
      <c r="C2206" t="s">
        <v>99</v>
      </c>
      <c r="D2206" t="s">
        <v>114</v>
      </c>
      <c r="E2206" t="s">
        <v>110</v>
      </c>
      <c r="F2206">
        <v>453</v>
      </c>
      <c r="G2206">
        <v>2041</v>
      </c>
      <c r="H2206">
        <v>5</v>
      </c>
      <c r="I2206">
        <v>2</v>
      </c>
    </row>
    <row r="2207" spans="1:9" x14ac:dyDescent="0.35">
      <c r="A2207" t="str">
        <f t="shared" si="34"/>
        <v>DAco2_emissionS1204152</v>
      </c>
      <c r="C2207" t="s">
        <v>99</v>
      </c>
      <c r="D2207" t="s">
        <v>204</v>
      </c>
      <c r="E2207" t="s">
        <v>110</v>
      </c>
      <c r="F2207">
        <v>82798.973546844776</v>
      </c>
      <c r="G2207">
        <v>2041</v>
      </c>
      <c r="H2207">
        <v>5</v>
      </c>
      <c r="I2207">
        <v>2</v>
      </c>
    </row>
    <row r="2208" spans="1:9" x14ac:dyDescent="0.35">
      <c r="A2208" t="str">
        <f t="shared" si="34"/>
        <v>fcrincomeS1204152</v>
      </c>
      <c r="C2208" t="s">
        <v>102</v>
      </c>
      <c r="D2208" t="s">
        <v>101</v>
      </c>
      <c r="E2208" t="s">
        <v>110</v>
      </c>
      <c r="F2208">
        <v>28.13161378039953</v>
      </c>
      <c r="G2208">
        <v>2041</v>
      </c>
      <c r="H2208">
        <v>5</v>
      </c>
      <c r="I2208">
        <v>2</v>
      </c>
    </row>
    <row r="2209" spans="1:9" x14ac:dyDescent="0.35">
      <c r="A2209" t="str">
        <f t="shared" si="34"/>
        <v>fcractivation_hoursS1204152</v>
      </c>
      <c r="C2209" t="s">
        <v>102</v>
      </c>
      <c r="D2209" t="s">
        <v>115</v>
      </c>
      <c r="E2209" t="s">
        <v>110</v>
      </c>
      <c r="F2209">
        <v>32</v>
      </c>
      <c r="G2209">
        <v>2041</v>
      </c>
      <c r="H2209">
        <v>5</v>
      </c>
      <c r="I2209">
        <v>2</v>
      </c>
    </row>
    <row r="2210" spans="1:9" x14ac:dyDescent="0.35">
      <c r="A2210" t="str">
        <f t="shared" si="34"/>
        <v>afrrincomeS1204152</v>
      </c>
      <c r="B2210" t="s">
        <v>95</v>
      </c>
      <c r="C2210" t="s">
        <v>103</v>
      </c>
      <c r="D2210" t="s">
        <v>101</v>
      </c>
      <c r="E2210" t="s">
        <v>110</v>
      </c>
      <c r="F2210">
        <v>96246.173977127575</v>
      </c>
      <c r="G2210">
        <v>2041</v>
      </c>
      <c r="H2210">
        <v>5</v>
      </c>
      <c r="I2210">
        <v>2</v>
      </c>
    </row>
    <row r="2211" spans="1:9" x14ac:dyDescent="0.35">
      <c r="A2211" t="str">
        <f t="shared" si="34"/>
        <v>afrractivation_hoursS1204152</v>
      </c>
      <c r="B2211" t="s">
        <v>95</v>
      </c>
      <c r="C2211" t="s">
        <v>103</v>
      </c>
      <c r="D2211" t="s">
        <v>115</v>
      </c>
      <c r="E2211" t="s">
        <v>110</v>
      </c>
      <c r="F2211">
        <v>8112</v>
      </c>
      <c r="G2211">
        <v>2041</v>
      </c>
      <c r="H2211">
        <v>5</v>
      </c>
      <c r="I2211">
        <v>2</v>
      </c>
    </row>
    <row r="2212" spans="1:9" x14ac:dyDescent="0.35">
      <c r="A2212" t="str">
        <f t="shared" si="34"/>
        <v>networkturpe_power_costS1202561</v>
      </c>
      <c r="C2212" t="s">
        <v>96</v>
      </c>
      <c r="D2212" t="s">
        <v>97</v>
      </c>
      <c r="E2212" t="s">
        <v>110</v>
      </c>
      <c r="F2212">
        <v>8029.8567478184159</v>
      </c>
      <c r="G2212">
        <v>2025</v>
      </c>
      <c r="H2212">
        <v>6</v>
      </c>
      <c r="I2212">
        <v>1</v>
      </c>
    </row>
    <row r="2213" spans="1:9" x14ac:dyDescent="0.35">
      <c r="A2213" t="str">
        <f t="shared" si="34"/>
        <v>networkturpe_energy_costS1202561</v>
      </c>
      <c r="C2213" t="s">
        <v>96</v>
      </c>
      <c r="D2213" t="s">
        <v>98</v>
      </c>
      <c r="E2213" t="s">
        <v>110</v>
      </c>
      <c r="F2213">
        <v>274.2732546959154</v>
      </c>
      <c r="G2213">
        <v>2025</v>
      </c>
      <c r="H2213">
        <v>6</v>
      </c>
      <c r="I2213">
        <v>1</v>
      </c>
    </row>
    <row r="2214" spans="1:9" x14ac:dyDescent="0.35">
      <c r="A2214" t="str">
        <f t="shared" si="34"/>
        <v>DAcostS1202561</v>
      </c>
      <c r="C2214" t="s">
        <v>99</v>
      </c>
      <c r="D2214" t="s">
        <v>100</v>
      </c>
      <c r="E2214" t="s">
        <v>110</v>
      </c>
      <c r="F2214">
        <v>2526.2215252283959</v>
      </c>
      <c r="G2214">
        <v>2025</v>
      </c>
      <c r="H2214">
        <v>6</v>
      </c>
      <c r="I2214">
        <v>1</v>
      </c>
    </row>
    <row r="2215" spans="1:9" x14ac:dyDescent="0.35">
      <c r="A2215" t="str">
        <f t="shared" si="34"/>
        <v>DAincomeS1202561</v>
      </c>
      <c r="C2215" t="s">
        <v>99</v>
      </c>
      <c r="D2215" t="s">
        <v>101</v>
      </c>
      <c r="E2215" t="s">
        <v>110</v>
      </c>
      <c r="F2215">
        <v>0</v>
      </c>
      <c r="G2215">
        <v>2025</v>
      </c>
      <c r="H2215">
        <v>6</v>
      </c>
      <c r="I2215">
        <v>1</v>
      </c>
    </row>
    <row r="2216" spans="1:9" x14ac:dyDescent="0.35">
      <c r="A2216" t="str">
        <f t="shared" si="34"/>
        <v>DAenergy_boughtS1202561</v>
      </c>
      <c r="C2216" t="s">
        <v>99</v>
      </c>
      <c r="D2216" t="s">
        <v>111</v>
      </c>
      <c r="E2216" t="s">
        <v>110</v>
      </c>
      <c r="F2216">
        <v>14.599718361081861</v>
      </c>
      <c r="G2216">
        <v>2025</v>
      </c>
      <c r="H2216">
        <v>6</v>
      </c>
      <c r="I2216">
        <v>1</v>
      </c>
    </row>
    <row r="2217" spans="1:9" x14ac:dyDescent="0.35">
      <c r="A2217" t="str">
        <f t="shared" si="34"/>
        <v>DAenergy_soldS1202561</v>
      </c>
      <c r="C2217" t="s">
        <v>99</v>
      </c>
      <c r="D2217" t="s">
        <v>112</v>
      </c>
      <c r="E2217" t="s">
        <v>110</v>
      </c>
      <c r="F2217">
        <v>0</v>
      </c>
      <c r="G2217">
        <v>2025</v>
      </c>
      <c r="H2217">
        <v>6</v>
      </c>
      <c r="I2217">
        <v>1</v>
      </c>
    </row>
    <row r="2218" spans="1:9" x14ac:dyDescent="0.35">
      <c r="A2218" t="str">
        <f t="shared" si="34"/>
        <v>DAhours_boughtS1202561</v>
      </c>
      <c r="C2218" t="s">
        <v>99</v>
      </c>
      <c r="D2218" t="s">
        <v>113</v>
      </c>
      <c r="E2218" t="s">
        <v>110</v>
      </c>
      <c r="F2218">
        <v>5912</v>
      </c>
      <c r="G2218">
        <v>2025</v>
      </c>
      <c r="H2218">
        <v>6</v>
      </c>
      <c r="I2218">
        <v>1</v>
      </c>
    </row>
    <row r="2219" spans="1:9" x14ac:dyDescent="0.35">
      <c r="A2219" t="str">
        <f t="shared" si="34"/>
        <v>DAhours_soldS1202561</v>
      </c>
      <c r="C2219" t="s">
        <v>99</v>
      </c>
      <c r="D2219" t="s">
        <v>114</v>
      </c>
      <c r="E2219" t="s">
        <v>110</v>
      </c>
      <c r="F2219">
        <v>0</v>
      </c>
      <c r="G2219">
        <v>2025</v>
      </c>
      <c r="H2219">
        <v>6</v>
      </c>
      <c r="I2219">
        <v>1</v>
      </c>
    </row>
    <row r="2220" spans="1:9" x14ac:dyDescent="0.35">
      <c r="A2220" t="str">
        <f t="shared" si="34"/>
        <v>DAco2_emissionS1202561</v>
      </c>
      <c r="C2220" t="s">
        <v>99</v>
      </c>
      <c r="D2220" t="s">
        <v>204</v>
      </c>
      <c r="E2220" t="s">
        <v>110</v>
      </c>
      <c r="F2220">
        <v>1021.980285275715</v>
      </c>
      <c r="G2220">
        <v>2025</v>
      </c>
      <c r="H2220">
        <v>6</v>
      </c>
      <c r="I2220">
        <v>1</v>
      </c>
    </row>
    <row r="2221" spans="1:9" x14ac:dyDescent="0.35">
      <c r="A2221" t="str">
        <f t="shared" si="34"/>
        <v>fcrincomeS1202561</v>
      </c>
      <c r="C2221" t="s">
        <v>102</v>
      </c>
      <c r="D2221" t="s">
        <v>101</v>
      </c>
      <c r="E2221" t="s">
        <v>110</v>
      </c>
      <c r="F2221">
        <v>0</v>
      </c>
      <c r="G2221">
        <v>2025</v>
      </c>
      <c r="H2221">
        <v>6</v>
      </c>
      <c r="I2221">
        <v>1</v>
      </c>
    </row>
    <row r="2222" spans="1:9" x14ac:dyDescent="0.35">
      <c r="A2222" t="str">
        <f t="shared" si="34"/>
        <v>fcractivation_hoursS1202561</v>
      </c>
      <c r="B2222" t="s">
        <v>95</v>
      </c>
      <c r="C2222" t="s">
        <v>102</v>
      </c>
      <c r="D2222" t="s">
        <v>115</v>
      </c>
      <c r="E2222" t="s">
        <v>110</v>
      </c>
      <c r="F2222">
        <v>0</v>
      </c>
      <c r="G2222">
        <v>2025</v>
      </c>
      <c r="H2222">
        <v>6</v>
      </c>
      <c r="I2222">
        <v>1</v>
      </c>
    </row>
    <row r="2223" spans="1:9" x14ac:dyDescent="0.35">
      <c r="A2223" t="str">
        <f t="shared" si="34"/>
        <v>afrrincomeS1202561</v>
      </c>
      <c r="B2223" t="s">
        <v>95</v>
      </c>
      <c r="C2223" t="s">
        <v>103</v>
      </c>
      <c r="D2223" t="s">
        <v>101</v>
      </c>
      <c r="E2223" t="s">
        <v>110</v>
      </c>
      <c r="F2223">
        <v>304858.43081350491</v>
      </c>
      <c r="G2223">
        <v>2025</v>
      </c>
      <c r="H2223">
        <v>6</v>
      </c>
      <c r="I2223">
        <v>1</v>
      </c>
    </row>
    <row r="2224" spans="1:9" x14ac:dyDescent="0.35">
      <c r="A2224" t="str">
        <f t="shared" si="34"/>
        <v>afrractivation_hoursS1202561</v>
      </c>
      <c r="C2224" t="s">
        <v>103</v>
      </c>
      <c r="D2224" t="s">
        <v>115</v>
      </c>
      <c r="E2224" t="s">
        <v>110</v>
      </c>
      <c r="F2224">
        <v>8760</v>
      </c>
      <c r="G2224">
        <v>2025</v>
      </c>
      <c r="H2224">
        <v>6</v>
      </c>
      <c r="I2224">
        <v>1</v>
      </c>
    </row>
    <row r="2225" spans="1:9" x14ac:dyDescent="0.35">
      <c r="A2225" t="str">
        <f t="shared" si="34"/>
        <v>networkturpe_power_costS1202661</v>
      </c>
      <c r="C2225" t="s">
        <v>96</v>
      </c>
      <c r="D2225" t="s">
        <v>97</v>
      </c>
      <c r="E2225" t="s">
        <v>110</v>
      </c>
      <c r="F2225">
        <v>7827.2617799362806</v>
      </c>
      <c r="G2225">
        <v>2026</v>
      </c>
      <c r="H2225">
        <v>6</v>
      </c>
      <c r="I2225">
        <v>1</v>
      </c>
    </row>
    <row r="2226" spans="1:9" x14ac:dyDescent="0.35">
      <c r="A2226" t="str">
        <f t="shared" si="34"/>
        <v>networkturpe_energy_costS1202661</v>
      </c>
      <c r="C2226" t="s">
        <v>96</v>
      </c>
      <c r="D2226" t="s">
        <v>98</v>
      </c>
      <c r="E2226" t="s">
        <v>110</v>
      </c>
      <c r="F2226">
        <v>267.57091591036072</v>
      </c>
      <c r="G2226">
        <v>2026</v>
      </c>
      <c r="H2226">
        <v>6</v>
      </c>
      <c r="I2226">
        <v>1</v>
      </c>
    </row>
    <row r="2227" spans="1:9" x14ac:dyDescent="0.35">
      <c r="A2227" t="str">
        <f t="shared" si="34"/>
        <v>DAcostS1202661</v>
      </c>
      <c r="C2227" t="s">
        <v>99</v>
      </c>
      <c r="D2227" t="s">
        <v>100</v>
      </c>
      <c r="E2227" t="s">
        <v>110</v>
      </c>
      <c r="F2227">
        <v>2251.328041032757</v>
      </c>
      <c r="G2227">
        <v>2026</v>
      </c>
      <c r="H2227">
        <v>6</v>
      </c>
      <c r="I2227">
        <v>1</v>
      </c>
    </row>
    <row r="2228" spans="1:9" x14ac:dyDescent="0.35">
      <c r="A2228" t="str">
        <f t="shared" si="34"/>
        <v>DAincomeS1202661</v>
      </c>
      <c r="C2228" t="s">
        <v>99</v>
      </c>
      <c r="D2228" t="s">
        <v>101</v>
      </c>
      <c r="E2228" t="s">
        <v>110</v>
      </c>
      <c r="F2228">
        <v>0</v>
      </c>
      <c r="G2228">
        <v>2026</v>
      </c>
      <c r="H2228">
        <v>6</v>
      </c>
      <c r="I2228">
        <v>1</v>
      </c>
    </row>
    <row r="2229" spans="1:9" x14ac:dyDescent="0.35">
      <c r="A2229" t="str">
        <f t="shared" si="34"/>
        <v>DAenergy_boughtS1202661</v>
      </c>
      <c r="C2229" t="s">
        <v>99</v>
      </c>
      <c r="D2229" t="s">
        <v>111</v>
      </c>
      <c r="E2229" t="s">
        <v>110</v>
      </c>
      <c r="F2229">
        <v>14.234331992273409</v>
      </c>
      <c r="G2229">
        <v>2026</v>
      </c>
      <c r="H2229">
        <v>6</v>
      </c>
      <c r="I2229">
        <v>1</v>
      </c>
    </row>
    <row r="2230" spans="1:9" x14ac:dyDescent="0.35">
      <c r="A2230" t="str">
        <f t="shared" si="34"/>
        <v>DAenergy_soldS1202661</v>
      </c>
      <c r="C2230" t="s">
        <v>99</v>
      </c>
      <c r="D2230" t="s">
        <v>112</v>
      </c>
      <c r="E2230" t="s">
        <v>110</v>
      </c>
      <c r="F2230">
        <v>0</v>
      </c>
      <c r="G2230">
        <v>2026</v>
      </c>
      <c r="H2230">
        <v>6</v>
      </c>
      <c r="I2230">
        <v>1</v>
      </c>
    </row>
    <row r="2231" spans="1:9" x14ac:dyDescent="0.35">
      <c r="A2231" t="str">
        <f t="shared" si="34"/>
        <v>DAhours_boughtS1202661</v>
      </c>
      <c r="C2231" t="s">
        <v>99</v>
      </c>
      <c r="D2231" t="s">
        <v>113</v>
      </c>
      <c r="E2231" t="s">
        <v>110</v>
      </c>
      <c r="F2231">
        <v>6459</v>
      </c>
      <c r="G2231">
        <v>2026</v>
      </c>
      <c r="H2231">
        <v>6</v>
      </c>
      <c r="I2231">
        <v>1</v>
      </c>
    </row>
    <row r="2232" spans="1:9" x14ac:dyDescent="0.35">
      <c r="A2232" t="str">
        <f t="shared" si="34"/>
        <v>DAhours_soldS1202661</v>
      </c>
      <c r="C2232" t="s">
        <v>99</v>
      </c>
      <c r="D2232" t="s">
        <v>114</v>
      </c>
      <c r="E2232" t="s">
        <v>110</v>
      </c>
      <c r="F2232">
        <v>0</v>
      </c>
      <c r="G2232">
        <v>2026</v>
      </c>
      <c r="H2232">
        <v>6</v>
      </c>
      <c r="I2232">
        <v>1</v>
      </c>
    </row>
    <row r="2233" spans="1:9" x14ac:dyDescent="0.35">
      <c r="A2233" t="str">
        <f t="shared" si="34"/>
        <v>DAco2_emissionS1202661</v>
      </c>
      <c r="C2233" t="s">
        <v>99</v>
      </c>
      <c r="D2233" t="s">
        <v>204</v>
      </c>
      <c r="E2233" t="s">
        <v>110</v>
      </c>
      <c r="F2233">
        <v>996.40323945903049</v>
      </c>
      <c r="G2233">
        <v>2026</v>
      </c>
      <c r="H2233">
        <v>6</v>
      </c>
      <c r="I2233">
        <v>1</v>
      </c>
    </row>
    <row r="2234" spans="1:9" x14ac:dyDescent="0.35">
      <c r="A2234" t="str">
        <f t="shared" si="34"/>
        <v>fcrincomeS1202661</v>
      </c>
      <c r="B2234" t="s">
        <v>95</v>
      </c>
      <c r="C2234" t="s">
        <v>102</v>
      </c>
      <c r="D2234" t="s">
        <v>101</v>
      </c>
      <c r="E2234" t="s">
        <v>110</v>
      </c>
      <c r="F2234">
        <v>0</v>
      </c>
      <c r="G2234">
        <v>2026</v>
      </c>
      <c r="H2234">
        <v>6</v>
      </c>
      <c r="I2234">
        <v>1</v>
      </c>
    </row>
    <row r="2235" spans="1:9" x14ac:dyDescent="0.35">
      <c r="A2235" t="str">
        <f t="shared" si="34"/>
        <v>fcractivation_hoursS1202661</v>
      </c>
      <c r="B2235" t="s">
        <v>95</v>
      </c>
      <c r="C2235" t="s">
        <v>102</v>
      </c>
      <c r="D2235" t="s">
        <v>115</v>
      </c>
      <c r="E2235" t="s">
        <v>110</v>
      </c>
      <c r="F2235">
        <v>0</v>
      </c>
      <c r="G2235">
        <v>2026</v>
      </c>
      <c r="H2235">
        <v>6</v>
      </c>
      <c r="I2235">
        <v>1</v>
      </c>
    </row>
    <row r="2236" spans="1:9" x14ac:dyDescent="0.35">
      <c r="A2236" t="str">
        <f t="shared" si="34"/>
        <v>afrrincomeS1202661</v>
      </c>
      <c r="C2236" t="s">
        <v>103</v>
      </c>
      <c r="D2236" t="s">
        <v>101</v>
      </c>
      <c r="E2236" t="s">
        <v>110</v>
      </c>
      <c r="F2236">
        <v>289325.34960721328</v>
      </c>
      <c r="G2236">
        <v>2026</v>
      </c>
      <c r="H2236">
        <v>6</v>
      </c>
      <c r="I2236">
        <v>1</v>
      </c>
    </row>
    <row r="2237" spans="1:9" x14ac:dyDescent="0.35">
      <c r="A2237" t="str">
        <f t="shared" si="34"/>
        <v>afrractivation_hoursS1202661</v>
      </c>
      <c r="C2237" t="s">
        <v>103</v>
      </c>
      <c r="D2237" t="s">
        <v>115</v>
      </c>
      <c r="E2237" t="s">
        <v>110</v>
      </c>
      <c r="F2237">
        <v>8760</v>
      </c>
      <c r="G2237">
        <v>2026</v>
      </c>
      <c r="H2237">
        <v>6</v>
      </c>
      <c r="I2237">
        <v>1</v>
      </c>
    </row>
    <row r="2238" spans="1:9" x14ac:dyDescent="0.35">
      <c r="A2238" t="str">
        <f t="shared" si="34"/>
        <v>networkturpe_power_costS1202761</v>
      </c>
      <c r="C2238" t="s">
        <v>96</v>
      </c>
      <c r="D2238" t="s">
        <v>97</v>
      </c>
      <c r="E2238" t="s">
        <v>110</v>
      </c>
      <c r="F2238">
        <v>7634.5650506403072</v>
      </c>
      <c r="G2238">
        <v>2027</v>
      </c>
      <c r="H2238">
        <v>6</v>
      </c>
      <c r="I2238">
        <v>1</v>
      </c>
    </row>
    <row r="2239" spans="1:9" x14ac:dyDescent="0.35">
      <c r="A2239" t="str">
        <f t="shared" si="34"/>
        <v>networkturpe_energy_costS1202761</v>
      </c>
      <c r="C2239" t="s">
        <v>96</v>
      </c>
      <c r="D2239" t="s">
        <v>98</v>
      </c>
      <c r="E2239" t="s">
        <v>110</v>
      </c>
      <c r="F2239">
        <v>258.97827157273878</v>
      </c>
      <c r="G2239">
        <v>2027</v>
      </c>
      <c r="H2239">
        <v>6</v>
      </c>
      <c r="I2239">
        <v>1</v>
      </c>
    </row>
    <row r="2240" spans="1:9" x14ac:dyDescent="0.35">
      <c r="A2240" t="str">
        <f t="shared" si="34"/>
        <v>DAcostS1202761</v>
      </c>
      <c r="C2240" t="s">
        <v>99</v>
      </c>
      <c r="D2240" t="s">
        <v>100</v>
      </c>
      <c r="E2240" t="s">
        <v>110</v>
      </c>
      <c r="F2240">
        <v>1676.7664577493961</v>
      </c>
      <c r="G2240">
        <v>2027</v>
      </c>
      <c r="H2240">
        <v>6</v>
      </c>
      <c r="I2240">
        <v>1</v>
      </c>
    </row>
    <row r="2241" spans="1:9" x14ac:dyDescent="0.35">
      <c r="A2241" t="str">
        <f t="shared" si="34"/>
        <v>DAincomeS1202761</v>
      </c>
      <c r="C2241" t="s">
        <v>99</v>
      </c>
      <c r="D2241" t="s">
        <v>101</v>
      </c>
      <c r="E2241" t="s">
        <v>110</v>
      </c>
      <c r="F2241">
        <v>5.4790524952392779E-4</v>
      </c>
      <c r="G2241">
        <v>2027</v>
      </c>
      <c r="H2241">
        <v>6</v>
      </c>
      <c r="I2241">
        <v>1</v>
      </c>
    </row>
    <row r="2242" spans="1:9" x14ac:dyDescent="0.35">
      <c r="A2242" t="str">
        <f t="shared" si="34"/>
        <v>DAenergy_boughtS1202761</v>
      </c>
      <c r="C2242" t="s">
        <v>99</v>
      </c>
      <c r="D2242" t="s">
        <v>111</v>
      </c>
      <c r="E2242" t="s">
        <v>110</v>
      </c>
      <c r="F2242">
        <v>13.878072749915219</v>
      </c>
      <c r="G2242">
        <v>2027</v>
      </c>
      <c r="H2242">
        <v>6</v>
      </c>
      <c r="I2242">
        <v>1</v>
      </c>
    </row>
    <row r="2243" spans="1:9" x14ac:dyDescent="0.35">
      <c r="A2243" t="str">
        <f t="shared" ref="A2243:A2306" si="35">C2243&amp;D2243&amp;E2243&amp;G2243&amp;H2243&amp;I2243</f>
        <v>DAenergy_soldS1202761</v>
      </c>
      <c r="C2243" t="s">
        <v>99</v>
      </c>
      <c r="D2243" t="s">
        <v>112</v>
      </c>
      <c r="E2243" t="s">
        <v>110</v>
      </c>
      <c r="F2243">
        <v>3.9629189596546146E-6</v>
      </c>
      <c r="G2243">
        <v>2027</v>
      </c>
      <c r="H2243">
        <v>6</v>
      </c>
      <c r="I2243">
        <v>1</v>
      </c>
    </row>
    <row r="2244" spans="1:9" x14ac:dyDescent="0.35">
      <c r="A2244" t="str">
        <f t="shared" si="35"/>
        <v>DAhours_boughtS1202761</v>
      </c>
      <c r="C2244" t="s">
        <v>99</v>
      </c>
      <c r="D2244" t="s">
        <v>113</v>
      </c>
      <c r="E2244" t="s">
        <v>110</v>
      </c>
      <c r="F2244">
        <v>5670</v>
      </c>
      <c r="G2244">
        <v>2027</v>
      </c>
      <c r="H2244">
        <v>6</v>
      </c>
      <c r="I2244">
        <v>1</v>
      </c>
    </row>
    <row r="2245" spans="1:9" x14ac:dyDescent="0.35">
      <c r="A2245" t="str">
        <f t="shared" si="35"/>
        <v>DAhours_soldS1202761</v>
      </c>
      <c r="C2245" t="s">
        <v>99</v>
      </c>
      <c r="D2245" t="s">
        <v>114</v>
      </c>
      <c r="E2245" t="s">
        <v>110</v>
      </c>
      <c r="F2245">
        <v>0</v>
      </c>
      <c r="G2245">
        <v>2027</v>
      </c>
      <c r="H2245">
        <v>6</v>
      </c>
      <c r="I2245">
        <v>1</v>
      </c>
    </row>
    <row r="2246" spans="1:9" x14ac:dyDescent="0.35">
      <c r="A2246" t="str">
        <f t="shared" si="35"/>
        <v>DAco2_emissionS1202761</v>
      </c>
      <c r="B2246" t="s">
        <v>95</v>
      </c>
      <c r="C2246" t="s">
        <v>99</v>
      </c>
      <c r="D2246" t="s">
        <v>204</v>
      </c>
      <c r="E2246" t="s">
        <v>110</v>
      </c>
      <c r="F2246">
        <v>971.46509249403618</v>
      </c>
      <c r="G2246">
        <v>2027</v>
      </c>
      <c r="H2246">
        <v>6</v>
      </c>
      <c r="I2246">
        <v>1</v>
      </c>
    </row>
    <row r="2247" spans="1:9" x14ac:dyDescent="0.35">
      <c r="A2247" t="str">
        <f t="shared" si="35"/>
        <v>fcrincomeS1202761</v>
      </c>
      <c r="B2247" t="s">
        <v>95</v>
      </c>
      <c r="C2247" t="s">
        <v>102</v>
      </c>
      <c r="D2247" t="s">
        <v>101</v>
      </c>
      <c r="E2247" t="s">
        <v>110</v>
      </c>
      <c r="F2247">
        <v>0</v>
      </c>
      <c r="G2247">
        <v>2027</v>
      </c>
      <c r="H2247">
        <v>6</v>
      </c>
      <c r="I2247">
        <v>1</v>
      </c>
    </row>
    <row r="2248" spans="1:9" x14ac:dyDescent="0.35">
      <c r="A2248" t="str">
        <f t="shared" si="35"/>
        <v>fcractivation_hoursS1202761</v>
      </c>
      <c r="C2248" t="s">
        <v>102</v>
      </c>
      <c r="D2248" t="s">
        <v>115</v>
      </c>
      <c r="E2248" t="s">
        <v>110</v>
      </c>
      <c r="F2248">
        <v>0</v>
      </c>
      <c r="G2248">
        <v>2027</v>
      </c>
      <c r="H2248">
        <v>6</v>
      </c>
      <c r="I2248">
        <v>1</v>
      </c>
    </row>
    <row r="2249" spans="1:9" x14ac:dyDescent="0.35">
      <c r="A2249" t="str">
        <f t="shared" si="35"/>
        <v>afrrincomeS1202761</v>
      </c>
      <c r="C2249" t="s">
        <v>103</v>
      </c>
      <c r="D2249" t="s">
        <v>101</v>
      </c>
      <c r="E2249" t="s">
        <v>110</v>
      </c>
      <c r="F2249">
        <v>246112.7936507666</v>
      </c>
      <c r="G2249">
        <v>2027</v>
      </c>
      <c r="H2249">
        <v>6</v>
      </c>
      <c r="I2249">
        <v>1</v>
      </c>
    </row>
    <row r="2250" spans="1:9" x14ac:dyDescent="0.35">
      <c r="A2250" t="str">
        <f t="shared" si="35"/>
        <v>afrractivation_hoursS1202761</v>
      </c>
      <c r="C2250" t="s">
        <v>103</v>
      </c>
      <c r="D2250" t="s">
        <v>115</v>
      </c>
      <c r="E2250" t="s">
        <v>110</v>
      </c>
      <c r="F2250">
        <v>8760</v>
      </c>
      <c r="G2250">
        <v>2027</v>
      </c>
      <c r="H2250">
        <v>6</v>
      </c>
      <c r="I2250">
        <v>1</v>
      </c>
    </row>
    <row r="2251" spans="1:9" x14ac:dyDescent="0.35">
      <c r="A2251" t="str">
        <f t="shared" si="35"/>
        <v>networkturpe_power_costS1202861</v>
      </c>
      <c r="C2251" t="s">
        <v>96</v>
      </c>
      <c r="D2251" t="s">
        <v>97</v>
      </c>
      <c r="E2251" t="s">
        <v>110</v>
      </c>
      <c r="F2251">
        <v>7444.0772977557217</v>
      </c>
      <c r="G2251">
        <v>2028</v>
      </c>
      <c r="H2251">
        <v>6</v>
      </c>
      <c r="I2251">
        <v>1</v>
      </c>
    </row>
    <row r="2252" spans="1:9" x14ac:dyDescent="0.35">
      <c r="A2252" t="str">
        <f t="shared" si="35"/>
        <v>networkturpe_energy_costS1202861</v>
      </c>
      <c r="C2252" t="s">
        <v>96</v>
      </c>
      <c r="D2252" t="s">
        <v>98</v>
      </c>
      <c r="E2252" t="s">
        <v>110</v>
      </c>
      <c r="F2252">
        <v>253.1165392418751</v>
      </c>
      <c r="G2252">
        <v>2028</v>
      </c>
      <c r="H2252">
        <v>6</v>
      </c>
      <c r="I2252">
        <v>1</v>
      </c>
    </row>
    <row r="2253" spans="1:9" x14ac:dyDescent="0.35">
      <c r="A2253" t="str">
        <f t="shared" si="35"/>
        <v>DAcostS1202861</v>
      </c>
      <c r="C2253" t="s">
        <v>99</v>
      </c>
      <c r="D2253" t="s">
        <v>100</v>
      </c>
      <c r="E2253" t="s">
        <v>110</v>
      </c>
      <c r="F2253">
        <v>1495.11166052985</v>
      </c>
      <c r="G2253">
        <v>2028</v>
      </c>
      <c r="H2253">
        <v>6</v>
      </c>
      <c r="I2253">
        <v>1</v>
      </c>
    </row>
    <row r="2254" spans="1:9" x14ac:dyDescent="0.35">
      <c r="A2254" t="str">
        <f t="shared" si="35"/>
        <v>DAincomeS1202861</v>
      </c>
      <c r="C2254" t="s">
        <v>99</v>
      </c>
      <c r="D2254" t="s">
        <v>101</v>
      </c>
      <c r="E2254" t="s">
        <v>110</v>
      </c>
      <c r="F2254">
        <v>5.7599897642538703E-4</v>
      </c>
      <c r="G2254">
        <v>2028</v>
      </c>
      <c r="H2254">
        <v>6</v>
      </c>
      <c r="I2254">
        <v>1</v>
      </c>
    </row>
    <row r="2255" spans="1:9" x14ac:dyDescent="0.35">
      <c r="A2255" t="str">
        <f t="shared" si="35"/>
        <v>DAenergy_boughtS1202861</v>
      </c>
      <c r="C2255" t="s">
        <v>99</v>
      </c>
      <c r="D2255" t="s">
        <v>111</v>
      </c>
      <c r="E2255" t="s">
        <v>110</v>
      </c>
      <c r="F2255">
        <v>13.530864662034871</v>
      </c>
      <c r="G2255">
        <v>2028</v>
      </c>
      <c r="H2255">
        <v>6</v>
      </c>
      <c r="I2255">
        <v>1</v>
      </c>
    </row>
    <row r="2256" spans="1:9" x14ac:dyDescent="0.35">
      <c r="A2256" t="str">
        <f t="shared" si="35"/>
        <v>DAenergy_soldS1202861</v>
      </c>
      <c r="C2256" t="s">
        <v>99</v>
      </c>
      <c r="D2256" t="s">
        <v>112</v>
      </c>
      <c r="E2256" t="s">
        <v>110</v>
      </c>
      <c r="F2256">
        <v>4.6366151824628332E-6</v>
      </c>
      <c r="G2256">
        <v>2028</v>
      </c>
      <c r="H2256">
        <v>6</v>
      </c>
      <c r="I2256">
        <v>1</v>
      </c>
    </row>
    <row r="2257" spans="1:9" x14ac:dyDescent="0.35">
      <c r="A2257" t="str">
        <f t="shared" si="35"/>
        <v>DAhours_boughtS1202861</v>
      </c>
      <c r="C2257" t="s">
        <v>99</v>
      </c>
      <c r="D2257" t="s">
        <v>113</v>
      </c>
      <c r="E2257" t="s">
        <v>110</v>
      </c>
      <c r="F2257">
        <v>5600</v>
      </c>
      <c r="G2257">
        <v>2028</v>
      </c>
      <c r="H2257">
        <v>6</v>
      </c>
      <c r="I2257">
        <v>1</v>
      </c>
    </row>
    <row r="2258" spans="1:9" x14ac:dyDescent="0.35">
      <c r="A2258" t="str">
        <f t="shared" si="35"/>
        <v>DAhours_soldS1202861</v>
      </c>
      <c r="B2258" t="s">
        <v>95</v>
      </c>
      <c r="C2258" t="s">
        <v>99</v>
      </c>
      <c r="D2258" t="s">
        <v>114</v>
      </c>
      <c r="E2258" t="s">
        <v>110</v>
      </c>
      <c r="F2258">
        <v>0</v>
      </c>
      <c r="G2258">
        <v>2028</v>
      </c>
      <c r="H2258">
        <v>6</v>
      </c>
      <c r="I2258">
        <v>1</v>
      </c>
    </row>
    <row r="2259" spans="1:9" x14ac:dyDescent="0.35">
      <c r="A2259" t="str">
        <f t="shared" si="35"/>
        <v>DAco2_emissionS1202861</v>
      </c>
      <c r="B2259" t="s">
        <v>95</v>
      </c>
      <c r="C2259" t="s">
        <v>99</v>
      </c>
      <c r="D2259" t="s">
        <v>204</v>
      </c>
      <c r="E2259" t="s">
        <v>110</v>
      </c>
      <c r="F2259">
        <v>947.16052634247239</v>
      </c>
      <c r="G2259">
        <v>2028</v>
      </c>
      <c r="H2259">
        <v>6</v>
      </c>
      <c r="I2259">
        <v>1</v>
      </c>
    </row>
    <row r="2260" spans="1:9" x14ac:dyDescent="0.35">
      <c r="A2260" t="str">
        <f t="shared" si="35"/>
        <v>fcrincomeS1202861</v>
      </c>
      <c r="C2260" t="s">
        <v>102</v>
      </c>
      <c r="D2260" t="s">
        <v>101</v>
      </c>
      <c r="E2260" t="s">
        <v>110</v>
      </c>
      <c r="F2260">
        <v>0</v>
      </c>
      <c r="G2260">
        <v>2028</v>
      </c>
      <c r="H2260">
        <v>6</v>
      </c>
      <c r="I2260">
        <v>1</v>
      </c>
    </row>
    <row r="2261" spans="1:9" x14ac:dyDescent="0.35">
      <c r="A2261" t="str">
        <f t="shared" si="35"/>
        <v>fcractivation_hoursS1202861</v>
      </c>
      <c r="C2261" t="s">
        <v>102</v>
      </c>
      <c r="D2261" t="s">
        <v>115</v>
      </c>
      <c r="E2261" t="s">
        <v>110</v>
      </c>
      <c r="F2261">
        <v>0</v>
      </c>
      <c r="G2261">
        <v>2028</v>
      </c>
      <c r="H2261">
        <v>6</v>
      </c>
      <c r="I2261">
        <v>1</v>
      </c>
    </row>
    <row r="2262" spans="1:9" x14ac:dyDescent="0.35">
      <c r="A2262" t="str">
        <f t="shared" si="35"/>
        <v>afrrincomeS1202861</v>
      </c>
      <c r="C2262" t="s">
        <v>103</v>
      </c>
      <c r="D2262" t="s">
        <v>101</v>
      </c>
      <c r="E2262" t="s">
        <v>110</v>
      </c>
      <c r="F2262">
        <v>242201.47993468941</v>
      </c>
      <c r="G2262">
        <v>2028</v>
      </c>
      <c r="H2262">
        <v>6</v>
      </c>
      <c r="I2262">
        <v>1</v>
      </c>
    </row>
    <row r="2263" spans="1:9" x14ac:dyDescent="0.35">
      <c r="A2263" t="str">
        <f t="shared" si="35"/>
        <v>afrractivation_hoursS1202861</v>
      </c>
      <c r="C2263" t="s">
        <v>103</v>
      </c>
      <c r="D2263" t="s">
        <v>115</v>
      </c>
      <c r="E2263" t="s">
        <v>110</v>
      </c>
      <c r="F2263">
        <v>8760</v>
      </c>
      <c r="G2263">
        <v>2028</v>
      </c>
      <c r="H2263">
        <v>6</v>
      </c>
      <c r="I2263">
        <v>1</v>
      </c>
    </row>
    <row r="2264" spans="1:9" x14ac:dyDescent="0.35">
      <c r="A2264" t="str">
        <f t="shared" si="35"/>
        <v>networkturpe_power_costS1202961</v>
      </c>
      <c r="C2264" t="s">
        <v>96</v>
      </c>
      <c r="D2264" t="s">
        <v>97</v>
      </c>
      <c r="E2264" t="s">
        <v>110</v>
      </c>
      <c r="F2264">
        <v>7255.9980642183536</v>
      </c>
      <c r="G2264">
        <v>2029</v>
      </c>
      <c r="H2264">
        <v>6</v>
      </c>
      <c r="I2264">
        <v>1</v>
      </c>
    </row>
    <row r="2265" spans="1:9" x14ac:dyDescent="0.35">
      <c r="A2265" t="str">
        <f t="shared" si="35"/>
        <v>networkturpe_energy_costS1202961</v>
      </c>
      <c r="C2265" t="s">
        <v>96</v>
      </c>
      <c r="D2265" t="s">
        <v>98</v>
      </c>
      <c r="E2265" t="s">
        <v>110</v>
      </c>
      <c r="F2265">
        <v>275.57551746516998</v>
      </c>
      <c r="G2265">
        <v>2029</v>
      </c>
      <c r="H2265">
        <v>6</v>
      </c>
      <c r="I2265">
        <v>1</v>
      </c>
    </row>
    <row r="2266" spans="1:9" x14ac:dyDescent="0.35">
      <c r="A2266" t="str">
        <f t="shared" si="35"/>
        <v>DAcostS1202961</v>
      </c>
      <c r="C2266" t="s">
        <v>99</v>
      </c>
      <c r="D2266" t="s">
        <v>100</v>
      </c>
      <c r="E2266" t="s">
        <v>110</v>
      </c>
      <c r="F2266">
        <v>1360.0378763423071</v>
      </c>
      <c r="G2266">
        <v>2029</v>
      </c>
      <c r="H2266">
        <v>6</v>
      </c>
      <c r="I2266">
        <v>1</v>
      </c>
    </row>
    <row r="2267" spans="1:9" x14ac:dyDescent="0.35">
      <c r="A2267" t="str">
        <f t="shared" si="35"/>
        <v>DAincomeS1202961</v>
      </c>
      <c r="C2267" t="s">
        <v>99</v>
      </c>
      <c r="D2267" t="s">
        <v>101</v>
      </c>
      <c r="E2267" t="s">
        <v>110</v>
      </c>
      <c r="F2267">
        <v>282.12646163174242</v>
      </c>
      <c r="G2267">
        <v>2029</v>
      </c>
      <c r="H2267">
        <v>6</v>
      </c>
      <c r="I2267">
        <v>1</v>
      </c>
    </row>
    <row r="2268" spans="1:9" x14ac:dyDescent="0.35">
      <c r="A2268" t="str">
        <f t="shared" si="35"/>
        <v>DAenergy_boughtS1202961</v>
      </c>
      <c r="C2268" t="s">
        <v>99</v>
      </c>
      <c r="D2268" t="s">
        <v>111</v>
      </c>
      <c r="E2268" t="s">
        <v>110</v>
      </c>
      <c r="F2268">
        <v>15.906628536488521</v>
      </c>
      <c r="G2268">
        <v>2029</v>
      </c>
      <c r="H2268">
        <v>6</v>
      </c>
      <c r="I2268">
        <v>1</v>
      </c>
    </row>
    <row r="2269" spans="1:9" x14ac:dyDescent="0.35">
      <c r="A2269" t="str">
        <f t="shared" si="35"/>
        <v>DAenergy_soldS1202961</v>
      </c>
      <c r="C2269" t="s">
        <v>99</v>
      </c>
      <c r="D2269" t="s">
        <v>112</v>
      </c>
      <c r="E2269" t="s">
        <v>110</v>
      </c>
      <c r="F2269">
        <v>2.2008122782892952</v>
      </c>
      <c r="G2269">
        <v>2029</v>
      </c>
      <c r="H2269">
        <v>6</v>
      </c>
      <c r="I2269">
        <v>1</v>
      </c>
    </row>
    <row r="2270" spans="1:9" x14ac:dyDescent="0.35">
      <c r="A2270" t="str">
        <f t="shared" si="35"/>
        <v>DAhours_boughtS1202961</v>
      </c>
      <c r="B2270" t="s">
        <v>95</v>
      </c>
      <c r="C2270" t="s">
        <v>99</v>
      </c>
      <c r="D2270" t="s">
        <v>113</v>
      </c>
      <c r="E2270" t="s">
        <v>110</v>
      </c>
      <c r="F2270">
        <v>6106</v>
      </c>
      <c r="G2270">
        <v>2029</v>
      </c>
      <c r="H2270">
        <v>6</v>
      </c>
      <c r="I2270">
        <v>1</v>
      </c>
    </row>
    <row r="2271" spans="1:9" x14ac:dyDescent="0.35">
      <c r="A2271" t="str">
        <f t="shared" si="35"/>
        <v>DAhours_soldS1202961</v>
      </c>
      <c r="B2271" t="s">
        <v>95</v>
      </c>
      <c r="C2271" t="s">
        <v>99</v>
      </c>
      <c r="D2271" t="s">
        <v>114</v>
      </c>
      <c r="E2271" t="s">
        <v>110</v>
      </c>
      <c r="F2271">
        <v>2</v>
      </c>
      <c r="G2271">
        <v>2029</v>
      </c>
      <c r="H2271">
        <v>6</v>
      </c>
      <c r="I2271">
        <v>1</v>
      </c>
    </row>
    <row r="2272" spans="1:9" x14ac:dyDescent="0.35">
      <c r="A2272" t="str">
        <f t="shared" si="35"/>
        <v>DAco2_emissionS1202961</v>
      </c>
      <c r="C2272" t="s">
        <v>99</v>
      </c>
      <c r="D2272" t="s">
        <v>204</v>
      </c>
      <c r="E2272" t="s">
        <v>110</v>
      </c>
      <c r="F2272">
        <v>1113.4639975542759</v>
      </c>
      <c r="G2272">
        <v>2029</v>
      </c>
      <c r="H2272">
        <v>6</v>
      </c>
      <c r="I2272">
        <v>1</v>
      </c>
    </row>
    <row r="2273" spans="1:9" x14ac:dyDescent="0.35">
      <c r="A2273" t="str">
        <f t="shared" si="35"/>
        <v>fcrincomeS1202961</v>
      </c>
      <c r="C2273" t="s">
        <v>102</v>
      </c>
      <c r="D2273" t="s">
        <v>101</v>
      </c>
      <c r="E2273" t="s">
        <v>110</v>
      </c>
      <c r="F2273">
        <v>0</v>
      </c>
      <c r="G2273">
        <v>2029</v>
      </c>
      <c r="H2273">
        <v>6</v>
      </c>
      <c r="I2273">
        <v>1</v>
      </c>
    </row>
    <row r="2274" spans="1:9" x14ac:dyDescent="0.35">
      <c r="A2274" t="str">
        <f t="shared" si="35"/>
        <v>fcractivation_hoursS1202961</v>
      </c>
      <c r="C2274" t="s">
        <v>102</v>
      </c>
      <c r="D2274" t="s">
        <v>115</v>
      </c>
      <c r="E2274" t="s">
        <v>110</v>
      </c>
      <c r="F2274">
        <v>0</v>
      </c>
      <c r="G2274">
        <v>2029</v>
      </c>
      <c r="H2274">
        <v>6</v>
      </c>
      <c r="I2274">
        <v>1</v>
      </c>
    </row>
    <row r="2275" spans="1:9" x14ac:dyDescent="0.35">
      <c r="A2275" t="str">
        <f t="shared" si="35"/>
        <v>afrrincomeS1202961</v>
      </c>
      <c r="C2275" t="s">
        <v>103</v>
      </c>
      <c r="D2275" t="s">
        <v>101</v>
      </c>
      <c r="E2275" t="s">
        <v>110</v>
      </c>
      <c r="F2275">
        <v>250271.76324359741</v>
      </c>
      <c r="G2275">
        <v>2029</v>
      </c>
      <c r="H2275">
        <v>6</v>
      </c>
      <c r="I2275">
        <v>1</v>
      </c>
    </row>
    <row r="2276" spans="1:9" x14ac:dyDescent="0.35">
      <c r="A2276" t="str">
        <f t="shared" si="35"/>
        <v>afrractivation_hoursS1202961</v>
      </c>
      <c r="C2276" t="s">
        <v>103</v>
      </c>
      <c r="D2276" t="s">
        <v>115</v>
      </c>
      <c r="E2276" t="s">
        <v>110</v>
      </c>
      <c r="F2276">
        <v>8758</v>
      </c>
      <c r="G2276">
        <v>2029</v>
      </c>
      <c r="H2276">
        <v>6</v>
      </c>
      <c r="I2276">
        <v>1</v>
      </c>
    </row>
    <row r="2277" spans="1:9" x14ac:dyDescent="0.35">
      <c r="A2277" t="str">
        <f t="shared" si="35"/>
        <v>networkturpe_power_costS1203061</v>
      </c>
      <c r="C2277" t="s">
        <v>96</v>
      </c>
      <c r="D2277" t="s">
        <v>97</v>
      </c>
      <c r="E2277" t="s">
        <v>110</v>
      </c>
      <c r="F2277">
        <v>7082.9788976696591</v>
      </c>
      <c r="G2277">
        <v>2030</v>
      </c>
      <c r="H2277">
        <v>6</v>
      </c>
      <c r="I2277">
        <v>1</v>
      </c>
    </row>
    <row r="2278" spans="1:9" x14ac:dyDescent="0.35">
      <c r="A2278" t="str">
        <f t="shared" si="35"/>
        <v>networkturpe_energy_costS1203061</v>
      </c>
      <c r="C2278" t="s">
        <v>96</v>
      </c>
      <c r="D2278" t="s">
        <v>98</v>
      </c>
      <c r="E2278" t="s">
        <v>110</v>
      </c>
      <c r="F2278">
        <v>822.66684956833444</v>
      </c>
      <c r="G2278">
        <v>2030</v>
      </c>
      <c r="H2278">
        <v>6</v>
      </c>
      <c r="I2278">
        <v>1</v>
      </c>
    </row>
    <row r="2279" spans="1:9" x14ac:dyDescent="0.35">
      <c r="A2279" t="str">
        <f t="shared" si="35"/>
        <v>DAcostS1203061</v>
      </c>
      <c r="C2279" t="s">
        <v>99</v>
      </c>
      <c r="D2279" t="s">
        <v>100</v>
      </c>
      <c r="E2279" t="s">
        <v>110</v>
      </c>
      <c r="F2279">
        <v>3265.3267958464771</v>
      </c>
      <c r="G2279">
        <v>2030</v>
      </c>
      <c r="H2279">
        <v>6</v>
      </c>
      <c r="I2279">
        <v>1</v>
      </c>
    </row>
    <row r="2280" spans="1:9" x14ac:dyDescent="0.35">
      <c r="A2280" t="str">
        <f t="shared" si="35"/>
        <v>DAincomeS1203061</v>
      </c>
      <c r="C2280" t="s">
        <v>99</v>
      </c>
      <c r="D2280" t="s">
        <v>101</v>
      </c>
      <c r="E2280" t="s">
        <v>110</v>
      </c>
      <c r="F2280">
        <v>4394.4998186186049</v>
      </c>
      <c r="G2280">
        <v>2030</v>
      </c>
      <c r="H2280">
        <v>6</v>
      </c>
      <c r="I2280">
        <v>1</v>
      </c>
    </row>
    <row r="2281" spans="1:9" x14ac:dyDescent="0.35">
      <c r="A2281" t="str">
        <f t="shared" si="35"/>
        <v>DAenergy_boughtS1203061</v>
      </c>
      <c r="C2281" t="s">
        <v>99</v>
      </c>
      <c r="D2281" t="s">
        <v>111</v>
      </c>
      <c r="E2281" t="s">
        <v>110</v>
      </c>
      <c r="F2281">
        <v>57.512333364019213</v>
      </c>
      <c r="G2281">
        <v>2030</v>
      </c>
      <c r="H2281">
        <v>6</v>
      </c>
      <c r="I2281">
        <v>1</v>
      </c>
    </row>
    <row r="2282" spans="1:9" x14ac:dyDescent="0.35">
      <c r="A2282" t="str">
        <f t="shared" si="35"/>
        <v>DAenergy_soldS1203061</v>
      </c>
      <c r="B2282" t="s">
        <v>95</v>
      </c>
      <c r="C2282" t="s">
        <v>99</v>
      </c>
      <c r="D2282" t="s">
        <v>112</v>
      </c>
      <c r="E2282" t="s">
        <v>110</v>
      </c>
      <c r="F2282">
        <v>36.170701625584329</v>
      </c>
      <c r="G2282">
        <v>2030</v>
      </c>
      <c r="H2282">
        <v>6</v>
      </c>
      <c r="I2282">
        <v>1</v>
      </c>
    </row>
    <row r="2283" spans="1:9" x14ac:dyDescent="0.35">
      <c r="A2283" t="str">
        <f t="shared" si="35"/>
        <v>DAhours_boughtS1203061</v>
      </c>
      <c r="B2283" t="s">
        <v>95</v>
      </c>
      <c r="C2283" t="s">
        <v>99</v>
      </c>
      <c r="D2283" t="s">
        <v>113</v>
      </c>
      <c r="E2283" t="s">
        <v>110</v>
      </c>
      <c r="F2283">
        <v>4139</v>
      </c>
      <c r="G2283">
        <v>2030</v>
      </c>
      <c r="H2283">
        <v>6</v>
      </c>
      <c r="I2283">
        <v>1</v>
      </c>
    </row>
    <row r="2284" spans="1:9" x14ac:dyDescent="0.35">
      <c r="A2284" t="str">
        <f t="shared" si="35"/>
        <v>DAhours_soldS1203061</v>
      </c>
      <c r="C2284" t="s">
        <v>99</v>
      </c>
      <c r="D2284" t="s">
        <v>114</v>
      </c>
      <c r="E2284" t="s">
        <v>110</v>
      </c>
      <c r="F2284">
        <v>37</v>
      </c>
      <c r="G2284">
        <v>2030</v>
      </c>
      <c r="H2284">
        <v>6</v>
      </c>
      <c r="I2284">
        <v>1</v>
      </c>
    </row>
    <row r="2285" spans="1:9" x14ac:dyDescent="0.35">
      <c r="A2285" t="str">
        <f t="shared" si="35"/>
        <v>DAco2_emissionS1203061</v>
      </c>
      <c r="C2285" t="s">
        <v>99</v>
      </c>
      <c r="D2285" t="s">
        <v>204</v>
      </c>
      <c r="E2285" t="s">
        <v>110</v>
      </c>
      <c r="F2285">
        <v>4025.8633354813351</v>
      </c>
      <c r="G2285">
        <v>2030</v>
      </c>
      <c r="H2285">
        <v>6</v>
      </c>
      <c r="I2285">
        <v>1</v>
      </c>
    </row>
    <row r="2286" spans="1:9" x14ac:dyDescent="0.35">
      <c r="A2286" t="str">
        <f t="shared" si="35"/>
        <v>fcrincomeS1203061</v>
      </c>
      <c r="C2286" t="s">
        <v>102</v>
      </c>
      <c r="D2286" t="s">
        <v>101</v>
      </c>
      <c r="E2286" t="s">
        <v>110</v>
      </c>
      <c r="F2286">
        <v>5.1349909263601209E-2</v>
      </c>
      <c r="G2286">
        <v>2030</v>
      </c>
      <c r="H2286">
        <v>6</v>
      </c>
      <c r="I2286">
        <v>1</v>
      </c>
    </row>
    <row r="2287" spans="1:9" x14ac:dyDescent="0.35">
      <c r="A2287" t="str">
        <f t="shared" si="35"/>
        <v>fcractivation_hoursS1203061</v>
      </c>
      <c r="C2287" t="s">
        <v>102</v>
      </c>
      <c r="D2287" t="s">
        <v>115</v>
      </c>
      <c r="E2287" t="s">
        <v>110</v>
      </c>
      <c r="F2287">
        <v>4</v>
      </c>
      <c r="G2287">
        <v>2030</v>
      </c>
      <c r="H2287">
        <v>6</v>
      </c>
      <c r="I2287">
        <v>1</v>
      </c>
    </row>
    <row r="2288" spans="1:9" x14ac:dyDescent="0.35">
      <c r="A2288" t="str">
        <f t="shared" si="35"/>
        <v>afrrincomeS1203061</v>
      </c>
      <c r="C2288" t="s">
        <v>103</v>
      </c>
      <c r="D2288" t="s">
        <v>101</v>
      </c>
      <c r="E2288" t="s">
        <v>110</v>
      </c>
      <c r="F2288">
        <v>148287.908020309</v>
      </c>
      <c r="G2288">
        <v>2030</v>
      </c>
      <c r="H2288">
        <v>6</v>
      </c>
      <c r="I2288">
        <v>1</v>
      </c>
    </row>
    <row r="2289" spans="1:9" x14ac:dyDescent="0.35">
      <c r="A2289" t="str">
        <f t="shared" si="35"/>
        <v>afrractivation_hoursS1203061</v>
      </c>
      <c r="C2289" t="s">
        <v>103</v>
      </c>
      <c r="D2289" t="s">
        <v>115</v>
      </c>
      <c r="E2289" t="s">
        <v>110</v>
      </c>
      <c r="F2289">
        <v>8722</v>
      </c>
      <c r="G2289">
        <v>2030</v>
      </c>
      <c r="H2289">
        <v>6</v>
      </c>
      <c r="I2289">
        <v>1</v>
      </c>
    </row>
    <row r="2290" spans="1:9" x14ac:dyDescent="0.35">
      <c r="A2290" t="str">
        <f t="shared" si="35"/>
        <v>networkturpe_power_costS1203161</v>
      </c>
      <c r="C2290" t="s">
        <v>96</v>
      </c>
      <c r="D2290" t="s">
        <v>97</v>
      </c>
      <c r="E2290" t="s">
        <v>110</v>
      </c>
      <c r="F2290">
        <v>6906.9029283988784</v>
      </c>
      <c r="G2290">
        <v>2031</v>
      </c>
      <c r="H2290">
        <v>6</v>
      </c>
      <c r="I2290">
        <v>1</v>
      </c>
    </row>
    <row r="2291" spans="1:9" x14ac:dyDescent="0.35">
      <c r="A2291" t="str">
        <f t="shared" si="35"/>
        <v>networkturpe_energy_costS1203161</v>
      </c>
      <c r="C2291" t="s">
        <v>96</v>
      </c>
      <c r="D2291" t="s">
        <v>98</v>
      </c>
      <c r="E2291" t="s">
        <v>110</v>
      </c>
      <c r="F2291">
        <v>1192.561247410533</v>
      </c>
      <c r="G2291">
        <v>2031</v>
      </c>
      <c r="H2291">
        <v>6</v>
      </c>
      <c r="I2291">
        <v>1</v>
      </c>
    </row>
    <row r="2292" spans="1:9" x14ac:dyDescent="0.35">
      <c r="A2292" t="str">
        <f t="shared" si="35"/>
        <v>DAcostS1203161</v>
      </c>
      <c r="C2292" t="s">
        <v>99</v>
      </c>
      <c r="D2292" t="s">
        <v>100</v>
      </c>
      <c r="E2292" t="s">
        <v>110</v>
      </c>
      <c r="F2292">
        <v>3596.855500761993</v>
      </c>
      <c r="G2292">
        <v>2031</v>
      </c>
      <c r="H2292">
        <v>6</v>
      </c>
      <c r="I2292">
        <v>1</v>
      </c>
    </row>
    <row r="2293" spans="1:9" x14ac:dyDescent="0.35">
      <c r="A2293" t="str">
        <f t="shared" si="35"/>
        <v>DAincomeS1203161</v>
      </c>
      <c r="C2293" t="s">
        <v>99</v>
      </c>
      <c r="D2293" t="s">
        <v>101</v>
      </c>
      <c r="E2293" t="s">
        <v>110</v>
      </c>
      <c r="F2293">
        <v>6314.135493143508</v>
      </c>
      <c r="G2293">
        <v>2031</v>
      </c>
      <c r="H2293">
        <v>6</v>
      </c>
      <c r="I2293">
        <v>1</v>
      </c>
    </row>
    <row r="2294" spans="1:9" x14ac:dyDescent="0.35">
      <c r="A2294" t="str">
        <f t="shared" si="35"/>
        <v>DAenergy_boughtS1203161</v>
      </c>
      <c r="B2294" t="s">
        <v>95</v>
      </c>
      <c r="C2294" t="s">
        <v>99</v>
      </c>
      <c r="D2294" t="s">
        <v>111</v>
      </c>
      <c r="E2294" t="s">
        <v>110</v>
      </c>
      <c r="F2294">
        <v>83.793042716535481</v>
      </c>
      <c r="G2294">
        <v>2031</v>
      </c>
      <c r="H2294">
        <v>6</v>
      </c>
      <c r="I2294">
        <v>1</v>
      </c>
    </row>
    <row r="2295" spans="1:9" x14ac:dyDescent="0.35">
      <c r="A2295" t="str">
        <f t="shared" si="35"/>
        <v>DAenergy_soldS1203161</v>
      </c>
      <c r="B2295" t="s">
        <v>95</v>
      </c>
      <c r="C2295" t="s">
        <v>99</v>
      </c>
      <c r="D2295" t="s">
        <v>112</v>
      </c>
      <c r="E2295" t="s">
        <v>110</v>
      </c>
      <c r="F2295">
        <v>57.732740727125062</v>
      </c>
      <c r="G2295">
        <v>2031</v>
      </c>
      <c r="H2295">
        <v>6</v>
      </c>
      <c r="I2295">
        <v>1</v>
      </c>
    </row>
    <row r="2296" spans="1:9" x14ac:dyDescent="0.35">
      <c r="A2296" t="str">
        <f t="shared" si="35"/>
        <v>DAhours_boughtS1203161</v>
      </c>
      <c r="C2296" t="s">
        <v>99</v>
      </c>
      <c r="D2296" t="s">
        <v>113</v>
      </c>
      <c r="E2296" t="s">
        <v>110</v>
      </c>
      <c r="F2296">
        <v>4244</v>
      </c>
      <c r="G2296">
        <v>2031</v>
      </c>
      <c r="H2296">
        <v>6</v>
      </c>
      <c r="I2296">
        <v>1</v>
      </c>
    </row>
    <row r="2297" spans="1:9" x14ac:dyDescent="0.35">
      <c r="A2297" t="str">
        <f t="shared" si="35"/>
        <v>DAhours_soldS1203161</v>
      </c>
      <c r="C2297" t="s">
        <v>99</v>
      </c>
      <c r="D2297" t="s">
        <v>114</v>
      </c>
      <c r="E2297" t="s">
        <v>110</v>
      </c>
      <c r="F2297">
        <v>69</v>
      </c>
      <c r="G2297">
        <v>2031</v>
      </c>
      <c r="H2297">
        <v>6</v>
      </c>
      <c r="I2297">
        <v>1</v>
      </c>
    </row>
    <row r="2298" spans="1:9" x14ac:dyDescent="0.35">
      <c r="A2298" t="str">
        <f t="shared" si="35"/>
        <v>DAco2_emissionS1203161</v>
      </c>
      <c r="C2298" t="s">
        <v>99</v>
      </c>
      <c r="D2298" t="s">
        <v>204</v>
      </c>
      <c r="E2298" t="s">
        <v>110</v>
      </c>
      <c r="F2298">
        <v>5865.5129901576129</v>
      </c>
      <c r="G2298">
        <v>2031</v>
      </c>
      <c r="H2298">
        <v>6</v>
      </c>
      <c r="I2298">
        <v>1</v>
      </c>
    </row>
    <row r="2299" spans="1:9" x14ac:dyDescent="0.35">
      <c r="A2299" t="str">
        <f t="shared" si="35"/>
        <v>fcrincomeS1203161</v>
      </c>
      <c r="C2299" t="s">
        <v>102</v>
      </c>
      <c r="D2299" t="s">
        <v>101</v>
      </c>
      <c r="E2299" t="s">
        <v>110</v>
      </c>
      <c r="F2299">
        <v>1.9746401554900921E-2</v>
      </c>
      <c r="G2299">
        <v>2031</v>
      </c>
      <c r="H2299">
        <v>6</v>
      </c>
      <c r="I2299">
        <v>1</v>
      </c>
    </row>
    <row r="2300" spans="1:9" x14ac:dyDescent="0.35">
      <c r="A2300" t="str">
        <f t="shared" si="35"/>
        <v>fcractivation_hoursS1203161</v>
      </c>
      <c r="C2300" t="s">
        <v>102</v>
      </c>
      <c r="D2300" t="s">
        <v>115</v>
      </c>
      <c r="E2300" t="s">
        <v>110</v>
      </c>
      <c r="F2300">
        <v>4</v>
      </c>
      <c r="G2300">
        <v>2031</v>
      </c>
      <c r="H2300">
        <v>6</v>
      </c>
      <c r="I2300">
        <v>1</v>
      </c>
    </row>
    <row r="2301" spans="1:9" x14ac:dyDescent="0.35">
      <c r="A2301" t="str">
        <f t="shared" si="35"/>
        <v>afrrincomeS1203161</v>
      </c>
      <c r="C2301" t="s">
        <v>103</v>
      </c>
      <c r="D2301" t="s">
        <v>101</v>
      </c>
      <c r="E2301" t="s">
        <v>110</v>
      </c>
      <c r="F2301">
        <v>145006.44203878209</v>
      </c>
      <c r="G2301">
        <v>2031</v>
      </c>
      <c r="H2301">
        <v>6</v>
      </c>
      <c r="I2301">
        <v>1</v>
      </c>
    </row>
    <row r="2302" spans="1:9" x14ac:dyDescent="0.35">
      <c r="A2302" t="str">
        <f t="shared" si="35"/>
        <v>afrractivation_hoursS1203161</v>
      </c>
      <c r="C2302" t="s">
        <v>103</v>
      </c>
      <c r="D2302" t="s">
        <v>115</v>
      </c>
      <c r="E2302" t="s">
        <v>110</v>
      </c>
      <c r="F2302">
        <v>8700</v>
      </c>
      <c r="G2302">
        <v>2031</v>
      </c>
      <c r="H2302">
        <v>6</v>
      </c>
      <c r="I2302">
        <v>1</v>
      </c>
    </row>
    <row r="2303" spans="1:9" x14ac:dyDescent="0.35">
      <c r="A2303" t="str">
        <f t="shared" si="35"/>
        <v>networkturpe_power_costS1203261</v>
      </c>
      <c r="C2303" t="s">
        <v>96</v>
      </c>
      <c r="D2303" t="s">
        <v>97</v>
      </c>
      <c r="E2303" t="s">
        <v>110</v>
      </c>
      <c r="F2303">
        <v>6741.2755540464577</v>
      </c>
      <c r="G2303">
        <v>2032</v>
      </c>
      <c r="H2303">
        <v>6</v>
      </c>
      <c r="I2303">
        <v>1</v>
      </c>
    </row>
    <row r="2304" spans="1:9" x14ac:dyDescent="0.35">
      <c r="A2304" t="str">
        <f t="shared" si="35"/>
        <v>networkturpe_energy_costS1203261</v>
      </c>
      <c r="C2304" t="s">
        <v>96</v>
      </c>
      <c r="D2304" t="s">
        <v>98</v>
      </c>
      <c r="E2304" t="s">
        <v>110</v>
      </c>
      <c r="F2304">
        <v>1855.3779352849849</v>
      </c>
      <c r="G2304">
        <v>2032</v>
      </c>
      <c r="H2304">
        <v>6</v>
      </c>
      <c r="I2304">
        <v>1</v>
      </c>
    </row>
    <row r="2305" spans="1:9" x14ac:dyDescent="0.35">
      <c r="A2305" t="str">
        <f t="shared" si="35"/>
        <v>DAcostS1203261</v>
      </c>
      <c r="C2305" t="s">
        <v>99</v>
      </c>
      <c r="D2305" t="s">
        <v>100</v>
      </c>
      <c r="E2305" t="s">
        <v>110</v>
      </c>
      <c r="F2305">
        <v>6317.7482107294736</v>
      </c>
      <c r="G2305">
        <v>2032</v>
      </c>
      <c r="H2305">
        <v>6</v>
      </c>
      <c r="I2305">
        <v>1</v>
      </c>
    </row>
    <row r="2306" spans="1:9" x14ac:dyDescent="0.35">
      <c r="A2306" t="str">
        <f t="shared" si="35"/>
        <v>DAincomeS1203261</v>
      </c>
      <c r="B2306" t="s">
        <v>95</v>
      </c>
      <c r="C2306" t="s">
        <v>99</v>
      </c>
      <c r="D2306" t="s">
        <v>101</v>
      </c>
      <c r="E2306" t="s">
        <v>110</v>
      </c>
      <c r="F2306">
        <v>11793.345228743339</v>
      </c>
      <c r="G2306">
        <v>2032</v>
      </c>
      <c r="H2306">
        <v>6</v>
      </c>
      <c r="I2306">
        <v>1</v>
      </c>
    </row>
    <row r="2307" spans="1:9" x14ac:dyDescent="0.35">
      <c r="A2307" t="str">
        <f t="shared" ref="A2307:A2370" si="36">C2307&amp;D2307&amp;E2307&amp;G2307&amp;H2307&amp;I2307</f>
        <v>DAenergy_boughtS1203261</v>
      </c>
      <c r="B2307" t="s">
        <v>95</v>
      </c>
      <c r="C2307" t="s">
        <v>99</v>
      </c>
      <c r="D2307" t="s">
        <v>111</v>
      </c>
      <c r="E2307" t="s">
        <v>110</v>
      </c>
      <c r="F2307">
        <v>143.78196753074971</v>
      </c>
      <c r="G2307">
        <v>2032</v>
      </c>
      <c r="H2307">
        <v>6</v>
      </c>
      <c r="I2307">
        <v>1</v>
      </c>
    </row>
    <row r="2308" spans="1:9" x14ac:dyDescent="0.35">
      <c r="A2308" t="str">
        <f t="shared" si="36"/>
        <v>DAenergy_soldS1203261</v>
      </c>
      <c r="C2308" t="s">
        <v>99</v>
      </c>
      <c r="D2308" t="s">
        <v>112</v>
      </c>
      <c r="E2308" t="s">
        <v>110</v>
      </c>
      <c r="F2308">
        <v>106.6074722372383</v>
      </c>
      <c r="G2308">
        <v>2032</v>
      </c>
      <c r="H2308">
        <v>6</v>
      </c>
      <c r="I2308">
        <v>1</v>
      </c>
    </row>
    <row r="2309" spans="1:9" x14ac:dyDescent="0.35">
      <c r="A2309" t="str">
        <f t="shared" si="36"/>
        <v>DAhours_boughtS1203261</v>
      </c>
      <c r="C2309" t="s">
        <v>99</v>
      </c>
      <c r="D2309" t="s">
        <v>113</v>
      </c>
      <c r="E2309" t="s">
        <v>110</v>
      </c>
      <c r="F2309">
        <v>4112</v>
      </c>
      <c r="G2309">
        <v>2032</v>
      </c>
      <c r="H2309">
        <v>6</v>
      </c>
      <c r="I2309">
        <v>1</v>
      </c>
    </row>
    <row r="2310" spans="1:9" x14ac:dyDescent="0.35">
      <c r="A2310" t="str">
        <f t="shared" si="36"/>
        <v>DAhours_soldS1203261</v>
      </c>
      <c r="C2310" t="s">
        <v>99</v>
      </c>
      <c r="D2310" t="s">
        <v>114</v>
      </c>
      <c r="E2310" t="s">
        <v>110</v>
      </c>
      <c r="F2310">
        <v>96</v>
      </c>
      <c r="G2310">
        <v>2032</v>
      </c>
      <c r="H2310">
        <v>6</v>
      </c>
      <c r="I2310">
        <v>1</v>
      </c>
    </row>
    <row r="2311" spans="1:9" x14ac:dyDescent="0.35">
      <c r="A2311" t="str">
        <f t="shared" si="36"/>
        <v>DAco2_emissionS1203261</v>
      </c>
      <c r="C2311" t="s">
        <v>99</v>
      </c>
      <c r="D2311" t="s">
        <v>204</v>
      </c>
      <c r="E2311" t="s">
        <v>110</v>
      </c>
      <c r="F2311">
        <v>10064.73772715268</v>
      </c>
      <c r="G2311">
        <v>2032</v>
      </c>
      <c r="H2311">
        <v>6</v>
      </c>
      <c r="I2311">
        <v>1</v>
      </c>
    </row>
    <row r="2312" spans="1:9" x14ac:dyDescent="0.35">
      <c r="A2312" t="str">
        <f t="shared" si="36"/>
        <v>fcrincomeS1203261</v>
      </c>
      <c r="C2312" t="s">
        <v>102</v>
      </c>
      <c r="D2312" t="s">
        <v>101</v>
      </c>
      <c r="E2312" t="s">
        <v>110</v>
      </c>
      <c r="F2312">
        <v>0.1993863152086405</v>
      </c>
      <c r="G2312">
        <v>2032</v>
      </c>
      <c r="H2312">
        <v>6</v>
      </c>
      <c r="I2312">
        <v>1</v>
      </c>
    </row>
    <row r="2313" spans="1:9" x14ac:dyDescent="0.35">
      <c r="A2313" t="str">
        <f t="shared" si="36"/>
        <v>fcractivation_hoursS1203261</v>
      </c>
      <c r="C2313" t="s">
        <v>102</v>
      </c>
      <c r="D2313" t="s">
        <v>115</v>
      </c>
      <c r="E2313" t="s">
        <v>110</v>
      </c>
      <c r="F2313">
        <v>20</v>
      </c>
      <c r="G2313">
        <v>2032</v>
      </c>
      <c r="H2313">
        <v>6</v>
      </c>
      <c r="I2313">
        <v>1</v>
      </c>
    </row>
    <row r="2314" spans="1:9" x14ac:dyDescent="0.35">
      <c r="A2314" t="str">
        <f t="shared" si="36"/>
        <v>afrrincomeS1203261</v>
      </c>
      <c r="C2314" t="s">
        <v>103</v>
      </c>
      <c r="D2314" t="s">
        <v>101</v>
      </c>
      <c r="E2314" t="s">
        <v>110</v>
      </c>
      <c r="F2314">
        <v>139339.59461685771</v>
      </c>
      <c r="G2314">
        <v>2032</v>
      </c>
      <c r="H2314">
        <v>6</v>
      </c>
      <c r="I2314">
        <v>1</v>
      </c>
    </row>
    <row r="2315" spans="1:9" x14ac:dyDescent="0.35">
      <c r="A2315" t="str">
        <f t="shared" si="36"/>
        <v>afrractivation_hoursS1203261</v>
      </c>
      <c r="C2315" t="s">
        <v>103</v>
      </c>
      <c r="D2315" t="s">
        <v>115</v>
      </c>
      <c r="E2315" t="s">
        <v>110</v>
      </c>
      <c r="F2315">
        <v>8625</v>
      </c>
      <c r="G2315">
        <v>2032</v>
      </c>
      <c r="H2315">
        <v>6</v>
      </c>
      <c r="I2315">
        <v>1</v>
      </c>
    </row>
    <row r="2316" spans="1:9" x14ac:dyDescent="0.35">
      <c r="A2316" t="str">
        <f t="shared" si="36"/>
        <v>networkturpe_power_costS1203361</v>
      </c>
      <c r="C2316" t="s">
        <v>96</v>
      </c>
      <c r="D2316" t="s">
        <v>97</v>
      </c>
      <c r="E2316" t="s">
        <v>110</v>
      </c>
      <c r="F2316">
        <v>6568.4703154638482</v>
      </c>
      <c r="G2316">
        <v>2033</v>
      </c>
      <c r="H2316">
        <v>6</v>
      </c>
      <c r="I2316">
        <v>1</v>
      </c>
    </row>
    <row r="2317" spans="1:9" x14ac:dyDescent="0.35">
      <c r="A2317" t="str">
        <f t="shared" si="36"/>
        <v>networkturpe_energy_costS1203361</v>
      </c>
      <c r="C2317" t="s">
        <v>96</v>
      </c>
      <c r="D2317" t="s">
        <v>98</v>
      </c>
      <c r="E2317" t="s">
        <v>110</v>
      </c>
      <c r="F2317">
        <v>1294.637359034579</v>
      </c>
      <c r="G2317">
        <v>2033</v>
      </c>
      <c r="H2317">
        <v>6</v>
      </c>
      <c r="I2317">
        <v>1</v>
      </c>
    </row>
    <row r="2318" spans="1:9" x14ac:dyDescent="0.35">
      <c r="A2318" t="str">
        <f t="shared" si="36"/>
        <v>DAcostS1203361</v>
      </c>
      <c r="B2318" t="s">
        <v>95</v>
      </c>
      <c r="C2318" t="s">
        <v>99</v>
      </c>
      <c r="D2318" t="s">
        <v>100</v>
      </c>
      <c r="E2318" t="s">
        <v>110</v>
      </c>
      <c r="F2318">
        <v>4381.9309382000756</v>
      </c>
      <c r="G2318">
        <v>2033</v>
      </c>
      <c r="H2318">
        <v>6</v>
      </c>
      <c r="I2318">
        <v>1</v>
      </c>
    </row>
    <row r="2319" spans="1:9" x14ac:dyDescent="0.35">
      <c r="A2319" t="str">
        <f t="shared" si="36"/>
        <v>DAincomeS1203361</v>
      </c>
      <c r="B2319" t="s">
        <v>95</v>
      </c>
      <c r="C2319" t="s">
        <v>99</v>
      </c>
      <c r="D2319" t="s">
        <v>101</v>
      </c>
      <c r="E2319" t="s">
        <v>110</v>
      </c>
      <c r="F2319">
        <v>7955.7296204717304</v>
      </c>
      <c r="G2319">
        <v>2033</v>
      </c>
      <c r="H2319">
        <v>6</v>
      </c>
      <c r="I2319">
        <v>1</v>
      </c>
    </row>
    <row r="2320" spans="1:9" x14ac:dyDescent="0.35">
      <c r="A2320" t="str">
        <f t="shared" si="36"/>
        <v>DAenergy_boughtS1203361</v>
      </c>
      <c r="C2320" t="s">
        <v>99</v>
      </c>
      <c r="D2320" t="s">
        <v>111</v>
      </c>
      <c r="E2320" t="s">
        <v>110</v>
      </c>
      <c r="F2320">
        <v>102.07080963866569</v>
      </c>
      <c r="G2320">
        <v>2033</v>
      </c>
      <c r="H2320">
        <v>6</v>
      </c>
      <c r="I2320">
        <v>1</v>
      </c>
    </row>
    <row r="2321" spans="1:9" x14ac:dyDescent="0.35">
      <c r="A2321" t="str">
        <f t="shared" si="36"/>
        <v>DAenergy_soldS1203361</v>
      </c>
      <c r="C2321" t="s">
        <v>99</v>
      </c>
      <c r="D2321" t="s">
        <v>112</v>
      </c>
      <c r="E2321" t="s">
        <v>110</v>
      </c>
      <c r="F2321">
        <v>73.089923489818418</v>
      </c>
      <c r="G2321">
        <v>2033</v>
      </c>
      <c r="H2321">
        <v>6</v>
      </c>
      <c r="I2321">
        <v>1</v>
      </c>
    </row>
    <row r="2322" spans="1:9" x14ac:dyDescent="0.35">
      <c r="A2322" t="str">
        <f t="shared" si="36"/>
        <v>DAhours_boughtS1203361</v>
      </c>
      <c r="C2322" t="s">
        <v>99</v>
      </c>
      <c r="D2322" t="s">
        <v>113</v>
      </c>
      <c r="E2322" t="s">
        <v>110</v>
      </c>
      <c r="F2322">
        <v>4297</v>
      </c>
      <c r="G2322">
        <v>2033</v>
      </c>
      <c r="H2322">
        <v>6</v>
      </c>
      <c r="I2322">
        <v>1</v>
      </c>
    </row>
    <row r="2323" spans="1:9" x14ac:dyDescent="0.35">
      <c r="A2323" t="str">
        <f t="shared" si="36"/>
        <v>DAhours_soldS1203361</v>
      </c>
      <c r="C2323" t="s">
        <v>99</v>
      </c>
      <c r="D2323" t="s">
        <v>114</v>
      </c>
      <c r="E2323" t="s">
        <v>110</v>
      </c>
      <c r="F2323">
        <v>76</v>
      </c>
      <c r="G2323">
        <v>2033</v>
      </c>
      <c r="H2323">
        <v>6</v>
      </c>
      <c r="I2323">
        <v>1</v>
      </c>
    </row>
    <row r="2324" spans="1:9" x14ac:dyDescent="0.35">
      <c r="A2324" t="str">
        <f t="shared" si="36"/>
        <v>DAco2_emissionS1203361</v>
      </c>
      <c r="C2324" t="s">
        <v>99</v>
      </c>
      <c r="D2324" t="s">
        <v>204</v>
      </c>
      <c r="E2324" t="s">
        <v>110</v>
      </c>
      <c r="F2324">
        <v>7144.9566747061954</v>
      </c>
      <c r="G2324">
        <v>2033</v>
      </c>
      <c r="H2324">
        <v>6</v>
      </c>
      <c r="I2324">
        <v>1</v>
      </c>
    </row>
    <row r="2325" spans="1:9" x14ac:dyDescent="0.35">
      <c r="A2325" t="str">
        <f t="shared" si="36"/>
        <v>fcrincomeS1203361</v>
      </c>
      <c r="C2325" t="s">
        <v>102</v>
      </c>
      <c r="D2325" t="s">
        <v>101</v>
      </c>
      <c r="E2325" t="s">
        <v>110</v>
      </c>
      <c r="F2325">
        <v>5.0184972860396117E-2</v>
      </c>
      <c r="G2325">
        <v>2033</v>
      </c>
      <c r="H2325">
        <v>6</v>
      </c>
      <c r="I2325">
        <v>1</v>
      </c>
    </row>
    <row r="2326" spans="1:9" x14ac:dyDescent="0.35">
      <c r="A2326" t="str">
        <f t="shared" si="36"/>
        <v>fcractivation_hoursS1203361</v>
      </c>
      <c r="C2326" t="s">
        <v>102</v>
      </c>
      <c r="D2326" t="s">
        <v>115</v>
      </c>
      <c r="E2326" t="s">
        <v>110</v>
      </c>
      <c r="F2326">
        <v>8</v>
      </c>
      <c r="G2326">
        <v>2033</v>
      </c>
      <c r="H2326">
        <v>6</v>
      </c>
      <c r="I2326">
        <v>1</v>
      </c>
    </row>
    <row r="2327" spans="1:9" x14ac:dyDescent="0.35">
      <c r="A2327" t="str">
        <f t="shared" si="36"/>
        <v>afrrincomeS1203361</v>
      </c>
      <c r="C2327" t="s">
        <v>103</v>
      </c>
      <c r="D2327" t="s">
        <v>101</v>
      </c>
      <c r="E2327" t="s">
        <v>110</v>
      </c>
      <c r="F2327">
        <v>140447.99483196571</v>
      </c>
      <c r="G2327">
        <v>2033</v>
      </c>
      <c r="H2327">
        <v>6</v>
      </c>
      <c r="I2327">
        <v>1</v>
      </c>
    </row>
    <row r="2328" spans="1:9" x14ac:dyDescent="0.35">
      <c r="A2328" t="str">
        <f t="shared" si="36"/>
        <v>afrractivation_hoursS1203361</v>
      </c>
      <c r="C2328" t="s">
        <v>103</v>
      </c>
      <c r="D2328" t="s">
        <v>115</v>
      </c>
      <c r="E2328" t="s">
        <v>110</v>
      </c>
      <c r="F2328">
        <v>8648</v>
      </c>
      <c r="G2328">
        <v>2033</v>
      </c>
      <c r="H2328">
        <v>6</v>
      </c>
      <c r="I2328">
        <v>1</v>
      </c>
    </row>
    <row r="2329" spans="1:9" x14ac:dyDescent="0.35">
      <c r="A2329" t="str">
        <f t="shared" si="36"/>
        <v>networkturpe_power_costS1203461</v>
      </c>
      <c r="C2329" t="s">
        <v>96</v>
      </c>
      <c r="D2329" t="s">
        <v>97</v>
      </c>
      <c r="E2329" t="s">
        <v>110</v>
      </c>
      <c r="F2329">
        <v>6402.0313754585459</v>
      </c>
      <c r="G2329">
        <v>2034</v>
      </c>
      <c r="H2329">
        <v>6</v>
      </c>
      <c r="I2329">
        <v>1</v>
      </c>
    </row>
    <row r="2330" spans="1:9" x14ac:dyDescent="0.35">
      <c r="A2330" t="str">
        <f t="shared" si="36"/>
        <v>networkturpe_energy_costS1203461</v>
      </c>
      <c r="B2330" t="s">
        <v>95</v>
      </c>
      <c r="C2330" t="s">
        <v>96</v>
      </c>
      <c r="D2330" t="s">
        <v>98</v>
      </c>
      <c r="E2330" t="s">
        <v>110</v>
      </c>
      <c r="F2330">
        <v>1416.6442014404749</v>
      </c>
      <c r="G2330">
        <v>2034</v>
      </c>
      <c r="H2330">
        <v>6</v>
      </c>
      <c r="I2330">
        <v>1</v>
      </c>
    </row>
    <row r="2331" spans="1:9" x14ac:dyDescent="0.35">
      <c r="A2331" t="str">
        <f t="shared" si="36"/>
        <v>DAcostS1203461</v>
      </c>
      <c r="B2331" t="s">
        <v>95</v>
      </c>
      <c r="C2331" t="s">
        <v>99</v>
      </c>
      <c r="D2331" t="s">
        <v>100</v>
      </c>
      <c r="E2331" t="s">
        <v>110</v>
      </c>
      <c r="F2331">
        <v>4588.1011428599977</v>
      </c>
      <c r="G2331">
        <v>2034</v>
      </c>
      <c r="H2331">
        <v>6</v>
      </c>
      <c r="I2331">
        <v>1</v>
      </c>
    </row>
    <row r="2332" spans="1:9" x14ac:dyDescent="0.35">
      <c r="A2332" t="str">
        <f t="shared" si="36"/>
        <v>DAincomeS1203461</v>
      </c>
      <c r="C2332" t="s">
        <v>99</v>
      </c>
      <c r="D2332" t="s">
        <v>101</v>
      </c>
      <c r="E2332" t="s">
        <v>110</v>
      </c>
      <c r="F2332">
        <v>8270.2923923202798</v>
      </c>
      <c r="G2332">
        <v>2034</v>
      </c>
      <c r="H2332">
        <v>6</v>
      </c>
      <c r="I2332">
        <v>1</v>
      </c>
    </row>
    <row r="2333" spans="1:9" x14ac:dyDescent="0.35">
      <c r="A2333" t="str">
        <f t="shared" si="36"/>
        <v>DAenergy_boughtS1203461</v>
      </c>
      <c r="C2333" t="s">
        <v>99</v>
      </c>
      <c r="D2333" t="s">
        <v>111</v>
      </c>
      <c r="E2333" t="s">
        <v>110</v>
      </c>
      <c r="F2333">
        <v>103.51522577506999</v>
      </c>
      <c r="G2333">
        <v>2034</v>
      </c>
      <c r="H2333">
        <v>6</v>
      </c>
      <c r="I2333">
        <v>1</v>
      </c>
    </row>
    <row r="2334" spans="1:9" x14ac:dyDescent="0.35">
      <c r="A2334" t="str">
        <f t="shared" si="36"/>
        <v>DAenergy_soldS1203461</v>
      </c>
      <c r="C2334" t="s">
        <v>99</v>
      </c>
      <c r="D2334" t="s">
        <v>112</v>
      </c>
      <c r="E2334" t="s">
        <v>110</v>
      </c>
      <c r="F2334">
        <v>74.480719896938666</v>
      </c>
      <c r="G2334">
        <v>2034</v>
      </c>
      <c r="H2334">
        <v>6</v>
      </c>
      <c r="I2334">
        <v>1</v>
      </c>
    </row>
    <row r="2335" spans="1:9" x14ac:dyDescent="0.35">
      <c r="A2335" t="str">
        <f t="shared" si="36"/>
        <v>DAhours_boughtS1203461</v>
      </c>
      <c r="C2335" t="s">
        <v>99</v>
      </c>
      <c r="D2335" t="s">
        <v>113</v>
      </c>
      <c r="E2335" t="s">
        <v>110</v>
      </c>
      <c r="F2335">
        <v>4412</v>
      </c>
      <c r="G2335">
        <v>2034</v>
      </c>
      <c r="H2335">
        <v>6</v>
      </c>
      <c r="I2335">
        <v>1</v>
      </c>
    </row>
    <row r="2336" spans="1:9" x14ac:dyDescent="0.35">
      <c r="A2336" t="str">
        <f t="shared" si="36"/>
        <v>DAhours_soldS1203461</v>
      </c>
      <c r="C2336" t="s">
        <v>99</v>
      </c>
      <c r="D2336" t="s">
        <v>114</v>
      </c>
      <c r="E2336" t="s">
        <v>110</v>
      </c>
      <c r="F2336">
        <v>78</v>
      </c>
      <c r="G2336">
        <v>2034</v>
      </c>
      <c r="H2336">
        <v>6</v>
      </c>
      <c r="I2336">
        <v>1</v>
      </c>
    </row>
    <row r="2337" spans="1:9" x14ac:dyDescent="0.35">
      <c r="A2337" t="str">
        <f t="shared" si="36"/>
        <v>DAco2_emissionS1203461</v>
      </c>
      <c r="C2337" t="s">
        <v>99</v>
      </c>
      <c r="D2337" t="s">
        <v>204</v>
      </c>
      <c r="E2337" t="s">
        <v>110</v>
      </c>
      <c r="F2337">
        <v>7246.0658042546438</v>
      </c>
      <c r="G2337">
        <v>2034</v>
      </c>
      <c r="H2337">
        <v>6</v>
      </c>
      <c r="I2337">
        <v>1</v>
      </c>
    </row>
    <row r="2338" spans="1:9" x14ac:dyDescent="0.35">
      <c r="A2338" t="str">
        <f t="shared" si="36"/>
        <v>fcrincomeS1203461</v>
      </c>
      <c r="C2338" t="s">
        <v>102</v>
      </c>
      <c r="D2338" t="s">
        <v>101</v>
      </c>
      <c r="E2338" t="s">
        <v>110</v>
      </c>
      <c r="F2338">
        <v>4.3861731053393228E-2</v>
      </c>
      <c r="G2338">
        <v>2034</v>
      </c>
      <c r="H2338">
        <v>6</v>
      </c>
      <c r="I2338">
        <v>1</v>
      </c>
    </row>
    <row r="2339" spans="1:9" x14ac:dyDescent="0.35">
      <c r="A2339" t="str">
        <f t="shared" si="36"/>
        <v>fcractivation_hoursS1203461</v>
      </c>
      <c r="C2339" t="s">
        <v>102</v>
      </c>
      <c r="D2339" t="s">
        <v>115</v>
      </c>
      <c r="E2339" t="s">
        <v>110</v>
      </c>
      <c r="F2339">
        <v>4</v>
      </c>
      <c r="G2339">
        <v>2034</v>
      </c>
      <c r="H2339">
        <v>6</v>
      </c>
      <c r="I2339">
        <v>1</v>
      </c>
    </row>
    <row r="2340" spans="1:9" x14ac:dyDescent="0.35">
      <c r="A2340" t="str">
        <f t="shared" si="36"/>
        <v>afrrincomeS1203461</v>
      </c>
      <c r="C2340" t="s">
        <v>103</v>
      </c>
      <c r="D2340" t="s">
        <v>101</v>
      </c>
      <c r="E2340" t="s">
        <v>110</v>
      </c>
      <c r="F2340">
        <v>144086.35853080131</v>
      </c>
      <c r="G2340">
        <v>2034</v>
      </c>
      <c r="H2340">
        <v>6</v>
      </c>
      <c r="I2340">
        <v>1</v>
      </c>
    </row>
    <row r="2341" spans="1:9" x14ac:dyDescent="0.35">
      <c r="A2341" t="str">
        <f t="shared" si="36"/>
        <v>afrractivation_hoursS1203461</v>
      </c>
      <c r="C2341" t="s">
        <v>103</v>
      </c>
      <c r="D2341" t="s">
        <v>115</v>
      </c>
      <c r="E2341" t="s">
        <v>110</v>
      </c>
      <c r="F2341">
        <v>8658</v>
      </c>
      <c r="G2341">
        <v>2034</v>
      </c>
      <c r="H2341">
        <v>6</v>
      </c>
      <c r="I2341">
        <v>1</v>
      </c>
    </row>
    <row r="2342" spans="1:9" x14ac:dyDescent="0.35">
      <c r="A2342" t="str">
        <f t="shared" si="36"/>
        <v>networkturpe_power_costS1203561</v>
      </c>
      <c r="B2342" t="s">
        <v>95</v>
      </c>
      <c r="C2342" t="s">
        <v>96</v>
      </c>
      <c r="D2342" t="s">
        <v>97</v>
      </c>
      <c r="E2342" t="s">
        <v>110</v>
      </c>
      <c r="F2342">
        <v>6242.0854807381475</v>
      </c>
      <c r="G2342">
        <v>2035</v>
      </c>
      <c r="H2342">
        <v>6</v>
      </c>
      <c r="I2342">
        <v>1</v>
      </c>
    </row>
    <row r="2343" spans="1:9" x14ac:dyDescent="0.35">
      <c r="A2343" t="str">
        <f t="shared" si="36"/>
        <v>networkturpe_energy_costS1203561</v>
      </c>
      <c r="B2343" t="s">
        <v>95</v>
      </c>
      <c r="C2343" t="s">
        <v>96</v>
      </c>
      <c r="D2343" t="s">
        <v>98</v>
      </c>
      <c r="E2343" t="s">
        <v>110</v>
      </c>
      <c r="F2343">
        <v>1232.0009818646311</v>
      </c>
      <c r="G2343">
        <v>2035</v>
      </c>
      <c r="H2343">
        <v>6</v>
      </c>
      <c r="I2343">
        <v>1</v>
      </c>
    </row>
    <row r="2344" spans="1:9" x14ac:dyDescent="0.35">
      <c r="A2344" t="str">
        <f t="shared" si="36"/>
        <v>DAcostS1203561</v>
      </c>
      <c r="C2344" t="s">
        <v>99</v>
      </c>
      <c r="D2344" t="s">
        <v>100</v>
      </c>
      <c r="E2344" t="s">
        <v>110</v>
      </c>
      <c r="F2344">
        <v>3709.436062252511</v>
      </c>
      <c r="G2344">
        <v>2035</v>
      </c>
      <c r="H2344">
        <v>6</v>
      </c>
      <c r="I2344">
        <v>1</v>
      </c>
    </row>
    <row r="2345" spans="1:9" x14ac:dyDescent="0.35">
      <c r="A2345" t="str">
        <f t="shared" si="36"/>
        <v>DAincomeS1203561</v>
      </c>
      <c r="C2345" t="s">
        <v>99</v>
      </c>
      <c r="D2345" t="s">
        <v>101</v>
      </c>
      <c r="E2345" t="s">
        <v>110</v>
      </c>
      <c r="F2345">
        <v>7010.019441882413</v>
      </c>
      <c r="G2345">
        <v>2035</v>
      </c>
      <c r="H2345">
        <v>6</v>
      </c>
      <c r="I2345">
        <v>1</v>
      </c>
    </row>
    <row r="2346" spans="1:9" x14ac:dyDescent="0.35">
      <c r="A2346" t="str">
        <f t="shared" si="36"/>
        <v>DAenergy_boughtS1203561</v>
      </c>
      <c r="C2346" t="s">
        <v>99</v>
      </c>
      <c r="D2346" t="s">
        <v>111</v>
      </c>
      <c r="E2346" t="s">
        <v>110</v>
      </c>
      <c r="F2346">
        <v>88.426933725538618</v>
      </c>
      <c r="G2346">
        <v>2035</v>
      </c>
      <c r="H2346">
        <v>6</v>
      </c>
      <c r="I2346">
        <v>1</v>
      </c>
    </row>
    <row r="2347" spans="1:9" x14ac:dyDescent="0.35">
      <c r="A2347" t="str">
        <f t="shared" si="36"/>
        <v>DAenergy_soldS1203561</v>
      </c>
      <c r="C2347" t="s">
        <v>99</v>
      </c>
      <c r="D2347" t="s">
        <v>112</v>
      </c>
      <c r="E2347" t="s">
        <v>110</v>
      </c>
      <c r="F2347">
        <v>62.474147710541622</v>
      </c>
      <c r="G2347">
        <v>2035</v>
      </c>
      <c r="H2347">
        <v>6</v>
      </c>
      <c r="I2347">
        <v>1</v>
      </c>
    </row>
    <row r="2348" spans="1:9" x14ac:dyDescent="0.35">
      <c r="A2348" t="str">
        <f t="shared" si="36"/>
        <v>DAhours_boughtS1203561</v>
      </c>
      <c r="C2348" t="s">
        <v>99</v>
      </c>
      <c r="D2348" t="s">
        <v>113</v>
      </c>
      <c r="E2348" t="s">
        <v>110</v>
      </c>
      <c r="F2348">
        <v>4494</v>
      </c>
      <c r="G2348">
        <v>2035</v>
      </c>
      <c r="H2348">
        <v>6</v>
      </c>
      <c r="I2348">
        <v>1</v>
      </c>
    </row>
    <row r="2349" spans="1:9" x14ac:dyDescent="0.35">
      <c r="A2349" t="str">
        <f t="shared" si="36"/>
        <v>DAhours_soldS1203561</v>
      </c>
      <c r="C2349" t="s">
        <v>99</v>
      </c>
      <c r="D2349" t="s">
        <v>114</v>
      </c>
      <c r="E2349" t="s">
        <v>110</v>
      </c>
      <c r="F2349">
        <v>75</v>
      </c>
      <c r="G2349">
        <v>2035</v>
      </c>
      <c r="H2349">
        <v>6</v>
      </c>
      <c r="I2349">
        <v>1</v>
      </c>
    </row>
    <row r="2350" spans="1:9" x14ac:dyDescent="0.35">
      <c r="A2350" t="str">
        <f t="shared" si="36"/>
        <v>DAco2_emissionS1203561</v>
      </c>
      <c r="C2350" t="s">
        <v>99</v>
      </c>
      <c r="D2350" t="s">
        <v>204</v>
      </c>
      <c r="E2350" t="s">
        <v>110</v>
      </c>
      <c r="F2350">
        <v>6189.8853607878318</v>
      </c>
      <c r="G2350">
        <v>2035</v>
      </c>
      <c r="H2350">
        <v>6</v>
      </c>
      <c r="I2350">
        <v>1</v>
      </c>
    </row>
    <row r="2351" spans="1:9" x14ac:dyDescent="0.35">
      <c r="A2351" t="str">
        <f t="shared" si="36"/>
        <v>fcrincomeS1203561</v>
      </c>
      <c r="C2351" t="s">
        <v>102</v>
      </c>
      <c r="D2351" t="s">
        <v>101</v>
      </c>
      <c r="E2351" t="s">
        <v>110</v>
      </c>
      <c r="F2351">
        <v>0</v>
      </c>
      <c r="G2351">
        <v>2035</v>
      </c>
      <c r="H2351">
        <v>6</v>
      </c>
      <c r="I2351">
        <v>1</v>
      </c>
    </row>
    <row r="2352" spans="1:9" x14ac:dyDescent="0.35">
      <c r="A2352" t="str">
        <f t="shared" si="36"/>
        <v>fcractivation_hoursS1203561</v>
      </c>
      <c r="C2352" t="s">
        <v>102</v>
      </c>
      <c r="D2352" t="s">
        <v>115</v>
      </c>
      <c r="E2352" t="s">
        <v>110</v>
      </c>
      <c r="F2352">
        <v>0</v>
      </c>
      <c r="G2352">
        <v>2035</v>
      </c>
      <c r="H2352">
        <v>6</v>
      </c>
      <c r="I2352">
        <v>1</v>
      </c>
    </row>
    <row r="2353" spans="1:9" x14ac:dyDescent="0.35">
      <c r="A2353" t="str">
        <f t="shared" si="36"/>
        <v>afrrincomeS1203561</v>
      </c>
      <c r="C2353" t="s">
        <v>103</v>
      </c>
      <c r="D2353" t="s">
        <v>101</v>
      </c>
      <c r="E2353" t="s">
        <v>110</v>
      </c>
      <c r="F2353">
        <v>139633.24421528951</v>
      </c>
      <c r="G2353">
        <v>2035</v>
      </c>
      <c r="H2353">
        <v>6</v>
      </c>
      <c r="I2353">
        <v>1</v>
      </c>
    </row>
    <row r="2354" spans="1:9" x14ac:dyDescent="0.35">
      <c r="A2354" t="str">
        <f t="shared" si="36"/>
        <v>afrractivation_hoursS1203561</v>
      </c>
      <c r="B2354" t="s">
        <v>95</v>
      </c>
      <c r="C2354" t="s">
        <v>103</v>
      </c>
      <c r="D2354" t="s">
        <v>115</v>
      </c>
      <c r="E2354" t="s">
        <v>110</v>
      </c>
      <c r="F2354">
        <v>8669</v>
      </c>
      <c r="G2354">
        <v>2035</v>
      </c>
      <c r="H2354">
        <v>6</v>
      </c>
      <c r="I2354">
        <v>1</v>
      </c>
    </row>
    <row r="2355" spans="1:9" x14ac:dyDescent="0.35">
      <c r="A2355" t="str">
        <f t="shared" si="36"/>
        <v>networkturpe_power_costS1203661</v>
      </c>
      <c r="B2355" t="s">
        <v>95</v>
      </c>
      <c r="C2355" t="s">
        <v>96</v>
      </c>
      <c r="D2355" t="s">
        <v>97</v>
      </c>
      <c r="E2355" t="s">
        <v>110</v>
      </c>
      <c r="F2355">
        <v>6096.7466180211268</v>
      </c>
      <c r="G2355">
        <v>2036</v>
      </c>
      <c r="H2355">
        <v>6</v>
      </c>
      <c r="I2355">
        <v>1</v>
      </c>
    </row>
    <row r="2356" spans="1:9" x14ac:dyDescent="0.35">
      <c r="A2356" t="str">
        <f t="shared" si="36"/>
        <v>networkturpe_energy_costS1203661</v>
      </c>
      <c r="C2356" t="s">
        <v>96</v>
      </c>
      <c r="D2356" t="s">
        <v>98</v>
      </c>
      <c r="E2356" t="s">
        <v>110</v>
      </c>
      <c r="F2356">
        <v>1736.664540226873</v>
      </c>
      <c r="G2356">
        <v>2036</v>
      </c>
      <c r="H2356">
        <v>6</v>
      </c>
      <c r="I2356">
        <v>1</v>
      </c>
    </row>
    <row r="2357" spans="1:9" x14ac:dyDescent="0.35">
      <c r="A2357" t="str">
        <f t="shared" si="36"/>
        <v>DAcostS1203661</v>
      </c>
      <c r="C2357" t="s">
        <v>99</v>
      </c>
      <c r="D2357" t="s">
        <v>100</v>
      </c>
      <c r="E2357" t="s">
        <v>110</v>
      </c>
      <c r="F2357">
        <v>4987.3394227839108</v>
      </c>
      <c r="G2357">
        <v>2036</v>
      </c>
      <c r="H2357">
        <v>6</v>
      </c>
      <c r="I2357">
        <v>1</v>
      </c>
    </row>
    <row r="2358" spans="1:9" x14ac:dyDescent="0.35">
      <c r="A2358" t="str">
        <f t="shared" si="36"/>
        <v>DAincomeS1203661</v>
      </c>
      <c r="C2358" t="s">
        <v>99</v>
      </c>
      <c r="D2358" t="s">
        <v>101</v>
      </c>
      <c r="E2358" t="s">
        <v>110</v>
      </c>
      <c r="F2358">
        <v>9556.0949255707237</v>
      </c>
      <c r="G2358">
        <v>2036</v>
      </c>
      <c r="H2358">
        <v>6</v>
      </c>
      <c r="I2358">
        <v>1</v>
      </c>
    </row>
    <row r="2359" spans="1:9" x14ac:dyDescent="0.35">
      <c r="A2359" t="str">
        <f t="shared" si="36"/>
        <v>DAenergy_boughtS1203661</v>
      </c>
      <c r="C2359" t="s">
        <v>99</v>
      </c>
      <c r="D2359" t="s">
        <v>111</v>
      </c>
      <c r="E2359" t="s">
        <v>110</v>
      </c>
      <c r="F2359">
        <v>116.7784182185529</v>
      </c>
      <c r="G2359">
        <v>2036</v>
      </c>
      <c r="H2359">
        <v>6</v>
      </c>
      <c r="I2359">
        <v>1</v>
      </c>
    </row>
    <row r="2360" spans="1:9" x14ac:dyDescent="0.35">
      <c r="A2360" t="str">
        <f t="shared" si="36"/>
        <v>DAenergy_soldS1203661</v>
      </c>
      <c r="C2360" t="s">
        <v>99</v>
      </c>
      <c r="D2360" t="s">
        <v>112</v>
      </c>
      <c r="E2360" t="s">
        <v>110</v>
      </c>
      <c r="F2360">
        <v>85.637089544407758</v>
      </c>
      <c r="G2360">
        <v>2036</v>
      </c>
      <c r="H2360">
        <v>6</v>
      </c>
      <c r="I2360">
        <v>1</v>
      </c>
    </row>
    <row r="2361" spans="1:9" x14ac:dyDescent="0.35">
      <c r="A2361" t="str">
        <f t="shared" si="36"/>
        <v>DAhours_boughtS1203661</v>
      </c>
      <c r="C2361" t="s">
        <v>99</v>
      </c>
      <c r="D2361" t="s">
        <v>113</v>
      </c>
      <c r="E2361" t="s">
        <v>110</v>
      </c>
      <c r="F2361">
        <v>4087</v>
      </c>
      <c r="G2361">
        <v>2036</v>
      </c>
      <c r="H2361">
        <v>6</v>
      </c>
      <c r="I2361">
        <v>1</v>
      </c>
    </row>
    <row r="2362" spans="1:9" x14ac:dyDescent="0.35">
      <c r="A2362" t="str">
        <f t="shared" si="36"/>
        <v>DAhours_soldS1203661</v>
      </c>
      <c r="C2362" t="s">
        <v>99</v>
      </c>
      <c r="D2362" t="s">
        <v>114</v>
      </c>
      <c r="E2362" t="s">
        <v>110</v>
      </c>
      <c r="F2362">
        <v>111</v>
      </c>
      <c r="G2362">
        <v>2036</v>
      </c>
      <c r="H2362">
        <v>6</v>
      </c>
      <c r="I2362">
        <v>1</v>
      </c>
    </row>
    <row r="2363" spans="1:9" x14ac:dyDescent="0.35">
      <c r="A2363" t="str">
        <f t="shared" si="36"/>
        <v>DAco2_emissionS1203661</v>
      </c>
      <c r="C2363" t="s">
        <v>99</v>
      </c>
      <c r="D2363" t="s">
        <v>204</v>
      </c>
      <c r="E2363" t="s">
        <v>110</v>
      </c>
      <c r="F2363">
        <v>8174.489275298487</v>
      </c>
      <c r="G2363">
        <v>2036</v>
      </c>
      <c r="H2363">
        <v>6</v>
      </c>
      <c r="I2363">
        <v>1</v>
      </c>
    </row>
    <row r="2364" spans="1:9" x14ac:dyDescent="0.35">
      <c r="A2364" t="str">
        <f t="shared" si="36"/>
        <v>fcrincomeS1203661</v>
      </c>
      <c r="C2364" t="s">
        <v>102</v>
      </c>
      <c r="D2364" t="s">
        <v>101</v>
      </c>
      <c r="E2364" t="s">
        <v>110</v>
      </c>
      <c r="F2364">
        <v>0</v>
      </c>
      <c r="G2364">
        <v>2036</v>
      </c>
      <c r="H2364">
        <v>6</v>
      </c>
      <c r="I2364">
        <v>1</v>
      </c>
    </row>
    <row r="2365" spans="1:9" x14ac:dyDescent="0.35">
      <c r="A2365" t="str">
        <f t="shared" si="36"/>
        <v>fcractivation_hoursS1203661</v>
      </c>
      <c r="C2365" t="s">
        <v>102</v>
      </c>
      <c r="D2365" t="s">
        <v>115</v>
      </c>
      <c r="E2365" t="s">
        <v>110</v>
      </c>
      <c r="F2365">
        <v>0</v>
      </c>
      <c r="G2365">
        <v>2036</v>
      </c>
      <c r="H2365">
        <v>6</v>
      </c>
      <c r="I2365">
        <v>1</v>
      </c>
    </row>
    <row r="2366" spans="1:9" x14ac:dyDescent="0.35">
      <c r="A2366" t="str">
        <f t="shared" si="36"/>
        <v>afrrincomeS1203661</v>
      </c>
      <c r="B2366" t="s">
        <v>95</v>
      </c>
      <c r="C2366" t="s">
        <v>103</v>
      </c>
      <c r="D2366" t="s">
        <v>101</v>
      </c>
      <c r="E2366" t="s">
        <v>110</v>
      </c>
      <c r="F2366">
        <v>129528.6393505672</v>
      </c>
      <c r="G2366">
        <v>2036</v>
      </c>
      <c r="H2366">
        <v>6</v>
      </c>
      <c r="I2366">
        <v>1</v>
      </c>
    </row>
    <row r="2367" spans="1:9" x14ac:dyDescent="0.35">
      <c r="A2367" t="str">
        <f t="shared" si="36"/>
        <v>afrractivation_hoursS1203661</v>
      </c>
      <c r="B2367" t="s">
        <v>95</v>
      </c>
      <c r="C2367" t="s">
        <v>103</v>
      </c>
      <c r="D2367" t="s">
        <v>115</v>
      </c>
      <c r="E2367" t="s">
        <v>110</v>
      </c>
      <c r="F2367">
        <v>8638</v>
      </c>
      <c r="G2367">
        <v>2036</v>
      </c>
      <c r="H2367">
        <v>6</v>
      </c>
      <c r="I2367">
        <v>1</v>
      </c>
    </row>
    <row r="2368" spans="1:9" x14ac:dyDescent="0.35">
      <c r="A2368" t="str">
        <f t="shared" si="36"/>
        <v>networkturpe_power_costS1203761</v>
      </c>
      <c r="C2368" t="s">
        <v>96</v>
      </c>
      <c r="D2368" t="s">
        <v>97</v>
      </c>
      <c r="E2368" t="s">
        <v>110</v>
      </c>
      <c r="F2368">
        <v>5933.5218256773596</v>
      </c>
      <c r="G2368">
        <v>2037</v>
      </c>
      <c r="H2368">
        <v>6</v>
      </c>
      <c r="I2368">
        <v>1</v>
      </c>
    </row>
    <row r="2369" spans="1:9" x14ac:dyDescent="0.35">
      <c r="A2369" t="str">
        <f t="shared" si="36"/>
        <v>networkturpe_energy_costS1203761</v>
      </c>
      <c r="C2369" t="s">
        <v>96</v>
      </c>
      <c r="D2369" t="s">
        <v>98</v>
      </c>
      <c r="E2369" t="s">
        <v>110</v>
      </c>
      <c r="F2369">
        <v>1280.258916532229</v>
      </c>
      <c r="G2369">
        <v>2037</v>
      </c>
      <c r="H2369">
        <v>6</v>
      </c>
      <c r="I2369">
        <v>1</v>
      </c>
    </row>
    <row r="2370" spans="1:9" x14ac:dyDescent="0.35">
      <c r="A2370" t="str">
        <f t="shared" si="36"/>
        <v>DAcostS1203761</v>
      </c>
      <c r="C2370" t="s">
        <v>99</v>
      </c>
      <c r="D2370" t="s">
        <v>100</v>
      </c>
      <c r="E2370" t="s">
        <v>110</v>
      </c>
      <c r="F2370">
        <v>3931.8979839501671</v>
      </c>
      <c r="G2370">
        <v>2037</v>
      </c>
      <c r="H2370">
        <v>6</v>
      </c>
      <c r="I2370">
        <v>1</v>
      </c>
    </row>
    <row r="2371" spans="1:9" x14ac:dyDescent="0.35">
      <c r="A2371" t="str">
        <f t="shared" ref="A2371:A2434" si="37">C2371&amp;D2371&amp;E2371&amp;G2371&amp;H2371&amp;I2371</f>
        <v>DAincomeS1203761</v>
      </c>
      <c r="C2371" t="s">
        <v>99</v>
      </c>
      <c r="D2371" t="s">
        <v>101</v>
      </c>
      <c r="E2371" t="s">
        <v>110</v>
      </c>
      <c r="F2371">
        <v>7173.2541360401192</v>
      </c>
      <c r="G2371">
        <v>2037</v>
      </c>
      <c r="H2371">
        <v>6</v>
      </c>
      <c r="I2371">
        <v>1</v>
      </c>
    </row>
    <row r="2372" spans="1:9" x14ac:dyDescent="0.35">
      <c r="A2372" t="str">
        <f t="shared" si="37"/>
        <v>DAenergy_boughtS1203761</v>
      </c>
      <c r="C2372" t="s">
        <v>99</v>
      </c>
      <c r="D2372" t="s">
        <v>111</v>
      </c>
      <c r="E2372" t="s">
        <v>110</v>
      </c>
      <c r="F2372">
        <v>91.349444217300388</v>
      </c>
      <c r="G2372">
        <v>2037</v>
      </c>
      <c r="H2372">
        <v>6</v>
      </c>
      <c r="I2372">
        <v>1</v>
      </c>
    </row>
    <row r="2373" spans="1:9" x14ac:dyDescent="0.35">
      <c r="A2373" t="str">
        <f t="shared" si="37"/>
        <v>DAenergy_soldS1203761</v>
      </c>
      <c r="C2373" t="s">
        <v>99</v>
      </c>
      <c r="D2373" t="s">
        <v>112</v>
      </c>
      <c r="E2373" t="s">
        <v>110</v>
      </c>
      <c r="F2373">
        <v>65.26450770077706</v>
      </c>
      <c r="G2373">
        <v>2037</v>
      </c>
      <c r="H2373">
        <v>6</v>
      </c>
      <c r="I2373">
        <v>1</v>
      </c>
    </row>
    <row r="2374" spans="1:9" x14ac:dyDescent="0.35">
      <c r="A2374" t="str">
        <f t="shared" si="37"/>
        <v>DAhours_boughtS1203761</v>
      </c>
      <c r="C2374" t="s">
        <v>99</v>
      </c>
      <c r="D2374" t="s">
        <v>113</v>
      </c>
      <c r="E2374" t="s">
        <v>110</v>
      </c>
      <c r="F2374">
        <v>4612</v>
      </c>
      <c r="G2374">
        <v>2037</v>
      </c>
      <c r="H2374">
        <v>6</v>
      </c>
      <c r="I2374">
        <v>1</v>
      </c>
    </row>
    <row r="2375" spans="1:9" x14ac:dyDescent="0.35">
      <c r="A2375" t="str">
        <f t="shared" si="37"/>
        <v>DAhours_soldS1203761</v>
      </c>
      <c r="C2375" t="s">
        <v>99</v>
      </c>
      <c r="D2375" t="s">
        <v>114</v>
      </c>
      <c r="E2375" t="s">
        <v>110</v>
      </c>
      <c r="F2375">
        <v>90</v>
      </c>
      <c r="G2375">
        <v>2037</v>
      </c>
      <c r="H2375">
        <v>6</v>
      </c>
      <c r="I2375">
        <v>1</v>
      </c>
    </row>
    <row r="2376" spans="1:9" x14ac:dyDescent="0.35">
      <c r="A2376" t="str">
        <f t="shared" si="37"/>
        <v>DAco2_emissionS1203761</v>
      </c>
      <c r="C2376" t="s">
        <v>99</v>
      </c>
      <c r="D2376" t="s">
        <v>204</v>
      </c>
      <c r="E2376" t="s">
        <v>110</v>
      </c>
      <c r="F2376">
        <v>6394.4610952108387</v>
      </c>
      <c r="G2376">
        <v>2037</v>
      </c>
      <c r="H2376">
        <v>6</v>
      </c>
      <c r="I2376">
        <v>1</v>
      </c>
    </row>
    <row r="2377" spans="1:9" x14ac:dyDescent="0.35">
      <c r="A2377" t="str">
        <f t="shared" si="37"/>
        <v>fcrincomeS1203761</v>
      </c>
      <c r="C2377" t="s">
        <v>102</v>
      </c>
      <c r="D2377" t="s">
        <v>101</v>
      </c>
      <c r="E2377" t="s">
        <v>110</v>
      </c>
      <c r="F2377">
        <v>4.9423145925421678E-2</v>
      </c>
      <c r="G2377">
        <v>2037</v>
      </c>
      <c r="H2377">
        <v>6</v>
      </c>
      <c r="I2377">
        <v>1</v>
      </c>
    </row>
    <row r="2378" spans="1:9" x14ac:dyDescent="0.35">
      <c r="A2378" t="str">
        <f t="shared" si="37"/>
        <v>fcractivation_hoursS1203761</v>
      </c>
      <c r="B2378" t="s">
        <v>95</v>
      </c>
      <c r="C2378" t="s">
        <v>102</v>
      </c>
      <c r="D2378" t="s">
        <v>115</v>
      </c>
      <c r="E2378" t="s">
        <v>110</v>
      </c>
      <c r="F2378">
        <v>4</v>
      </c>
      <c r="G2378">
        <v>2037</v>
      </c>
      <c r="H2378">
        <v>6</v>
      </c>
      <c r="I2378">
        <v>1</v>
      </c>
    </row>
    <row r="2379" spans="1:9" x14ac:dyDescent="0.35">
      <c r="A2379" t="str">
        <f t="shared" si="37"/>
        <v>afrrincomeS1203761</v>
      </c>
      <c r="B2379" t="s">
        <v>95</v>
      </c>
      <c r="C2379" t="s">
        <v>103</v>
      </c>
      <c r="D2379" t="s">
        <v>101</v>
      </c>
      <c r="E2379" t="s">
        <v>110</v>
      </c>
      <c r="F2379">
        <v>130459.0031193418</v>
      </c>
      <c r="G2379">
        <v>2037</v>
      </c>
      <c r="H2379">
        <v>6</v>
      </c>
      <c r="I2379">
        <v>1</v>
      </c>
    </row>
    <row r="2380" spans="1:9" x14ac:dyDescent="0.35">
      <c r="A2380" t="str">
        <f t="shared" si="37"/>
        <v>afrractivation_hoursS1203761</v>
      </c>
      <c r="C2380" t="s">
        <v>103</v>
      </c>
      <c r="D2380" t="s">
        <v>115</v>
      </c>
      <c r="E2380" t="s">
        <v>110</v>
      </c>
      <c r="F2380">
        <v>8668</v>
      </c>
      <c r="G2380">
        <v>2037</v>
      </c>
      <c r="H2380">
        <v>6</v>
      </c>
      <c r="I2380">
        <v>1</v>
      </c>
    </row>
    <row r="2381" spans="1:9" x14ac:dyDescent="0.35">
      <c r="A2381" t="str">
        <f t="shared" si="37"/>
        <v>networkturpe_power_costS1203861</v>
      </c>
      <c r="C2381" t="s">
        <v>96</v>
      </c>
      <c r="D2381" t="s">
        <v>97</v>
      </c>
      <c r="E2381" t="s">
        <v>110</v>
      </c>
      <c r="F2381">
        <v>5801.0053574842868</v>
      </c>
      <c r="G2381">
        <v>2038</v>
      </c>
      <c r="H2381">
        <v>6</v>
      </c>
      <c r="I2381">
        <v>1</v>
      </c>
    </row>
    <row r="2382" spans="1:9" x14ac:dyDescent="0.35">
      <c r="A2382" t="str">
        <f t="shared" si="37"/>
        <v>networkturpe_energy_costS1203861</v>
      </c>
      <c r="C2382" t="s">
        <v>96</v>
      </c>
      <c r="D2382" t="s">
        <v>98</v>
      </c>
      <c r="E2382" t="s">
        <v>110</v>
      </c>
      <c r="F2382">
        <v>2193.756659942193</v>
      </c>
      <c r="G2382">
        <v>2038</v>
      </c>
      <c r="H2382">
        <v>6</v>
      </c>
      <c r="I2382">
        <v>1</v>
      </c>
    </row>
    <row r="2383" spans="1:9" x14ac:dyDescent="0.35">
      <c r="A2383" t="str">
        <f t="shared" si="37"/>
        <v>DAcostS1203861</v>
      </c>
      <c r="C2383" t="s">
        <v>99</v>
      </c>
      <c r="D2383" t="s">
        <v>100</v>
      </c>
      <c r="E2383" t="s">
        <v>110</v>
      </c>
      <c r="F2383">
        <v>5673.8955131214989</v>
      </c>
      <c r="G2383">
        <v>2038</v>
      </c>
      <c r="H2383">
        <v>6</v>
      </c>
      <c r="I2383">
        <v>1</v>
      </c>
    </row>
    <row r="2384" spans="1:9" x14ac:dyDescent="0.35">
      <c r="A2384" t="str">
        <f t="shared" si="37"/>
        <v>DAincomeS1203861</v>
      </c>
      <c r="C2384" t="s">
        <v>99</v>
      </c>
      <c r="D2384" t="s">
        <v>101</v>
      </c>
      <c r="E2384" t="s">
        <v>110</v>
      </c>
      <c r="F2384">
        <v>11854.400667925291</v>
      </c>
      <c r="G2384">
        <v>2038</v>
      </c>
      <c r="H2384">
        <v>6</v>
      </c>
      <c r="I2384">
        <v>1</v>
      </c>
    </row>
    <row r="2385" spans="1:9" x14ac:dyDescent="0.35">
      <c r="A2385" t="str">
        <f t="shared" si="37"/>
        <v>DAenergy_boughtS1203861</v>
      </c>
      <c r="C2385" t="s">
        <v>99</v>
      </c>
      <c r="D2385" t="s">
        <v>111</v>
      </c>
      <c r="E2385" t="s">
        <v>110</v>
      </c>
      <c r="F2385">
        <v>142.6921861201059</v>
      </c>
      <c r="G2385">
        <v>2038</v>
      </c>
      <c r="H2385">
        <v>6</v>
      </c>
      <c r="I2385">
        <v>1</v>
      </c>
    </row>
    <row r="2386" spans="1:9" x14ac:dyDescent="0.35">
      <c r="A2386" t="str">
        <f t="shared" si="37"/>
        <v>DAenergy_soldS1203861</v>
      </c>
      <c r="C2386" t="s">
        <v>99</v>
      </c>
      <c r="D2386" t="s">
        <v>112</v>
      </c>
      <c r="E2386" t="s">
        <v>110</v>
      </c>
      <c r="F2386">
        <v>107.0407618489035</v>
      </c>
      <c r="G2386">
        <v>2038</v>
      </c>
      <c r="H2386">
        <v>6</v>
      </c>
      <c r="I2386">
        <v>1</v>
      </c>
    </row>
    <row r="2387" spans="1:9" x14ac:dyDescent="0.35">
      <c r="A2387" t="str">
        <f t="shared" si="37"/>
        <v>DAhours_boughtS1203861</v>
      </c>
      <c r="C2387" t="s">
        <v>99</v>
      </c>
      <c r="D2387" t="s">
        <v>113</v>
      </c>
      <c r="E2387" t="s">
        <v>110</v>
      </c>
      <c r="F2387">
        <v>4407</v>
      </c>
      <c r="G2387">
        <v>2038</v>
      </c>
      <c r="H2387">
        <v>6</v>
      </c>
      <c r="I2387">
        <v>1</v>
      </c>
    </row>
    <row r="2388" spans="1:9" x14ac:dyDescent="0.35">
      <c r="A2388" t="str">
        <f t="shared" si="37"/>
        <v>DAhours_soldS1203861</v>
      </c>
      <c r="C2388" t="s">
        <v>99</v>
      </c>
      <c r="D2388" t="s">
        <v>114</v>
      </c>
      <c r="E2388" t="s">
        <v>110</v>
      </c>
      <c r="F2388">
        <v>128</v>
      </c>
      <c r="G2388">
        <v>2038</v>
      </c>
      <c r="H2388">
        <v>6</v>
      </c>
      <c r="I2388">
        <v>1</v>
      </c>
    </row>
    <row r="2389" spans="1:9" x14ac:dyDescent="0.35">
      <c r="A2389" t="str">
        <f t="shared" si="37"/>
        <v>DAco2_emissionS1203861</v>
      </c>
      <c r="C2389" t="s">
        <v>99</v>
      </c>
      <c r="D2389" t="s">
        <v>204</v>
      </c>
      <c r="E2389" t="s">
        <v>110</v>
      </c>
      <c r="F2389">
        <v>9988.4530284068369</v>
      </c>
      <c r="G2389">
        <v>2038</v>
      </c>
      <c r="H2389">
        <v>6</v>
      </c>
      <c r="I2389">
        <v>1</v>
      </c>
    </row>
    <row r="2390" spans="1:9" x14ac:dyDescent="0.35">
      <c r="A2390" t="str">
        <f t="shared" si="37"/>
        <v>fcrincomeS1203861</v>
      </c>
      <c r="B2390" t="s">
        <v>95</v>
      </c>
      <c r="C2390" t="s">
        <v>102</v>
      </c>
      <c r="D2390" t="s">
        <v>101</v>
      </c>
      <c r="E2390" t="s">
        <v>110</v>
      </c>
      <c r="F2390">
        <v>1.2500516346825029E-6</v>
      </c>
      <c r="G2390">
        <v>2038</v>
      </c>
      <c r="H2390">
        <v>6</v>
      </c>
      <c r="I2390">
        <v>1</v>
      </c>
    </row>
    <row r="2391" spans="1:9" x14ac:dyDescent="0.35">
      <c r="A2391" t="str">
        <f t="shared" si="37"/>
        <v>fcractivation_hoursS1203861</v>
      </c>
      <c r="B2391" t="s">
        <v>95</v>
      </c>
      <c r="C2391" t="s">
        <v>102</v>
      </c>
      <c r="D2391" t="s">
        <v>115</v>
      </c>
      <c r="E2391" t="s">
        <v>110</v>
      </c>
      <c r="F2391">
        <v>0</v>
      </c>
      <c r="G2391">
        <v>2038</v>
      </c>
      <c r="H2391">
        <v>6</v>
      </c>
      <c r="I2391">
        <v>1</v>
      </c>
    </row>
    <row r="2392" spans="1:9" x14ac:dyDescent="0.35">
      <c r="A2392" t="str">
        <f t="shared" si="37"/>
        <v>afrrincomeS1203861</v>
      </c>
      <c r="C2392" t="s">
        <v>103</v>
      </c>
      <c r="D2392" t="s">
        <v>101</v>
      </c>
      <c r="E2392" t="s">
        <v>110</v>
      </c>
      <c r="F2392">
        <v>126892.636486804</v>
      </c>
      <c r="G2392">
        <v>2038</v>
      </c>
      <c r="H2392">
        <v>6</v>
      </c>
      <c r="I2392">
        <v>1</v>
      </c>
    </row>
    <row r="2393" spans="1:9" x14ac:dyDescent="0.35">
      <c r="A2393" t="str">
        <f t="shared" si="37"/>
        <v>afrractivation_hoursS1203861</v>
      </c>
      <c r="C2393" t="s">
        <v>103</v>
      </c>
      <c r="D2393" t="s">
        <v>115</v>
      </c>
      <c r="E2393" t="s">
        <v>110</v>
      </c>
      <c r="F2393">
        <v>8604</v>
      </c>
      <c r="G2393">
        <v>2038</v>
      </c>
      <c r="H2393">
        <v>6</v>
      </c>
      <c r="I2393">
        <v>1</v>
      </c>
    </row>
    <row r="2394" spans="1:9" x14ac:dyDescent="0.35">
      <c r="A2394" t="str">
        <f t="shared" si="37"/>
        <v>networkturpe_power_costS1203961</v>
      </c>
      <c r="C2394" t="s">
        <v>96</v>
      </c>
      <c r="D2394" t="s">
        <v>97</v>
      </c>
      <c r="E2394" t="s">
        <v>110</v>
      </c>
      <c r="F2394">
        <v>5645.7316780371611</v>
      </c>
      <c r="G2394">
        <v>2039</v>
      </c>
      <c r="H2394">
        <v>6</v>
      </c>
      <c r="I2394">
        <v>1</v>
      </c>
    </row>
    <row r="2395" spans="1:9" x14ac:dyDescent="0.35">
      <c r="A2395" t="str">
        <f t="shared" si="37"/>
        <v>networkturpe_energy_costS1203961</v>
      </c>
      <c r="C2395" t="s">
        <v>96</v>
      </c>
      <c r="D2395" t="s">
        <v>98</v>
      </c>
      <c r="E2395" t="s">
        <v>110</v>
      </c>
      <c r="F2395">
        <v>1757.897002224842</v>
      </c>
      <c r="G2395">
        <v>2039</v>
      </c>
      <c r="H2395">
        <v>6</v>
      </c>
      <c r="I2395">
        <v>1</v>
      </c>
    </row>
    <row r="2396" spans="1:9" x14ac:dyDescent="0.35">
      <c r="A2396" t="str">
        <f t="shared" si="37"/>
        <v>DAcostS1203961</v>
      </c>
      <c r="C2396" t="s">
        <v>99</v>
      </c>
      <c r="D2396" t="s">
        <v>100</v>
      </c>
      <c r="E2396" t="s">
        <v>110</v>
      </c>
      <c r="F2396">
        <v>4848.0270008107682</v>
      </c>
      <c r="G2396">
        <v>2039</v>
      </c>
      <c r="H2396">
        <v>6</v>
      </c>
      <c r="I2396">
        <v>1</v>
      </c>
    </row>
    <row r="2397" spans="1:9" x14ac:dyDescent="0.35">
      <c r="A2397" t="str">
        <f t="shared" si="37"/>
        <v>DAincomeS1203961</v>
      </c>
      <c r="C2397" t="s">
        <v>99</v>
      </c>
      <c r="D2397" t="s">
        <v>101</v>
      </c>
      <c r="E2397" t="s">
        <v>110</v>
      </c>
      <c r="F2397">
        <v>9786.5727946951956</v>
      </c>
      <c r="G2397">
        <v>2039</v>
      </c>
      <c r="H2397">
        <v>6</v>
      </c>
      <c r="I2397">
        <v>1</v>
      </c>
    </row>
    <row r="2398" spans="1:9" x14ac:dyDescent="0.35">
      <c r="A2398" t="str">
        <f t="shared" si="37"/>
        <v>DAenergy_boughtS1203961</v>
      </c>
      <c r="C2398" t="s">
        <v>99</v>
      </c>
      <c r="D2398" t="s">
        <v>111</v>
      </c>
      <c r="E2398" t="s">
        <v>110</v>
      </c>
      <c r="F2398">
        <v>118.1460598028433</v>
      </c>
      <c r="G2398">
        <v>2039</v>
      </c>
      <c r="H2398">
        <v>6</v>
      </c>
      <c r="I2398">
        <v>1</v>
      </c>
    </row>
    <row r="2399" spans="1:9" x14ac:dyDescent="0.35">
      <c r="A2399" t="str">
        <f t="shared" si="37"/>
        <v>DAenergy_soldS1203961</v>
      </c>
      <c r="C2399" t="s">
        <v>99</v>
      </c>
      <c r="D2399" t="s">
        <v>112</v>
      </c>
      <c r="E2399" t="s">
        <v>110</v>
      </c>
      <c r="F2399">
        <v>87.372768538889375</v>
      </c>
      <c r="G2399">
        <v>2039</v>
      </c>
      <c r="H2399">
        <v>6</v>
      </c>
      <c r="I2399">
        <v>1</v>
      </c>
    </row>
    <row r="2400" spans="1:9" x14ac:dyDescent="0.35">
      <c r="A2400" t="str">
        <f t="shared" si="37"/>
        <v>DAhours_boughtS1203961</v>
      </c>
      <c r="C2400" t="s">
        <v>99</v>
      </c>
      <c r="D2400" t="s">
        <v>113</v>
      </c>
      <c r="E2400" t="s">
        <v>110</v>
      </c>
      <c r="F2400">
        <v>4779</v>
      </c>
      <c r="G2400">
        <v>2039</v>
      </c>
      <c r="H2400">
        <v>6</v>
      </c>
      <c r="I2400">
        <v>1</v>
      </c>
    </row>
    <row r="2401" spans="1:9" x14ac:dyDescent="0.35">
      <c r="A2401" t="str">
        <f t="shared" si="37"/>
        <v>DAhours_soldS1203961</v>
      </c>
      <c r="C2401" t="s">
        <v>99</v>
      </c>
      <c r="D2401" t="s">
        <v>114</v>
      </c>
      <c r="E2401" t="s">
        <v>110</v>
      </c>
      <c r="F2401">
        <v>102</v>
      </c>
      <c r="G2401">
        <v>2039</v>
      </c>
      <c r="H2401">
        <v>6</v>
      </c>
      <c r="I2401">
        <v>1</v>
      </c>
    </row>
    <row r="2402" spans="1:9" x14ac:dyDescent="0.35">
      <c r="A2402" t="str">
        <f t="shared" si="37"/>
        <v>DAco2_emissionS1203961</v>
      </c>
      <c r="B2402" t="s">
        <v>95</v>
      </c>
      <c r="C2402" t="s">
        <v>99</v>
      </c>
      <c r="D2402" t="s">
        <v>204</v>
      </c>
      <c r="E2402" t="s">
        <v>110</v>
      </c>
      <c r="F2402">
        <v>8270.2241861989642</v>
      </c>
      <c r="G2402">
        <v>2039</v>
      </c>
      <c r="H2402">
        <v>6</v>
      </c>
      <c r="I2402">
        <v>1</v>
      </c>
    </row>
    <row r="2403" spans="1:9" x14ac:dyDescent="0.35">
      <c r="A2403" t="str">
        <f t="shared" si="37"/>
        <v>fcrincomeS1203961</v>
      </c>
      <c r="B2403" t="s">
        <v>95</v>
      </c>
      <c r="C2403" t="s">
        <v>102</v>
      </c>
      <c r="D2403" t="s">
        <v>101</v>
      </c>
      <c r="E2403" t="s">
        <v>110</v>
      </c>
      <c r="F2403">
        <v>0</v>
      </c>
      <c r="G2403">
        <v>2039</v>
      </c>
      <c r="H2403">
        <v>6</v>
      </c>
      <c r="I2403">
        <v>1</v>
      </c>
    </row>
    <row r="2404" spans="1:9" x14ac:dyDescent="0.35">
      <c r="A2404" t="str">
        <f t="shared" si="37"/>
        <v>fcractivation_hoursS1203961</v>
      </c>
      <c r="C2404" t="s">
        <v>102</v>
      </c>
      <c r="D2404" t="s">
        <v>115</v>
      </c>
      <c r="E2404" t="s">
        <v>110</v>
      </c>
      <c r="F2404">
        <v>0</v>
      </c>
      <c r="G2404">
        <v>2039</v>
      </c>
      <c r="H2404">
        <v>6</v>
      </c>
      <c r="I2404">
        <v>1</v>
      </c>
    </row>
    <row r="2405" spans="1:9" x14ac:dyDescent="0.35">
      <c r="A2405" t="str">
        <f t="shared" si="37"/>
        <v>afrrincomeS1203961</v>
      </c>
      <c r="C2405" t="s">
        <v>103</v>
      </c>
      <c r="D2405" t="s">
        <v>101</v>
      </c>
      <c r="E2405" t="s">
        <v>110</v>
      </c>
      <c r="F2405">
        <v>127629.0224958319</v>
      </c>
      <c r="G2405">
        <v>2039</v>
      </c>
      <c r="H2405">
        <v>6</v>
      </c>
      <c r="I2405">
        <v>1</v>
      </c>
    </row>
    <row r="2406" spans="1:9" x14ac:dyDescent="0.35">
      <c r="A2406" t="str">
        <f t="shared" si="37"/>
        <v>afrractivation_hoursS1203961</v>
      </c>
      <c r="C2406" t="s">
        <v>103</v>
      </c>
      <c r="D2406" t="s">
        <v>115</v>
      </c>
      <c r="E2406" t="s">
        <v>110</v>
      </c>
      <c r="F2406">
        <v>8620</v>
      </c>
      <c r="G2406">
        <v>2039</v>
      </c>
      <c r="H2406">
        <v>6</v>
      </c>
      <c r="I2406">
        <v>1</v>
      </c>
    </row>
    <row r="2407" spans="1:9" x14ac:dyDescent="0.35">
      <c r="A2407" t="str">
        <f t="shared" si="37"/>
        <v>networkturpe_power_costS1204061</v>
      </c>
      <c r="C2407" t="s">
        <v>96</v>
      </c>
      <c r="D2407" t="s">
        <v>97</v>
      </c>
      <c r="E2407" t="s">
        <v>110</v>
      </c>
      <c r="F2407">
        <v>5638.8776931926741</v>
      </c>
      <c r="G2407">
        <v>2040</v>
      </c>
      <c r="H2407">
        <v>6</v>
      </c>
      <c r="I2407">
        <v>1</v>
      </c>
    </row>
    <row r="2408" spans="1:9" x14ac:dyDescent="0.35">
      <c r="A2408" t="str">
        <f t="shared" si="37"/>
        <v>networkturpe_energy_costS1204061</v>
      </c>
      <c r="C2408" t="s">
        <v>96</v>
      </c>
      <c r="D2408" t="s">
        <v>98</v>
      </c>
      <c r="E2408" t="s">
        <v>110</v>
      </c>
      <c r="F2408">
        <v>4408.9176615489632</v>
      </c>
      <c r="G2408">
        <v>2040</v>
      </c>
      <c r="H2408">
        <v>6</v>
      </c>
      <c r="I2408">
        <v>1</v>
      </c>
    </row>
    <row r="2409" spans="1:9" x14ac:dyDescent="0.35">
      <c r="A2409" t="str">
        <f t="shared" si="37"/>
        <v>DAcostS1204061</v>
      </c>
      <c r="C2409" t="s">
        <v>99</v>
      </c>
      <c r="D2409" t="s">
        <v>100</v>
      </c>
      <c r="E2409" t="s">
        <v>110</v>
      </c>
      <c r="F2409">
        <v>10968.136470557891</v>
      </c>
      <c r="G2409">
        <v>2040</v>
      </c>
      <c r="H2409">
        <v>6</v>
      </c>
      <c r="I2409">
        <v>1</v>
      </c>
    </row>
    <row r="2410" spans="1:9" x14ac:dyDescent="0.35">
      <c r="A2410" t="str">
        <f t="shared" si="37"/>
        <v>DAincomeS1204061</v>
      </c>
      <c r="C2410" t="s">
        <v>99</v>
      </c>
      <c r="D2410" t="s">
        <v>101</v>
      </c>
      <c r="E2410" t="s">
        <v>110</v>
      </c>
      <c r="F2410">
        <v>24340.483660939321</v>
      </c>
      <c r="G2410">
        <v>2040</v>
      </c>
      <c r="H2410">
        <v>6</v>
      </c>
      <c r="I2410">
        <v>1</v>
      </c>
    </row>
    <row r="2411" spans="1:9" x14ac:dyDescent="0.35">
      <c r="A2411" t="str">
        <f t="shared" si="37"/>
        <v>DAenergy_boughtS1204061</v>
      </c>
      <c r="C2411" t="s">
        <v>99</v>
      </c>
      <c r="D2411" t="s">
        <v>111</v>
      </c>
      <c r="E2411" t="s">
        <v>110</v>
      </c>
      <c r="F2411">
        <v>283.16920137976541</v>
      </c>
      <c r="G2411">
        <v>2040</v>
      </c>
      <c r="H2411">
        <v>6</v>
      </c>
      <c r="I2411">
        <v>1</v>
      </c>
    </row>
    <row r="2412" spans="1:9" x14ac:dyDescent="0.35">
      <c r="A2412" t="str">
        <f t="shared" si="37"/>
        <v>DAenergy_soldS1204061</v>
      </c>
      <c r="C2412" t="s">
        <v>99</v>
      </c>
      <c r="D2412" t="s">
        <v>112</v>
      </c>
      <c r="E2412" t="s">
        <v>110</v>
      </c>
      <c r="F2412">
        <v>221.0657136227706</v>
      </c>
      <c r="G2412">
        <v>2040</v>
      </c>
      <c r="H2412">
        <v>6</v>
      </c>
      <c r="I2412">
        <v>1</v>
      </c>
    </row>
    <row r="2413" spans="1:9" x14ac:dyDescent="0.35">
      <c r="A2413" t="str">
        <f t="shared" si="37"/>
        <v>DAhours_boughtS1204061</v>
      </c>
      <c r="C2413" t="s">
        <v>99</v>
      </c>
      <c r="D2413" t="s">
        <v>113</v>
      </c>
      <c r="E2413" t="s">
        <v>110</v>
      </c>
      <c r="F2413">
        <v>3664</v>
      </c>
      <c r="G2413">
        <v>2040</v>
      </c>
      <c r="H2413">
        <v>6</v>
      </c>
      <c r="I2413">
        <v>1</v>
      </c>
    </row>
    <row r="2414" spans="1:9" x14ac:dyDescent="0.35">
      <c r="A2414" t="str">
        <f t="shared" si="37"/>
        <v>DAhours_soldS1204061</v>
      </c>
      <c r="B2414" t="s">
        <v>95</v>
      </c>
      <c r="C2414" t="s">
        <v>99</v>
      </c>
      <c r="D2414" t="s">
        <v>114</v>
      </c>
      <c r="E2414" t="s">
        <v>110</v>
      </c>
      <c r="F2414">
        <v>223</v>
      </c>
      <c r="G2414">
        <v>2040</v>
      </c>
      <c r="H2414">
        <v>6</v>
      </c>
      <c r="I2414">
        <v>1</v>
      </c>
    </row>
    <row r="2415" spans="1:9" x14ac:dyDescent="0.35">
      <c r="A2415" t="str">
        <f t="shared" si="37"/>
        <v>DAco2_emissionS1204061</v>
      </c>
      <c r="B2415" t="s">
        <v>95</v>
      </c>
      <c r="C2415" t="s">
        <v>99</v>
      </c>
      <c r="D2415" t="s">
        <v>204</v>
      </c>
      <c r="E2415" t="s">
        <v>110</v>
      </c>
      <c r="F2415">
        <v>19821.844096582809</v>
      </c>
      <c r="G2415">
        <v>2040</v>
      </c>
      <c r="H2415">
        <v>6</v>
      </c>
      <c r="I2415">
        <v>1</v>
      </c>
    </row>
    <row r="2416" spans="1:9" x14ac:dyDescent="0.35">
      <c r="A2416" t="str">
        <f t="shared" si="37"/>
        <v>fcrincomeS1204061</v>
      </c>
      <c r="C2416" t="s">
        <v>102</v>
      </c>
      <c r="D2416" t="s">
        <v>101</v>
      </c>
      <c r="E2416" t="s">
        <v>110</v>
      </c>
      <c r="F2416">
        <v>0.54342985977258684</v>
      </c>
      <c r="G2416">
        <v>2040</v>
      </c>
      <c r="H2416">
        <v>6</v>
      </c>
      <c r="I2416">
        <v>1</v>
      </c>
    </row>
    <row r="2417" spans="1:9" x14ac:dyDescent="0.35">
      <c r="A2417" t="str">
        <f t="shared" si="37"/>
        <v>fcractivation_hoursS1204061</v>
      </c>
      <c r="C2417" t="s">
        <v>102</v>
      </c>
      <c r="D2417" t="s">
        <v>115</v>
      </c>
      <c r="E2417" t="s">
        <v>110</v>
      </c>
      <c r="F2417">
        <v>20</v>
      </c>
      <c r="G2417">
        <v>2040</v>
      </c>
      <c r="H2417">
        <v>6</v>
      </c>
      <c r="I2417">
        <v>1</v>
      </c>
    </row>
    <row r="2418" spans="1:9" x14ac:dyDescent="0.35">
      <c r="A2418" t="str">
        <f t="shared" si="37"/>
        <v>afrrincomeS1204061</v>
      </c>
      <c r="C2418" t="s">
        <v>103</v>
      </c>
      <c r="D2418" t="s">
        <v>101</v>
      </c>
      <c r="E2418" t="s">
        <v>110</v>
      </c>
      <c r="F2418">
        <v>89073.266277706498</v>
      </c>
      <c r="G2418">
        <v>2040</v>
      </c>
      <c r="H2418">
        <v>6</v>
      </c>
      <c r="I2418">
        <v>1</v>
      </c>
    </row>
    <row r="2419" spans="1:9" x14ac:dyDescent="0.35">
      <c r="A2419" t="str">
        <f t="shared" si="37"/>
        <v>afrractivation_hoursS1204061</v>
      </c>
      <c r="C2419" t="s">
        <v>103</v>
      </c>
      <c r="D2419" t="s">
        <v>115</v>
      </c>
      <c r="E2419" t="s">
        <v>110</v>
      </c>
      <c r="F2419">
        <v>8388</v>
      </c>
      <c r="G2419">
        <v>2040</v>
      </c>
      <c r="H2419">
        <v>6</v>
      </c>
      <c r="I2419">
        <v>1</v>
      </c>
    </row>
    <row r="2420" spans="1:9" x14ac:dyDescent="0.35">
      <c r="A2420" t="str">
        <f t="shared" si="37"/>
        <v>networkturpe_power_costS1204161</v>
      </c>
      <c r="C2420" t="s">
        <v>96</v>
      </c>
      <c r="D2420" t="s">
        <v>97</v>
      </c>
      <c r="E2420" t="s">
        <v>110</v>
      </c>
      <c r="F2420">
        <v>5809.778991692262</v>
      </c>
      <c r="G2420">
        <v>2041</v>
      </c>
      <c r="H2420">
        <v>6</v>
      </c>
      <c r="I2420">
        <v>1</v>
      </c>
    </row>
    <row r="2421" spans="1:9" x14ac:dyDescent="0.35">
      <c r="A2421" t="str">
        <f t="shared" si="37"/>
        <v>networkturpe_energy_costS1204161</v>
      </c>
      <c r="C2421" t="s">
        <v>96</v>
      </c>
      <c r="D2421" t="s">
        <v>98</v>
      </c>
      <c r="E2421" t="s">
        <v>110</v>
      </c>
      <c r="F2421">
        <v>6475.3887128168944</v>
      </c>
      <c r="G2421">
        <v>2041</v>
      </c>
      <c r="H2421">
        <v>6</v>
      </c>
      <c r="I2421">
        <v>1</v>
      </c>
    </row>
    <row r="2422" spans="1:9" x14ac:dyDescent="0.35">
      <c r="A2422" t="str">
        <f t="shared" si="37"/>
        <v>DAcostS1204161</v>
      </c>
      <c r="C2422" t="s">
        <v>99</v>
      </c>
      <c r="D2422" t="s">
        <v>100</v>
      </c>
      <c r="E2422" t="s">
        <v>110</v>
      </c>
      <c r="F2422">
        <v>16212.47677275694</v>
      </c>
      <c r="G2422">
        <v>2041</v>
      </c>
      <c r="H2422">
        <v>6</v>
      </c>
      <c r="I2422">
        <v>1</v>
      </c>
    </row>
    <row r="2423" spans="1:9" x14ac:dyDescent="0.35">
      <c r="A2423" t="str">
        <f t="shared" si="37"/>
        <v>DAincomeS1204161</v>
      </c>
      <c r="C2423" t="s">
        <v>99</v>
      </c>
      <c r="D2423" t="s">
        <v>101</v>
      </c>
      <c r="E2423" t="s">
        <v>110</v>
      </c>
      <c r="F2423">
        <v>35568.368145548113</v>
      </c>
      <c r="G2423">
        <v>2041</v>
      </c>
      <c r="H2423">
        <v>6</v>
      </c>
      <c r="I2423">
        <v>1</v>
      </c>
    </row>
    <row r="2424" spans="1:9" x14ac:dyDescent="0.35">
      <c r="A2424" t="str">
        <f t="shared" si="37"/>
        <v>DAenergy_boughtS1204161</v>
      </c>
      <c r="C2424" t="s">
        <v>99</v>
      </c>
      <c r="D2424" t="s">
        <v>111</v>
      </c>
      <c r="E2424" t="s">
        <v>110</v>
      </c>
      <c r="F2424">
        <v>413.09661427534968</v>
      </c>
      <c r="G2424">
        <v>2041</v>
      </c>
      <c r="H2424">
        <v>6</v>
      </c>
      <c r="I2424">
        <v>1</v>
      </c>
    </row>
    <row r="2425" spans="1:9" x14ac:dyDescent="0.35">
      <c r="A2425" t="str">
        <f t="shared" si="37"/>
        <v>DAenergy_soldS1204161</v>
      </c>
      <c r="C2425" t="s">
        <v>99</v>
      </c>
      <c r="D2425" t="s">
        <v>112</v>
      </c>
      <c r="E2425" t="s">
        <v>110</v>
      </c>
      <c r="F2425">
        <v>326.64515840495818</v>
      </c>
      <c r="G2425">
        <v>2041</v>
      </c>
      <c r="H2425">
        <v>6</v>
      </c>
      <c r="I2425">
        <v>1</v>
      </c>
    </row>
    <row r="2426" spans="1:9" x14ac:dyDescent="0.35">
      <c r="A2426" t="str">
        <f t="shared" si="37"/>
        <v>DAhours_boughtS1204161</v>
      </c>
      <c r="B2426" t="s">
        <v>95</v>
      </c>
      <c r="C2426" t="s">
        <v>99</v>
      </c>
      <c r="D2426" t="s">
        <v>113</v>
      </c>
      <c r="E2426" t="s">
        <v>110</v>
      </c>
      <c r="F2426">
        <v>3733</v>
      </c>
      <c r="G2426">
        <v>2041</v>
      </c>
      <c r="H2426">
        <v>6</v>
      </c>
      <c r="I2426">
        <v>1</v>
      </c>
    </row>
    <row r="2427" spans="1:9" x14ac:dyDescent="0.35">
      <c r="A2427" t="str">
        <f t="shared" si="37"/>
        <v>DAhours_soldS1204161</v>
      </c>
      <c r="B2427" t="s">
        <v>95</v>
      </c>
      <c r="C2427" t="s">
        <v>99</v>
      </c>
      <c r="D2427" t="s">
        <v>114</v>
      </c>
      <c r="E2427" t="s">
        <v>110</v>
      </c>
      <c r="F2427">
        <v>253</v>
      </c>
      <c r="G2427">
        <v>2041</v>
      </c>
      <c r="H2427">
        <v>6</v>
      </c>
      <c r="I2427">
        <v>1</v>
      </c>
    </row>
    <row r="2428" spans="1:9" x14ac:dyDescent="0.35">
      <c r="A2428" t="str">
        <f t="shared" si="37"/>
        <v>DAco2_emissionS1204161</v>
      </c>
      <c r="C2428" t="s">
        <v>99</v>
      </c>
      <c r="D2428" t="s">
        <v>204</v>
      </c>
      <c r="E2428" t="s">
        <v>110</v>
      </c>
      <c r="F2428">
        <v>28916.762999274491</v>
      </c>
      <c r="G2428">
        <v>2041</v>
      </c>
      <c r="H2428">
        <v>6</v>
      </c>
      <c r="I2428">
        <v>1</v>
      </c>
    </row>
    <row r="2429" spans="1:9" x14ac:dyDescent="0.35">
      <c r="A2429" t="str">
        <f t="shared" si="37"/>
        <v>fcrincomeS1204161</v>
      </c>
      <c r="C2429" t="s">
        <v>102</v>
      </c>
      <c r="D2429" t="s">
        <v>101</v>
      </c>
      <c r="E2429" t="s">
        <v>110</v>
      </c>
      <c r="F2429">
        <v>3.0398535716621988</v>
      </c>
      <c r="G2429">
        <v>2041</v>
      </c>
      <c r="H2429">
        <v>6</v>
      </c>
      <c r="I2429">
        <v>1</v>
      </c>
    </row>
    <row r="2430" spans="1:9" x14ac:dyDescent="0.35">
      <c r="A2430" t="str">
        <f t="shared" si="37"/>
        <v>fcractivation_hoursS1204161</v>
      </c>
      <c r="C2430" t="s">
        <v>102</v>
      </c>
      <c r="D2430" t="s">
        <v>115</v>
      </c>
      <c r="E2430" t="s">
        <v>110</v>
      </c>
      <c r="F2430">
        <v>20</v>
      </c>
      <c r="G2430">
        <v>2041</v>
      </c>
      <c r="H2430">
        <v>6</v>
      </c>
      <c r="I2430">
        <v>1</v>
      </c>
    </row>
    <row r="2431" spans="1:9" x14ac:dyDescent="0.35">
      <c r="A2431" t="str">
        <f t="shared" si="37"/>
        <v>afrrincomeS1204161</v>
      </c>
      <c r="C2431" t="s">
        <v>103</v>
      </c>
      <c r="D2431" t="s">
        <v>101</v>
      </c>
      <c r="E2431" t="s">
        <v>110</v>
      </c>
      <c r="F2431">
        <v>79708.236905509591</v>
      </c>
      <c r="G2431">
        <v>2041</v>
      </c>
      <c r="H2431">
        <v>6</v>
      </c>
      <c r="I2431">
        <v>1</v>
      </c>
    </row>
    <row r="2432" spans="1:9" x14ac:dyDescent="0.35">
      <c r="A2432" t="str">
        <f t="shared" si="37"/>
        <v>afrractivation_hoursS1204161</v>
      </c>
      <c r="C2432" t="s">
        <v>103</v>
      </c>
      <c r="D2432" t="s">
        <v>115</v>
      </c>
      <c r="E2432" t="s">
        <v>110</v>
      </c>
      <c r="F2432">
        <v>8185</v>
      </c>
      <c r="G2432">
        <v>2041</v>
      </c>
      <c r="H2432">
        <v>6</v>
      </c>
      <c r="I2432">
        <v>1</v>
      </c>
    </row>
    <row r="2433" spans="1:9" x14ac:dyDescent="0.35">
      <c r="A2433" t="str">
        <f t="shared" si="37"/>
        <v>networkturpe_power_costS1202562</v>
      </c>
      <c r="C2433" t="s">
        <v>96</v>
      </c>
      <c r="D2433" t="s">
        <v>97</v>
      </c>
      <c r="E2433" t="s">
        <v>110</v>
      </c>
      <c r="F2433">
        <v>12427.571118847471</v>
      </c>
      <c r="G2433">
        <v>2025</v>
      </c>
      <c r="H2433">
        <v>6</v>
      </c>
      <c r="I2433">
        <v>2</v>
      </c>
    </row>
    <row r="2434" spans="1:9" x14ac:dyDescent="0.35">
      <c r="A2434" t="str">
        <f t="shared" si="37"/>
        <v>networkturpe_energy_costS1202562</v>
      </c>
      <c r="C2434" t="s">
        <v>96</v>
      </c>
      <c r="D2434" t="s">
        <v>98</v>
      </c>
      <c r="E2434" t="s">
        <v>110</v>
      </c>
      <c r="F2434">
        <v>11338.74734338515</v>
      </c>
      <c r="G2434">
        <v>2025</v>
      </c>
      <c r="H2434">
        <v>6</v>
      </c>
      <c r="I2434">
        <v>2</v>
      </c>
    </row>
    <row r="2435" spans="1:9" x14ac:dyDescent="0.35">
      <c r="A2435" t="str">
        <f t="shared" ref="A2435:A2498" si="38">C2435&amp;D2435&amp;E2435&amp;G2435&amp;H2435&amp;I2435</f>
        <v>DAcostS1202562</v>
      </c>
      <c r="C2435" t="s">
        <v>99</v>
      </c>
      <c r="D2435" t="s">
        <v>100</v>
      </c>
      <c r="E2435" t="s">
        <v>110</v>
      </c>
      <c r="F2435">
        <v>103619.96777445311</v>
      </c>
      <c r="G2435">
        <v>2025</v>
      </c>
      <c r="H2435">
        <v>6</v>
      </c>
      <c r="I2435">
        <v>2</v>
      </c>
    </row>
    <row r="2436" spans="1:9" x14ac:dyDescent="0.35">
      <c r="A2436" t="str">
        <f t="shared" si="38"/>
        <v>DAincomeS1202562</v>
      </c>
      <c r="C2436" t="s">
        <v>99</v>
      </c>
      <c r="D2436" t="s">
        <v>101</v>
      </c>
      <c r="E2436" t="s">
        <v>110</v>
      </c>
      <c r="F2436">
        <v>130597.4857613928</v>
      </c>
      <c r="G2436">
        <v>2025</v>
      </c>
      <c r="H2436">
        <v>6</v>
      </c>
      <c r="I2436">
        <v>2</v>
      </c>
    </row>
    <row r="2437" spans="1:9" x14ac:dyDescent="0.35">
      <c r="A2437" t="str">
        <f t="shared" si="38"/>
        <v>DAenergy_boughtS1202562</v>
      </c>
      <c r="C2437" t="s">
        <v>99</v>
      </c>
      <c r="D2437" t="s">
        <v>111</v>
      </c>
      <c r="E2437" t="s">
        <v>110</v>
      </c>
      <c r="F2437">
        <v>727.85229058335881</v>
      </c>
      <c r="G2437">
        <v>2025</v>
      </c>
      <c r="H2437">
        <v>6</v>
      </c>
      <c r="I2437">
        <v>2</v>
      </c>
    </row>
    <row r="2438" spans="1:9" x14ac:dyDescent="0.35">
      <c r="A2438" t="str">
        <f t="shared" si="38"/>
        <v>DAenergy_soldS1202562</v>
      </c>
      <c r="B2438" t="s">
        <v>95</v>
      </c>
      <c r="C2438" t="s">
        <v>99</v>
      </c>
      <c r="D2438" t="s">
        <v>112</v>
      </c>
      <c r="E2438" t="s">
        <v>110</v>
      </c>
      <c r="F2438">
        <v>568.72873049202713</v>
      </c>
      <c r="G2438">
        <v>2025</v>
      </c>
      <c r="H2438">
        <v>6</v>
      </c>
      <c r="I2438">
        <v>2</v>
      </c>
    </row>
    <row r="2439" spans="1:9" x14ac:dyDescent="0.35">
      <c r="A2439" t="str">
        <f t="shared" si="38"/>
        <v>DAhours_boughtS1202562</v>
      </c>
      <c r="B2439" t="s">
        <v>95</v>
      </c>
      <c r="C2439" t="s">
        <v>99</v>
      </c>
      <c r="D2439" t="s">
        <v>113</v>
      </c>
      <c r="E2439" t="s">
        <v>110</v>
      </c>
      <c r="F2439">
        <v>861</v>
      </c>
      <c r="G2439">
        <v>2025</v>
      </c>
      <c r="H2439">
        <v>6</v>
      </c>
      <c r="I2439">
        <v>2</v>
      </c>
    </row>
    <row r="2440" spans="1:9" x14ac:dyDescent="0.35">
      <c r="A2440" t="str">
        <f t="shared" si="38"/>
        <v>DAhours_soldS1202562</v>
      </c>
      <c r="C2440" t="s">
        <v>99</v>
      </c>
      <c r="D2440" t="s">
        <v>114</v>
      </c>
      <c r="E2440" t="s">
        <v>110</v>
      </c>
      <c r="F2440">
        <v>189</v>
      </c>
      <c r="G2440">
        <v>2025</v>
      </c>
      <c r="H2440">
        <v>6</v>
      </c>
      <c r="I2440">
        <v>2</v>
      </c>
    </row>
    <row r="2441" spans="1:9" x14ac:dyDescent="0.35">
      <c r="A2441" t="str">
        <f t="shared" si="38"/>
        <v>DAco2_emissionS1202562</v>
      </c>
      <c r="C2441" t="s">
        <v>99</v>
      </c>
      <c r="D2441" t="s">
        <v>204</v>
      </c>
      <c r="E2441" t="s">
        <v>110</v>
      </c>
      <c r="F2441">
        <v>50949.6603408351</v>
      </c>
      <c r="G2441">
        <v>2025</v>
      </c>
      <c r="H2441">
        <v>6</v>
      </c>
      <c r="I2441">
        <v>2</v>
      </c>
    </row>
    <row r="2442" spans="1:9" x14ac:dyDescent="0.35">
      <c r="A2442" t="str">
        <f t="shared" si="38"/>
        <v>fcrincomeS1202562</v>
      </c>
      <c r="C2442" t="s">
        <v>102</v>
      </c>
      <c r="D2442" t="s">
        <v>101</v>
      </c>
      <c r="E2442" t="s">
        <v>110</v>
      </c>
      <c r="F2442">
        <v>0</v>
      </c>
      <c r="G2442">
        <v>2025</v>
      </c>
      <c r="H2442">
        <v>6</v>
      </c>
      <c r="I2442">
        <v>2</v>
      </c>
    </row>
    <row r="2443" spans="1:9" x14ac:dyDescent="0.35">
      <c r="A2443" t="str">
        <f t="shared" si="38"/>
        <v>fcractivation_hoursS1202562</v>
      </c>
      <c r="C2443" t="s">
        <v>102</v>
      </c>
      <c r="D2443" t="s">
        <v>115</v>
      </c>
      <c r="E2443" t="s">
        <v>110</v>
      </c>
      <c r="F2443">
        <v>0</v>
      </c>
      <c r="G2443">
        <v>2025</v>
      </c>
      <c r="H2443">
        <v>6</v>
      </c>
      <c r="I2443">
        <v>2</v>
      </c>
    </row>
    <row r="2444" spans="1:9" x14ac:dyDescent="0.35">
      <c r="A2444" t="str">
        <f t="shared" si="38"/>
        <v>afrrincomeS1202562</v>
      </c>
      <c r="C2444" t="s">
        <v>103</v>
      </c>
      <c r="D2444" t="s">
        <v>101</v>
      </c>
      <c r="E2444" t="s">
        <v>110</v>
      </c>
      <c r="F2444">
        <v>296625.00657122862</v>
      </c>
      <c r="G2444">
        <v>2025</v>
      </c>
      <c r="H2444">
        <v>6</v>
      </c>
      <c r="I2444">
        <v>2</v>
      </c>
    </row>
    <row r="2445" spans="1:9" x14ac:dyDescent="0.35">
      <c r="A2445" t="str">
        <f t="shared" si="38"/>
        <v>afrractivation_hoursS1202562</v>
      </c>
      <c r="C2445" t="s">
        <v>103</v>
      </c>
      <c r="D2445" t="s">
        <v>115</v>
      </c>
      <c r="E2445" t="s">
        <v>110</v>
      </c>
      <c r="F2445">
        <v>8737</v>
      </c>
      <c r="G2445">
        <v>2025</v>
      </c>
      <c r="H2445">
        <v>6</v>
      </c>
      <c r="I2445">
        <v>2</v>
      </c>
    </row>
    <row r="2446" spans="1:9" x14ac:dyDescent="0.35">
      <c r="A2446" t="str">
        <f t="shared" si="38"/>
        <v>networkturpe_power_costS1202662</v>
      </c>
      <c r="C2446" t="s">
        <v>96</v>
      </c>
      <c r="D2446" t="s">
        <v>97</v>
      </c>
      <c r="E2446" t="s">
        <v>110</v>
      </c>
      <c r="F2446">
        <v>10638.06113521963</v>
      </c>
      <c r="G2446">
        <v>2026</v>
      </c>
      <c r="H2446">
        <v>6</v>
      </c>
      <c r="I2446">
        <v>2</v>
      </c>
    </row>
    <row r="2447" spans="1:9" x14ac:dyDescent="0.35">
      <c r="A2447" t="str">
        <f t="shared" si="38"/>
        <v>networkturpe_energy_costS1202662</v>
      </c>
      <c r="C2447" t="s">
        <v>96</v>
      </c>
      <c r="D2447" t="s">
        <v>98</v>
      </c>
      <c r="E2447" t="s">
        <v>110</v>
      </c>
      <c r="F2447">
        <v>6372.2889721298507</v>
      </c>
      <c r="G2447">
        <v>2026</v>
      </c>
      <c r="H2447">
        <v>6</v>
      </c>
      <c r="I2447">
        <v>2</v>
      </c>
    </row>
    <row r="2448" spans="1:9" x14ac:dyDescent="0.35">
      <c r="A2448" t="str">
        <f t="shared" si="38"/>
        <v>DAcostS1202662</v>
      </c>
      <c r="C2448" t="s">
        <v>99</v>
      </c>
      <c r="D2448" t="s">
        <v>100</v>
      </c>
      <c r="E2448" t="s">
        <v>110</v>
      </c>
      <c r="F2448">
        <v>54227.742446745513</v>
      </c>
      <c r="G2448">
        <v>2026</v>
      </c>
      <c r="H2448">
        <v>6</v>
      </c>
      <c r="I2448">
        <v>2</v>
      </c>
    </row>
    <row r="2449" spans="1:9" x14ac:dyDescent="0.35">
      <c r="A2449" t="str">
        <f t="shared" si="38"/>
        <v>DAincomeS1202662</v>
      </c>
      <c r="C2449" t="s">
        <v>99</v>
      </c>
      <c r="D2449" t="s">
        <v>101</v>
      </c>
      <c r="E2449" t="s">
        <v>110</v>
      </c>
      <c r="F2449">
        <v>68833.308481861939</v>
      </c>
      <c r="G2449">
        <v>2026</v>
      </c>
      <c r="H2449">
        <v>6</v>
      </c>
      <c r="I2449">
        <v>2</v>
      </c>
    </row>
    <row r="2450" spans="1:9" x14ac:dyDescent="0.35">
      <c r="A2450" t="str">
        <f t="shared" si="38"/>
        <v>DAenergy_boughtS1202662</v>
      </c>
      <c r="B2450" t="s">
        <v>95</v>
      </c>
      <c r="C2450" t="s">
        <v>99</v>
      </c>
      <c r="D2450" t="s">
        <v>111</v>
      </c>
      <c r="E2450" t="s">
        <v>110</v>
      </c>
      <c r="F2450">
        <v>433.46927911979299</v>
      </c>
      <c r="G2450">
        <v>2026</v>
      </c>
      <c r="H2450">
        <v>6</v>
      </c>
      <c r="I2450">
        <v>2</v>
      </c>
    </row>
    <row r="2451" spans="1:9" x14ac:dyDescent="0.35">
      <c r="A2451" t="str">
        <f t="shared" si="38"/>
        <v>DAenergy_soldS1202662</v>
      </c>
      <c r="B2451" t="s">
        <v>95</v>
      </c>
      <c r="C2451" t="s">
        <v>99</v>
      </c>
      <c r="D2451" t="s">
        <v>112</v>
      </c>
      <c r="E2451" t="s">
        <v>110</v>
      </c>
      <c r="F2451">
        <v>331.99844890702161</v>
      </c>
      <c r="G2451">
        <v>2026</v>
      </c>
      <c r="H2451">
        <v>6</v>
      </c>
      <c r="I2451">
        <v>2</v>
      </c>
    </row>
    <row r="2452" spans="1:9" x14ac:dyDescent="0.35">
      <c r="A2452" t="str">
        <f t="shared" si="38"/>
        <v>DAhours_boughtS1202662</v>
      </c>
      <c r="C2452" t="s">
        <v>99</v>
      </c>
      <c r="D2452" t="s">
        <v>113</v>
      </c>
      <c r="E2452" t="s">
        <v>110</v>
      </c>
      <c r="F2452">
        <v>774</v>
      </c>
      <c r="G2452">
        <v>2026</v>
      </c>
      <c r="H2452">
        <v>6</v>
      </c>
      <c r="I2452">
        <v>2</v>
      </c>
    </row>
    <row r="2453" spans="1:9" x14ac:dyDescent="0.35">
      <c r="A2453" t="str">
        <f t="shared" si="38"/>
        <v>DAhours_soldS1202662</v>
      </c>
      <c r="C2453" t="s">
        <v>99</v>
      </c>
      <c r="D2453" t="s">
        <v>114</v>
      </c>
      <c r="E2453" t="s">
        <v>110</v>
      </c>
      <c r="F2453">
        <v>124</v>
      </c>
      <c r="G2453">
        <v>2026</v>
      </c>
      <c r="H2453">
        <v>6</v>
      </c>
      <c r="I2453">
        <v>2</v>
      </c>
    </row>
    <row r="2454" spans="1:9" x14ac:dyDescent="0.35">
      <c r="A2454" t="str">
        <f t="shared" si="38"/>
        <v>DAco2_emissionS1202662</v>
      </c>
      <c r="C2454" t="s">
        <v>99</v>
      </c>
      <c r="D2454" t="s">
        <v>204</v>
      </c>
      <c r="E2454" t="s">
        <v>110</v>
      </c>
      <c r="F2454">
        <v>30342.849538386021</v>
      </c>
      <c r="G2454">
        <v>2026</v>
      </c>
      <c r="H2454">
        <v>6</v>
      </c>
      <c r="I2454">
        <v>2</v>
      </c>
    </row>
    <row r="2455" spans="1:9" x14ac:dyDescent="0.35">
      <c r="A2455" t="str">
        <f t="shared" si="38"/>
        <v>fcrincomeS1202662</v>
      </c>
      <c r="C2455" t="s">
        <v>102</v>
      </c>
      <c r="D2455" t="s">
        <v>101</v>
      </c>
      <c r="E2455" t="s">
        <v>110</v>
      </c>
      <c r="F2455">
        <v>0</v>
      </c>
      <c r="G2455">
        <v>2026</v>
      </c>
      <c r="H2455">
        <v>6</v>
      </c>
      <c r="I2455">
        <v>2</v>
      </c>
    </row>
    <row r="2456" spans="1:9" x14ac:dyDescent="0.35">
      <c r="A2456" t="str">
        <f t="shared" si="38"/>
        <v>fcractivation_hoursS1202662</v>
      </c>
      <c r="C2456" t="s">
        <v>102</v>
      </c>
      <c r="D2456" t="s">
        <v>115</v>
      </c>
      <c r="E2456" t="s">
        <v>110</v>
      </c>
      <c r="F2456">
        <v>0</v>
      </c>
      <c r="G2456">
        <v>2026</v>
      </c>
      <c r="H2456">
        <v>6</v>
      </c>
      <c r="I2456">
        <v>2</v>
      </c>
    </row>
    <row r="2457" spans="1:9" x14ac:dyDescent="0.35">
      <c r="A2457" t="str">
        <f t="shared" si="38"/>
        <v>afrrincomeS1202662</v>
      </c>
      <c r="C2457" t="s">
        <v>103</v>
      </c>
      <c r="D2457" t="s">
        <v>101</v>
      </c>
      <c r="E2457" t="s">
        <v>110</v>
      </c>
      <c r="F2457">
        <v>291726.74445731338</v>
      </c>
      <c r="G2457">
        <v>2026</v>
      </c>
      <c r="H2457">
        <v>6</v>
      </c>
      <c r="I2457">
        <v>2</v>
      </c>
    </row>
    <row r="2458" spans="1:9" x14ac:dyDescent="0.35">
      <c r="A2458" t="str">
        <f t="shared" si="38"/>
        <v>afrractivation_hoursS1202662</v>
      </c>
      <c r="C2458" t="s">
        <v>103</v>
      </c>
      <c r="D2458" t="s">
        <v>115</v>
      </c>
      <c r="E2458" t="s">
        <v>110</v>
      </c>
      <c r="F2458">
        <v>8746</v>
      </c>
      <c r="G2458">
        <v>2026</v>
      </c>
      <c r="H2458">
        <v>6</v>
      </c>
      <c r="I2458">
        <v>2</v>
      </c>
    </row>
    <row r="2459" spans="1:9" x14ac:dyDescent="0.35">
      <c r="A2459" t="str">
        <f t="shared" si="38"/>
        <v>networkturpe_power_costS1202762</v>
      </c>
      <c r="C2459" t="s">
        <v>96</v>
      </c>
      <c r="D2459" t="s">
        <v>97</v>
      </c>
      <c r="E2459" t="s">
        <v>110</v>
      </c>
      <c r="F2459">
        <v>12043.785137288391</v>
      </c>
      <c r="G2459">
        <v>2027</v>
      </c>
      <c r="H2459">
        <v>6</v>
      </c>
      <c r="I2459">
        <v>2</v>
      </c>
    </row>
    <row r="2460" spans="1:9" x14ac:dyDescent="0.35">
      <c r="A2460" t="str">
        <f t="shared" si="38"/>
        <v>networkturpe_energy_costS1202762</v>
      </c>
      <c r="C2460" t="s">
        <v>96</v>
      </c>
      <c r="D2460" t="s">
        <v>98</v>
      </c>
      <c r="E2460" t="s">
        <v>110</v>
      </c>
      <c r="F2460">
        <v>10964.22666343176</v>
      </c>
      <c r="G2460">
        <v>2027</v>
      </c>
      <c r="H2460">
        <v>6</v>
      </c>
      <c r="I2460">
        <v>2</v>
      </c>
    </row>
    <row r="2461" spans="1:9" x14ac:dyDescent="0.35">
      <c r="A2461" t="str">
        <f t="shared" si="38"/>
        <v>DAcostS1202762</v>
      </c>
      <c r="C2461" t="s">
        <v>99</v>
      </c>
      <c r="D2461" t="s">
        <v>100</v>
      </c>
      <c r="E2461" t="s">
        <v>110</v>
      </c>
      <c r="F2461">
        <v>73346.493529541694</v>
      </c>
      <c r="G2461">
        <v>2027</v>
      </c>
      <c r="H2461">
        <v>6</v>
      </c>
      <c r="I2461">
        <v>2</v>
      </c>
    </row>
    <row r="2462" spans="1:9" x14ac:dyDescent="0.35">
      <c r="A2462" t="str">
        <f t="shared" si="38"/>
        <v>DAincomeS1202762</v>
      </c>
      <c r="B2462" t="s">
        <v>95</v>
      </c>
      <c r="C2462" t="s">
        <v>99</v>
      </c>
      <c r="D2462" t="s">
        <v>101</v>
      </c>
      <c r="E2462" t="s">
        <v>110</v>
      </c>
      <c r="F2462">
        <v>99972.365555925368</v>
      </c>
      <c r="G2462">
        <v>2027</v>
      </c>
      <c r="H2462">
        <v>6</v>
      </c>
      <c r="I2462">
        <v>2</v>
      </c>
    </row>
    <row r="2463" spans="1:9" x14ac:dyDescent="0.35">
      <c r="A2463" t="str">
        <f t="shared" si="38"/>
        <v>DAenergy_boughtS1202762</v>
      </c>
      <c r="B2463" t="s">
        <v>95</v>
      </c>
      <c r="C2463" t="s">
        <v>99</v>
      </c>
      <c r="D2463" t="s">
        <v>111</v>
      </c>
      <c r="E2463" t="s">
        <v>110</v>
      </c>
      <c r="F2463">
        <v>754.65640497473646</v>
      </c>
      <c r="G2463">
        <v>2027</v>
      </c>
      <c r="H2463">
        <v>6</v>
      </c>
      <c r="I2463">
        <v>2</v>
      </c>
    </row>
    <row r="2464" spans="1:9" x14ac:dyDescent="0.35">
      <c r="A2464" t="str">
        <f t="shared" si="38"/>
        <v>DAenergy_soldS1202762</v>
      </c>
      <c r="C2464" t="s">
        <v>99</v>
      </c>
      <c r="D2464" t="s">
        <v>112</v>
      </c>
      <c r="E2464" t="s">
        <v>110</v>
      </c>
      <c r="F2464">
        <v>590.96018840191221</v>
      </c>
      <c r="G2464">
        <v>2027</v>
      </c>
      <c r="H2464">
        <v>6</v>
      </c>
      <c r="I2464">
        <v>2</v>
      </c>
    </row>
    <row r="2465" spans="1:9" x14ac:dyDescent="0.35">
      <c r="A2465" t="str">
        <f t="shared" si="38"/>
        <v>DAhours_boughtS1202762</v>
      </c>
      <c r="C2465" t="s">
        <v>99</v>
      </c>
      <c r="D2465" t="s">
        <v>113</v>
      </c>
      <c r="E2465" t="s">
        <v>110</v>
      </c>
      <c r="F2465">
        <v>938</v>
      </c>
      <c r="G2465">
        <v>2027</v>
      </c>
      <c r="H2465">
        <v>6</v>
      </c>
      <c r="I2465">
        <v>2</v>
      </c>
    </row>
    <row r="2466" spans="1:9" x14ac:dyDescent="0.35">
      <c r="A2466" t="str">
        <f t="shared" si="38"/>
        <v>DAhours_soldS1202762</v>
      </c>
      <c r="C2466" t="s">
        <v>99</v>
      </c>
      <c r="D2466" t="s">
        <v>114</v>
      </c>
      <c r="E2466" t="s">
        <v>110</v>
      </c>
      <c r="F2466">
        <v>200</v>
      </c>
      <c r="G2466">
        <v>2027</v>
      </c>
      <c r="H2466">
        <v>6</v>
      </c>
      <c r="I2466">
        <v>2</v>
      </c>
    </row>
    <row r="2467" spans="1:9" x14ac:dyDescent="0.35">
      <c r="A2467" t="str">
        <f t="shared" si="38"/>
        <v>DAco2_emissionS1202762</v>
      </c>
      <c r="C2467" t="s">
        <v>99</v>
      </c>
      <c r="D2467" t="s">
        <v>204</v>
      </c>
      <c r="E2467" t="s">
        <v>110</v>
      </c>
      <c r="F2467">
        <v>52825.948348231388</v>
      </c>
      <c r="G2467">
        <v>2027</v>
      </c>
      <c r="H2467">
        <v>6</v>
      </c>
      <c r="I2467">
        <v>2</v>
      </c>
    </row>
    <row r="2468" spans="1:9" x14ac:dyDescent="0.35">
      <c r="A2468" t="str">
        <f t="shared" si="38"/>
        <v>fcrincomeS1202762</v>
      </c>
      <c r="C2468" t="s">
        <v>102</v>
      </c>
      <c r="D2468" t="s">
        <v>101</v>
      </c>
      <c r="E2468" t="s">
        <v>110</v>
      </c>
      <c r="F2468">
        <v>0</v>
      </c>
      <c r="G2468">
        <v>2027</v>
      </c>
      <c r="H2468">
        <v>6</v>
      </c>
      <c r="I2468">
        <v>2</v>
      </c>
    </row>
    <row r="2469" spans="1:9" x14ac:dyDescent="0.35">
      <c r="A2469" t="str">
        <f t="shared" si="38"/>
        <v>fcractivation_hoursS1202762</v>
      </c>
      <c r="C2469" t="s">
        <v>102</v>
      </c>
      <c r="D2469" t="s">
        <v>115</v>
      </c>
      <c r="E2469" t="s">
        <v>110</v>
      </c>
      <c r="F2469">
        <v>0</v>
      </c>
      <c r="G2469">
        <v>2027</v>
      </c>
      <c r="H2469">
        <v>6</v>
      </c>
      <c r="I2469">
        <v>2</v>
      </c>
    </row>
    <row r="2470" spans="1:9" x14ac:dyDescent="0.35">
      <c r="A2470" t="str">
        <f t="shared" si="38"/>
        <v>afrrincomeS1202762</v>
      </c>
      <c r="C2470" t="s">
        <v>103</v>
      </c>
      <c r="D2470" t="s">
        <v>101</v>
      </c>
      <c r="E2470" t="s">
        <v>110</v>
      </c>
      <c r="F2470">
        <v>251118.55838663829</v>
      </c>
      <c r="G2470">
        <v>2027</v>
      </c>
      <c r="H2470">
        <v>6</v>
      </c>
      <c r="I2470">
        <v>2</v>
      </c>
    </row>
    <row r="2471" spans="1:9" x14ac:dyDescent="0.35">
      <c r="A2471" t="str">
        <f t="shared" si="38"/>
        <v>afrractivation_hoursS1202762</v>
      </c>
      <c r="C2471" t="s">
        <v>103</v>
      </c>
      <c r="D2471" t="s">
        <v>115</v>
      </c>
      <c r="E2471" t="s">
        <v>110</v>
      </c>
      <c r="F2471">
        <v>8719</v>
      </c>
      <c r="G2471">
        <v>2027</v>
      </c>
      <c r="H2471">
        <v>6</v>
      </c>
      <c r="I2471">
        <v>2</v>
      </c>
    </row>
    <row r="2472" spans="1:9" x14ac:dyDescent="0.35">
      <c r="A2472" t="str">
        <f t="shared" si="38"/>
        <v>networkturpe_power_costS1202862</v>
      </c>
      <c r="C2472" t="s">
        <v>96</v>
      </c>
      <c r="D2472" t="s">
        <v>97</v>
      </c>
      <c r="E2472" t="s">
        <v>110</v>
      </c>
      <c r="F2472">
        <v>13078.13752426895</v>
      </c>
      <c r="G2472">
        <v>2028</v>
      </c>
      <c r="H2472">
        <v>6</v>
      </c>
      <c r="I2472">
        <v>2</v>
      </c>
    </row>
    <row r="2473" spans="1:9" x14ac:dyDescent="0.35">
      <c r="A2473" t="str">
        <f t="shared" si="38"/>
        <v>networkturpe_energy_costS1202862</v>
      </c>
      <c r="C2473" t="s">
        <v>96</v>
      </c>
      <c r="D2473" t="s">
        <v>98</v>
      </c>
      <c r="E2473" t="s">
        <v>110</v>
      </c>
      <c r="F2473">
        <v>15237.61046174623</v>
      </c>
      <c r="G2473">
        <v>2028</v>
      </c>
      <c r="H2473">
        <v>6</v>
      </c>
      <c r="I2473">
        <v>2</v>
      </c>
    </row>
    <row r="2474" spans="1:9" x14ac:dyDescent="0.35">
      <c r="A2474" t="str">
        <f t="shared" si="38"/>
        <v>DAcostS1202862</v>
      </c>
      <c r="B2474" t="s">
        <v>95</v>
      </c>
      <c r="C2474" t="s">
        <v>99</v>
      </c>
      <c r="D2474" t="s">
        <v>100</v>
      </c>
      <c r="E2474" t="s">
        <v>110</v>
      </c>
      <c r="F2474">
        <v>92774.379844165349</v>
      </c>
      <c r="G2474">
        <v>2028</v>
      </c>
      <c r="H2474">
        <v>6</v>
      </c>
      <c r="I2474">
        <v>2</v>
      </c>
    </row>
    <row r="2475" spans="1:9" x14ac:dyDescent="0.35">
      <c r="A2475" t="str">
        <f t="shared" si="38"/>
        <v>DAincomeS1202862</v>
      </c>
      <c r="B2475" t="s">
        <v>95</v>
      </c>
      <c r="C2475" t="s">
        <v>99</v>
      </c>
      <c r="D2475" t="s">
        <v>101</v>
      </c>
      <c r="E2475" t="s">
        <v>110</v>
      </c>
      <c r="F2475">
        <v>130208.4247349225</v>
      </c>
      <c r="G2475">
        <v>2028</v>
      </c>
      <c r="H2475">
        <v>6</v>
      </c>
      <c r="I2475">
        <v>2</v>
      </c>
    </row>
    <row r="2476" spans="1:9" x14ac:dyDescent="0.35">
      <c r="A2476" t="str">
        <f t="shared" si="38"/>
        <v>DAenergy_boughtS1202862</v>
      </c>
      <c r="C2476" t="s">
        <v>99</v>
      </c>
      <c r="D2476" t="s">
        <v>111</v>
      </c>
      <c r="E2476" t="s">
        <v>110</v>
      </c>
      <c r="F2476">
        <v>1038.162663841988</v>
      </c>
      <c r="G2476">
        <v>2028</v>
      </c>
      <c r="H2476">
        <v>6</v>
      </c>
      <c r="I2476">
        <v>2</v>
      </c>
    </row>
    <row r="2477" spans="1:9" x14ac:dyDescent="0.35">
      <c r="A2477" t="str">
        <f t="shared" si="38"/>
        <v>DAenergy_soldS1202862</v>
      </c>
      <c r="C2477" t="s">
        <v>99</v>
      </c>
      <c r="D2477" t="s">
        <v>112</v>
      </c>
      <c r="E2477" t="s">
        <v>110</v>
      </c>
      <c r="F2477">
        <v>819.96325648309607</v>
      </c>
      <c r="G2477">
        <v>2028</v>
      </c>
      <c r="H2477">
        <v>6</v>
      </c>
      <c r="I2477">
        <v>2</v>
      </c>
    </row>
    <row r="2478" spans="1:9" x14ac:dyDescent="0.35">
      <c r="A2478" t="str">
        <f t="shared" si="38"/>
        <v>DAhours_boughtS1202862</v>
      </c>
      <c r="C2478" t="s">
        <v>99</v>
      </c>
      <c r="D2478" t="s">
        <v>113</v>
      </c>
      <c r="E2478" t="s">
        <v>110</v>
      </c>
      <c r="F2478">
        <v>1185</v>
      </c>
      <c r="G2478">
        <v>2028</v>
      </c>
      <c r="H2478">
        <v>6</v>
      </c>
      <c r="I2478">
        <v>2</v>
      </c>
    </row>
    <row r="2479" spans="1:9" x14ac:dyDescent="0.35">
      <c r="A2479" t="str">
        <f t="shared" si="38"/>
        <v>DAhours_soldS1202862</v>
      </c>
      <c r="C2479" t="s">
        <v>99</v>
      </c>
      <c r="D2479" t="s">
        <v>114</v>
      </c>
      <c r="E2479" t="s">
        <v>110</v>
      </c>
      <c r="F2479">
        <v>250</v>
      </c>
      <c r="G2479">
        <v>2028</v>
      </c>
      <c r="H2479">
        <v>6</v>
      </c>
      <c r="I2479">
        <v>2</v>
      </c>
    </row>
    <row r="2480" spans="1:9" x14ac:dyDescent="0.35">
      <c r="A2480" t="str">
        <f t="shared" si="38"/>
        <v>DAco2_emissionS1202862</v>
      </c>
      <c r="C2480" t="s">
        <v>99</v>
      </c>
      <c r="D2480" t="s">
        <v>204</v>
      </c>
      <c r="E2480" t="s">
        <v>110</v>
      </c>
      <c r="F2480">
        <v>72671.386468939119</v>
      </c>
      <c r="G2480">
        <v>2028</v>
      </c>
      <c r="H2480">
        <v>6</v>
      </c>
      <c r="I2480">
        <v>2</v>
      </c>
    </row>
    <row r="2481" spans="1:9" x14ac:dyDescent="0.35">
      <c r="A2481" t="str">
        <f t="shared" si="38"/>
        <v>fcrincomeS1202862</v>
      </c>
      <c r="C2481" t="s">
        <v>102</v>
      </c>
      <c r="D2481" t="s">
        <v>101</v>
      </c>
      <c r="E2481" t="s">
        <v>110</v>
      </c>
      <c r="F2481">
        <v>0</v>
      </c>
      <c r="G2481">
        <v>2028</v>
      </c>
      <c r="H2481">
        <v>6</v>
      </c>
      <c r="I2481">
        <v>2</v>
      </c>
    </row>
    <row r="2482" spans="1:9" x14ac:dyDescent="0.35">
      <c r="A2482" t="str">
        <f t="shared" si="38"/>
        <v>fcractivation_hoursS1202862</v>
      </c>
      <c r="C2482" t="s">
        <v>102</v>
      </c>
      <c r="D2482" t="s">
        <v>115</v>
      </c>
      <c r="E2482" t="s">
        <v>110</v>
      </c>
      <c r="F2482">
        <v>0</v>
      </c>
      <c r="G2482">
        <v>2028</v>
      </c>
      <c r="H2482">
        <v>6</v>
      </c>
      <c r="I2482">
        <v>2</v>
      </c>
    </row>
    <row r="2483" spans="1:9" x14ac:dyDescent="0.35">
      <c r="A2483" t="str">
        <f t="shared" si="38"/>
        <v>afrrincomeS1202862</v>
      </c>
      <c r="C2483" t="s">
        <v>103</v>
      </c>
      <c r="D2483" t="s">
        <v>101</v>
      </c>
      <c r="E2483" t="s">
        <v>110</v>
      </c>
      <c r="F2483">
        <v>250666.90368773331</v>
      </c>
      <c r="G2483">
        <v>2028</v>
      </c>
      <c r="H2483">
        <v>6</v>
      </c>
      <c r="I2483">
        <v>2</v>
      </c>
    </row>
    <row r="2484" spans="1:9" x14ac:dyDescent="0.35">
      <c r="A2484" t="str">
        <f t="shared" si="38"/>
        <v>afrractivation_hoursS1202862</v>
      </c>
      <c r="C2484" t="s">
        <v>103</v>
      </c>
      <c r="D2484" t="s">
        <v>115</v>
      </c>
      <c r="E2484" t="s">
        <v>110</v>
      </c>
      <c r="F2484">
        <v>8722</v>
      </c>
      <c r="G2484">
        <v>2028</v>
      </c>
      <c r="H2484">
        <v>6</v>
      </c>
      <c r="I2484">
        <v>2</v>
      </c>
    </row>
    <row r="2485" spans="1:9" x14ac:dyDescent="0.35">
      <c r="A2485" t="str">
        <f t="shared" si="38"/>
        <v>networkturpe_power_costS1202962</v>
      </c>
      <c r="C2485" t="s">
        <v>96</v>
      </c>
      <c r="D2485" t="s">
        <v>97</v>
      </c>
      <c r="E2485" t="s">
        <v>110</v>
      </c>
      <c r="F2485">
        <v>13944.739548113481</v>
      </c>
      <c r="G2485">
        <v>2029</v>
      </c>
      <c r="H2485">
        <v>6</v>
      </c>
      <c r="I2485">
        <v>2</v>
      </c>
    </row>
    <row r="2486" spans="1:9" x14ac:dyDescent="0.35">
      <c r="A2486" t="str">
        <f t="shared" si="38"/>
        <v>networkturpe_energy_costS1202962</v>
      </c>
      <c r="B2486" t="s">
        <v>95</v>
      </c>
      <c r="C2486" t="s">
        <v>96</v>
      </c>
      <c r="D2486" t="s">
        <v>98</v>
      </c>
      <c r="E2486" t="s">
        <v>110</v>
      </c>
      <c r="F2486">
        <v>16575.917594540439</v>
      </c>
      <c r="G2486">
        <v>2029</v>
      </c>
      <c r="H2486">
        <v>6</v>
      </c>
      <c r="I2486">
        <v>2</v>
      </c>
    </row>
    <row r="2487" spans="1:9" x14ac:dyDescent="0.35">
      <c r="A2487" t="str">
        <f t="shared" si="38"/>
        <v>DAcostS1202962</v>
      </c>
      <c r="B2487" t="s">
        <v>95</v>
      </c>
      <c r="C2487" t="s">
        <v>99</v>
      </c>
      <c r="D2487" t="s">
        <v>100</v>
      </c>
      <c r="E2487" t="s">
        <v>110</v>
      </c>
      <c r="F2487">
        <v>79889.019760710376</v>
      </c>
      <c r="G2487">
        <v>2029</v>
      </c>
      <c r="H2487">
        <v>6</v>
      </c>
      <c r="I2487">
        <v>2</v>
      </c>
    </row>
    <row r="2488" spans="1:9" x14ac:dyDescent="0.35">
      <c r="A2488" t="str">
        <f t="shared" si="38"/>
        <v>DAincomeS1202962</v>
      </c>
      <c r="C2488" t="s">
        <v>99</v>
      </c>
      <c r="D2488" t="s">
        <v>101</v>
      </c>
      <c r="E2488" t="s">
        <v>110</v>
      </c>
      <c r="F2488">
        <v>122926.03743549511</v>
      </c>
      <c r="G2488">
        <v>2029</v>
      </c>
      <c r="H2488">
        <v>6</v>
      </c>
      <c r="I2488">
        <v>2</v>
      </c>
    </row>
    <row r="2489" spans="1:9" x14ac:dyDescent="0.35">
      <c r="A2489" t="str">
        <f t="shared" si="38"/>
        <v>DAenergy_boughtS1202962</v>
      </c>
      <c r="C2489" t="s">
        <v>99</v>
      </c>
      <c r="D2489" t="s">
        <v>111</v>
      </c>
      <c r="E2489" t="s">
        <v>110</v>
      </c>
      <c r="F2489">
        <v>1121.0988900111281</v>
      </c>
      <c r="G2489">
        <v>2029</v>
      </c>
      <c r="H2489">
        <v>6</v>
      </c>
      <c r="I2489">
        <v>2</v>
      </c>
    </row>
    <row r="2490" spans="1:9" x14ac:dyDescent="0.35">
      <c r="A2490" t="str">
        <f t="shared" si="38"/>
        <v>DAenergy_soldS1202962</v>
      </c>
      <c r="C2490" t="s">
        <v>99</v>
      </c>
      <c r="D2490" t="s">
        <v>112</v>
      </c>
      <c r="E2490" t="s">
        <v>110</v>
      </c>
      <c r="F2490">
        <v>886.99701636309533</v>
      </c>
      <c r="G2490">
        <v>2029</v>
      </c>
      <c r="H2490">
        <v>6</v>
      </c>
      <c r="I2490">
        <v>2</v>
      </c>
    </row>
    <row r="2491" spans="1:9" x14ac:dyDescent="0.35">
      <c r="A2491" t="str">
        <f t="shared" si="38"/>
        <v>DAhours_boughtS1202962</v>
      </c>
      <c r="C2491" t="s">
        <v>99</v>
      </c>
      <c r="D2491" t="s">
        <v>113</v>
      </c>
      <c r="E2491" t="s">
        <v>110</v>
      </c>
      <c r="F2491">
        <v>1287</v>
      </c>
      <c r="G2491">
        <v>2029</v>
      </c>
      <c r="H2491">
        <v>6</v>
      </c>
      <c r="I2491">
        <v>2</v>
      </c>
    </row>
    <row r="2492" spans="1:9" x14ac:dyDescent="0.35">
      <c r="A2492" t="str">
        <f t="shared" si="38"/>
        <v>DAhours_soldS1202962</v>
      </c>
      <c r="C2492" t="s">
        <v>99</v>
      </c>
      <c r="D2492" t="s">
        <v>114</v>
      </c>
      <c r="E2492" t="s">
        <v>110</v>
      </c>
      <c r="F2492">
        <v>262</v>
      </c>
      <c r="G2492">
        <v>2029</v>
      </c>
      <c r="H2492">
        <v>6</v>
      </c>
      <c r="I2492">
        <v>2</v>
      </c>
    </row>
    <row r="2493" spans="1:9" x14ac:dyDescent="0.35">
      <c r="A2493" t="str">
        <f t="shared" si="38"/>
        <v>DAco2_emissionS1202962</v>
      </c>
      <c r="C2493" t="s">
        <v>99</v>
      </c>
      <c r="D2493" t="s">
        <v>204</v>
      </c>
      <c r="E2493" t="s">
        <v>110</v>
      </c>
      <c r="F2493">
        <v>78476.922300778446</v>
      </c>
      <c r="G2493">
        <v>2029</v>
      </c>
      <c r="H2493">
        <v>6</v>
      </c>
      <c r="I2493">
        <v>2</v>
      </c>
    </row>
    <row r="2494" spans="1:9" x14ac:dyDescent="0.35">
      <c r="A2494" t="str">
        <f t="shared" si="38"/>
        <v>fcrincomeS1202962</v>
      </c>
      <c r="C2494" t="s">
        <v>102</v>
      </c>
      <c r="D2494" t="s">
        <v>101</v>
      </c>
      <c r="E2494" t="s">
        <v>110</v>
      </c>
      <c r="F2494">
        <v>0</v>
      </c>
      <c r="G2494">
        <v>2029</v>
      </c>
      <c r="H2494">
        <v>6</v>
      </c>
      <c r="I2494">
        <v>2</v>
      </c>
    </row>
    <row r="2495" spans="1:9" x14ac:dyDescent="0.35">
      <c r="A2495" t="str">
        <f t="shared" si="38"/>
        <v>fcractivation_hoursS1202962</v>
      </c>
      <c r="C2495" t="s">
        <v>102</v>
      </c>
      <c r="D2495" t="s">
        <v>115</v>
      </c>
      <c r="E2495" t="s">
        <v>110</v>
      </c>
      <c r="F2495">
        <v>0</v>
      </c>
      <c r="G2495">
        <v>2029</v>
      </c>
      <c r="H2495">
        <v>6</v>
      </c>
      <c r="I2495">
        <v>2</v>
      </c>
    </row>
    <row r="2496" spans="1:9" x14ac:dyDescent="0.35">
      <c r="A2496" t="str">
        <f t="shared" si="38"/>
        <v>afrrincomeS1202962</v>
      </c>
      <c r="C2496" t="s">
        <v>103</v>
      </c>
      <c r="D2496" t="s">
        <v>101</v>
      </c>
      <c r="E2496" t="s">
        <v>110</v>
      </c>
      <c r="F2496">
        <v>265330.91468815651</v>
      </c>
      <c r="G2496">
        <v>2029</v>
      </c>
      <c r="H2496">
        <v>6</v>
      </c>
      <c r="I2496">
        <v>2</v>
      </c>
    </row>
    <row r="2497" spans="1:9" x14ac:dyDescent="0.35">
      <c r="A2497" t="str">
        <f t="shared" si="38"/>
        <v>afrractivation_hoursS1202962</v>
      </c>
      <c r="C2497" t="s">
        <v>103</v>
      </c>
      <c r="D2497" t="s">
        <v>115</v>
      </c>
      <c r="E2497" t="s">
        <v>110</v>
      </c>
      <c r="F2497">
        <v>8731</v>
      </c>
      <c r="G2497">
        <v>2029</v>
      </c>
      <c r="H2497">
        <v>6</v>
      </c>
      <c r="I2497">
        <v>2</v>
      </c>
    </row>
    <row r="2498" spans="1:9" x14ac:dyDescent="0.35">
      <c r="A2498" t="str">
        <f t="shared" si="38"/>
        <v>networkturpe_power_costS1203062</v>
      </c>
      <c r="B2498" t="s">
        <v>95</v>
      </c>
      <c r="C2498" t="s">
        <v>96</v>
      </c>
      <c r="D2498" t="s">
        <v>97</v>
      </c>
      <c r="E2498" t="s">
        <v>110</v>
      </c>
      <c r="F2498">
        <v>16391.42588237844</v>
      </c>
      <c r="G2498">
        <v>2030</v>
      </c>
      <c r="H2498">
        <v>6</v>
      </c>
      <c r="I2498">
        <v>2</v>
      </c>
    </row>
    <row r="2499" spans="1:9" x14ac:dyDescent="0.35">
      <c r="A2499" t="str">
        <f t="shared" ref="A2499:A2562" si="39">C2499&amp;D2499&amp;E2499&amp;G2499&amp;H2499&amp;I2499</f>
        <v>networkturpe_energy_costS1203062</v>
      </c>
      <c r="B2499" t="s">
        <v>95</v>
      </c>
      <c r="C2499" t="s">
        <v>96</v>
      </c>
      <c r="D2499" t="s">
        <v>98</v>
      </c>
      <c r="E2499" t="s">
        <v>110</v>
      </c>
      <c r="F2499">
        <v>26150.078755511771</v>
      </c>
      <c r="G2499">
        <v>2030</v>
      </c>
      <c r="H2499">
        <v>6</v>
      </c>
      <c r="I2499">
        <v>2</v>
      </c>
    </row>
    <row r="2500" spans="1:9" x14ac:dyDescent="0.35">
      <c r="A2500" t="str">
        <f t="shared" si="39"/>
        <v>DAcostS1203062</v>
      </c>
      <c r="C2500" t="s">
        <v>99</v>
      </c>
      <c r="D2500" t="s">
        <v>100</v>
      </c>
      <c r="E2500" t="s">
        <v>110</v>
      </c>
      <c r="F2500">
        <v>94807.958549032497</v>
      </c>
      <c r="G2500">
        <v>2030</v>
      </c>
      <c r="H2500">
        <v>6</v>
      </c>
      <c r="I2500">
        <v>2</v>
      </c>
    </row>
    <row r="2501" spans="1:9" x14ac:dyDescent="0.35">
      <c r="A2501" t="str">
        <f t="shared" si="39"/>
        <v>DAincomeS1203062</v>
      </c>
      <c r="C2501" t="s">
        <v>99</v>
      </c>
      <c r="D2501" t="s">
        <v>101</v>
      </c>
      <c r="E2501" t="s">
        <v>110</v>
      </c>
      <c r="F2501">
        <v>162343.23112705629</v>
      </c>
      <c r="G2501">
        <v>2030</v>
      </c>
      <c r="H2501">
        <v>6</v>
      </c>
      <c r="I2501">
        <v>2</v>
      </c>
    </row>
    <row r="2502" spans="1:9" x14ac:dyDescent="0.35">
      <c r="A2502" t="str">
        <f t="shared" si="39"/>
        <v>DAenergy_boughtS1203062</v>
      </c>
      <c r="C2502" t="s">
        <v>99</v>
      </c>
      <c r="D2502" t="s">
        <v>111</v>
      </c>
      <c r="E2502" t="s">
        <v>110</v>
      </c>
      <c r="F2502">
        <v>1711.779893776546</v>
      </c>
      <c r="G2502">
        <v>2030</v>
      </c>
      <c r="H2502">
        <v>6</v>
      </c>
      <c r="I2502">
        <v>2</v>
      </c>
    </row>
    <row r="2503" spans="1:9" x14ac:dyDescent="0.35">
      <c r="A2503" t="str">
        <f t="shared" si="39"/>
        <v>DAenergy_soldS1203062</v>
      </c>
      <c r="C2503" t="s">
        <v>99</v>
      </c>
      <c r="D2503" t="s">
        <v>112</v>
      </c>
      <c r="E2503" t="s">
        <v>110</v>
      </c>
      <c r="F2503">
        <v>1365.328872807841</v>
      </c>
      <c r="G2503">
        <v>2030</v>
      </c>
      <c r="H2503">
        <v>6</v>
      </c>
      <c r="I2503">
        <v>2</v>
      </c>
    </row>
    <row r="2504" spans="1:9" x14ac:dyDescent="0.35">
      <c r="A2504" t="str">
        <f t="shared" si="39"/>
        <v>DAhours_boughtS1203062</v>
      </c>
      <c r="C2504" t="s">
        <v>99</v>
      </c>
      <c r="D2504" t="s">
        <v>113</v>
      </c>
      <c r="E2504" t="s">
        <v>110</v>
      </c>
      <c r="F2504">
        <v>1729</v>
      </c>
      <c r="G2504">
        <v>2030</v>
      </c>
      <c r="H2504">
        <v>6</v>
      </c>
      <c r="I2504">
        <v>2</v>
      </c>
    </row>
    <row r="2505" spans="1:9" x14ac:dyDescent="0.35">
      <c r="A2505" t="str">
        <f t="shared" si="39"/>
        <v>DAhours_soldS1203062</v>
      </c>
      <c r="C2505" t="s">
        <v>99</v>
      </c>
      <c r="D2505" t="s">
        <v>114</v>
      </c>
      <c r="E2505" t="s">
        <v>110</v>
      </c>
      <c r="F2505">
        <v>388</v>
      </c>
      <c r="G2505">
        <v>2030</v>
      </c>
      <c r="H2505">
        <v>6</v>
      </c>
      <c r="I2505">
        <v>2</v>
      </c>
    </row>
    <row r="2506" spans="1:9" x14ac:dyDescent="0.35">
      <c r="A2506" t="str">
        <f t="shared" si="39"/>
        <v>DAco2_emissionS1203062</v>
      </c>
      <c r="C2506" t="s">
        <v>99</v>
      </c>
      <c r="D2506" t="s">
        <v>204</v>
      </c>
      <c r="E2506" t="s">
        <v>110</v>
      </c>
      <c r="F2506">
        <v>119824.5925643572</v>
      </c>
      <c r="G2506">
        <v>2030</v>
      </c>
      <c r="H2506">
        <v>6</v>
      </c>
      <c r="I2506">
        <v>2</v>
      </c>
    </row>
    <row r="2507" spans="1:9" x14ac:dyDescent="0.35">
      <c r="A2507" t="str">
        <f t="shared" si="39"/>
        <v>fcrincomeS1203062</v>
      </c>
      <c r="C2507" t="s">
        <v>102</v>
      </c>
      <c r="D2507" t="s">
        <v>101</v>
      </c>
      <c r="E2507" t="s">
        <v>110</v>
      </c>
      <c r="F2507">
        <v>2.8319798854968639</v>
      </c>
      <c r="G2507">
        <v>2030</v>
      </c>
      <c r="H2507">
        <v>6</v>
      </c>
      <c r="I2507">
        <v>2</v>
      </c>
    </row>
    <row r="2508" spans="1:9" x14ac:dyDescent="0.35">
      <c r="A2508" t="str">
        <f t="shared" si="39"/>
        <v>fcractivation_hoursS1203062</v>
      </c>
      <c r="C2508" t="s">
        <v>102</v>
      </c>
      <c r="D2508" t="s">
        <v>115</v>
      </c>
      <c r="E2508" t="s">
        <v>110</v>
      </c>
      <c r="F2508">
        <v>12</v>
      </c>
      <c r="G2508">
        <v>2030</v>
      </c>
      <c r="H2508">
        <v>6</v>
      </c>
      <c r="I2508">
        <v>2</v>
      </c>
    </row>
    <row r="2509" spans="1:9" x14ac:dyDescent="0.35">
      <c r="A2509" t="str">
        <f t="shared" si="39"/>
        <v>afrrincomeS1203062</v>
      </c>
      <c r="C2509" t="s">
        <v>103</v>
      </c>
      <c r="D2509" t="s">
        <v>101</v>
      </c>
      <c r="E2509" t="s">
        <v>110</v>
      </c>
      <c r="F2509">
        <v>156464.516324645</v>
      </c>
      <c r="G2509">
        <v>2030</v>
      </c>
      <c r="H2509">
        <v>6</v>
      </c>
      <c r="I2509">
        <v>2</v>
      </c>
    </row>
    <row r="2510" spans="1:9" x14ac:dyDescent="0.35">
      <c r="A2510" t="str">
        <f t="shared" si="39"/>
        <v>afrractivation_hoursS1203062</v>
      </c>
      <c r="B2510" t="s">
        <v>95</v>
      </c>
      <c r="C2510" t="s">
        <v>103</v>
      </c>
      <c r="D2510" t="s">
        <v>115</v>
      </c>
      <c r="E2510" t="s">
        <v>110</v>
      </c>
      <c r="F2510">
        <v>8602</v>
      </c>
      <c r="G2510">
        <v>2030</v>
      </c>
      <c r="H2510">
        <v>6</v>
      </c>
      <c r="I2510">
        <v>2</v>
      </c>
    </row>
    <row r="2511" spans="1:9" x14ac:dyDescent="0.35">
      <c r="A2511" t="str">
        <f t="shared" si="39"/>
        <v>networkturpe_power_costS1203162</v>
      </c>
      <c r="B2511" t="s">
        <v>95</v>
      </c>
      <c r="C2511" t="s">
        <v>96</v>
      </c>
      <c r="D2511" t="s">
        <v>97</v>
      </c>
      <c r="E2511" t="s">
        <v>110</v>
      </c>
      <c r="F2511">
        <v>15926.200789512781</v>
      </c>
      <c r="G2511">
        <v>2031</v>
      </c>
      <c r="H2511">
        <v>6</v>
      </c>
      <c r="I2511">
        <v>2</v>
      </c>
    </row>
    <row r="2512" spans="1:9" x14ac:dyDescent="0.35">
      <c r="A2512" t="str">
        <f t="shared" si="39"/>
        <v>networkturpe_energy_costS1203162</v>
      </c>
      <c r="C2512" t="s">
        <v>96</v>
      </c>
      <c r="D2512" t="s">
        <v>98</v>
      </c>
      <c r="E2512" t="s">
        <v>110</v>
      </c>
      <c r="F2512">
        <v>25573.406747661022</v>
      </c>
      <c r="G2512">
        <v>2031</v>
      </c>
      <c r="H2512">
        <v>6</v>
      </c>
      <c r="I2512">
        <v>2</v>
      </c>
    </row>
    <row r="2513" spans="1:9" x14ac:dyDescent="0.35">
      <c r="A2513" t="str">
        <f t="shared" si="39"/>
        <v>DAcostS1203162</v>
      </c>
      <c r="C2513" t="s">
        <v>99</v>
      </c>
      <c r="D2513" t="s">
        <v>100</v>
      </c>
      <c r="E2513" t="s">
        <v>110</v>
      </c>
      <c r="F2513">
        <v>78938.662269033346</v>
      </c>
      <c r="G2513">
        <v>2031</v>
      </c>
      <c r="H2513">
        <v>6</v>
      </c>
      <c r="I2513">
        <v>2</v>
      </c>
    </row>
    <row r="2514" spans="1:9" x14ac:dyDescent="0.35">
      <c r="A2514" t="str">
        <f t="shared" si="39"/>
        <v>DAincomeS1203162</v>
      </c>
      <c r="C2514" t="s">
        <v>99</v>
      </c>
      <c r="D2514" t="s">
        <v>101</v>
      </c>
      <c r="E2514" t="s">
        <v>110</v>
      </c>
      <c r="F2514">
        <v>144932.06714260671</v>
      </c>
      <c r="G2514">
        <v>2031</v>
      </c>
      <c r="H2514">
        <v>6</v>
      </c>
      <c r="I2514">
        <v>2</v>
      </c>
    </row>
    <row r="2515" spans="1:9" x14ac:dyDescent="0.35">
      <c r="A2515" t="str">
        <f t="shared" si="39"/>
        <v>DAenergy_boughtS1203162</v>
      </c>
      <c r="C2515" t="s">
        <v>99</v>
      </c>
      <c r="D2515" t="s">
        <v>111</v>
      </c>
      <c r="E2515" t="s">
        <v>110</v>
      </c>
      <c r="F2515">
        <v>1670.07839524018</v>
      </c>
      <c r="G2515">
        <v>2031</v>
      </c>
      <c r="H2515">
        <v>6</v>
      </c>
      <c r="I2515">
        <v>2</v>
      </c>
    </row>
    <row r="2516" spans="1:9" x14ac:dyDescent="0.35">
      <c r="A2516" t="str">
        <f t="shared" si="39"/>
        <v>DAenergy_soldS1203162</v>
      </c>
      <c r="C2516" t="s">
        <v>99</v>
      </c>
      <c r="D2516" t="s">
        <v>112</v>
      </c>
      <c r="E2516" t="s">
        <v>110</v>
      </c>
      <c r="F2516">
        <v>1332.2061700367581</v>
      </c>
      <c r="G2516">
        <v>2031</v>
      </c>
      <c r="H2516">
        <v>6</v>
      </c>
      <c r="I2516">
        <v>2</v>
      </c>
    </row>
    <row r="2517" spans="1:9" x14ac:dyDescent="0.35">
      <c r="A2517" t="str">
        <f t="shared" si="39"/>
        <v>DAhours_boughtS1203162</v>
      </c>
      <c r="C2517" t="s">
        <v>99</v>
      </c>
      <c r="D2517" t="s">
        <v>113</v>
      </c>
      <c r="E2517" t="s">
        <v>110</v>
      </c>
      <c r="F2517">
        <v>1665</v>
      </c>
      <c r="G2517">
        <v>2031</v>
      </c>
      <c r="H2517">
        <v>6</v>
      </c>
      <c r="I2517">
        <v>2</v>
      </c>
    </row>
    <row r="2518" spans="1:9" x14ac:dyDescent="0.35">
      <c r="A2518" t="str">
        <f t="shared" si="39"/>
        <v>DAhours_soldS1203162</v>
      </c>
      <c r="C2518" t="s">
        <v>99</v>
      </c>
      <c r="D2518" t="s">
        <v>114</v>
      </c>
      <c r="E2518" t="s">
        <v>110</v>
      </c>
      <c r="F2518">
        <v>408</v>
      </c>
      <c r="G2518">
        <v>2031</v>
      </c>
      <c r="H2518">
        <v>6</v>
      </c>
      <c r="I2518">
        <v>2</v>
      </c>
    </row>
    <row r="2519" spans="1:9" x14ac:dyDescent="0.35">
      <c r="A2519" t="str">
        <f t="shared" si="39"/>
        <v>DAco2_emissionS1203162</v>
      </c>
      <c r="C2519" t="s">
        <v>99</v>
      </c>
      <c r="D2519" t="s">
        <v>204</v>
      </c>
      <c r="E2519" t="s">
        <v>110</v>
      </c>
      <c r="F2519">
        <v>116905.4876668127</v>
      </c>
      <c r="G2519">
        <v>2031</v>
      </c>
      <c r="H2519">
        <v>6</v>
      </c>
      <c r="I2519">
        <v>2</v>
      </c>
    </row>
    <row r="2520" spans="1:9" x14ac:dyDescent="0.35">
      <c r="A2520" t="str">
        <f t="shared" si="39"/>
        <v>fcrincomeS1203162</v>
      </c>
      <c r="C2520" t="s">
        <v>102</v>
      </c>
      <c r="D2520" t="s">
        <v>101</v>
      </c>
      <c r="E2520" t="s">
        <v>110</v>
      </c>
      <c r="F2520">
        <v>0.19986636001013491</v>
      </c>
      <c r="G2520">
        <v>2031</v>
      </c>
      <c r="H2520">
        <v>6</v>
      </c>
      <c r="I2520">
        <v>2</v>
      </c>
    </row>
    <row r="2521" spans="1:9" x14ac:dyDescent="0.35">
      <c r="A2521" t="str">
        <f t="shared" si="39"/>
        <v>fcractivation_hoursS1203162</v>
      </c>
      <c r="C2521" t="s">
        <v>102</v>
      </c>
      <c r="D2521" t="s">
        <v>115</v>
      </c>
      <c r="E2521" t="s">
        <v>110</v>
      </c>
      <c r="F2521">
        <v>4</v>
      </c>
      <c r="G2521">
        <v>2031</v>
      </c>
      <c r="H2521">
        <v>6</v>
      </c>
      <c r="I2521">
        <v>2</v>
      </c>
    </row>
    <row r="2522" spans="1:9" x14ac:dyDescent="0.35">
      <c r="A2522" t="str">
        <f t="shared" si="39"/>
        <v>afrrincomeS1203162</v>
      </c>
      <c r="B2522" t="s">
        <v>95</v>
      </c>
      <c r="C2522" t="s">
        <v>103</v>
      </c>
      <c r="D2522" t="s">
        <v>101</v>
      </c>
      <c r="E2522" t="s">
        <v>110</v>
      </c>
      <c r="F2522">
        <v>157486.27803005441</v>
      </c>
      <c r="G2522">
        <v>2031</v>
      </c>
      <c r="H2522">
        <v>6</v>
      </c>
      <c r="I2522">
        <v>2</v>
      </c>
    </row>
    <row r="2523" spans="1:9" x14ac:dyDescent="0.35">
      <c r="A2523" t="str">
        <f t="shared" si="39"/>
        <v>afrractivation_hoursS1203162</v>
      </c>
      <c r="B2523" t="s">
        <v>95</v>
      </c>
      <c r="C2523" t="s">
        <v>103</v>
      </c>
      <c r="D2523" t="s">
        <v>115</v>
      </c>
      <c r="E2523" t="s">
        <v>110</v>
      </c>
      <c r="F2523">
        <v>8581</v>
      </c>
      <c r="G2523">
        <v>2031</v>
      </c>
      <c r="H2523">
        <v>6</v>
      </c>
      <c r="I2523">
        <v>2</v>
      </c>
    </row>
    <row r="2524" spans="1:9" x14ac:dyDescent="0.35">
      <c r="A2524" t="str">
        <f t="shared" si="39"/>
        <v>networkturpe_power_costS1203262</v>
      </c>
      <c r="C2524" t="s">
        <v>96</v>
      </c>
      <c r="D2524" t="s">
        <v>97</v>
      </c>
      <c r="E2524" t="s">
        <v>110</v>
      </c>
      <c r="F2524">
        <v>15395.924397037181</v>
      </c>
      <c r="G2524">
        <v>2032</v>
      </c>
      <c r="H2524">
        <v>6</v>
      </c>
      <c r="I2524">
        <v>2</v>
      </c>
    </row>
    <row r="2525" spans="1:9" x14ac:dyDescent="0.35">
      <c r="A2525" t="str">
        <f t="shared" si="39"/>
        <v>networkturpe_energy_costS1203262</v>
      </c>
      <c r="C2525" t="s">
        <v>96</v>
      </c>
      <c r="D2525" t="s">
        <v>98</v>
      </c>
      <c r="E2525" t="s">
        <v>110</v>
      </c>
      <c r="F2525">
        <v>23373.751416280051</v>
      </c>
      <c r="G2525">
        <v>2032</v>
      </c>
      <c r="H2525">
        <v>6</v>
      </c>
      <c r="I2525">
        <v>2</v>
      </c>
    </row>
    <row r="2526" spans="1:9" x14ac:dyDescent="0.35">
      <c r="A2526" t="str">
        <f t="shared" si="39"/>
        <v>DAcostS1203262</v>
      </c>
      <c r="C2526" t="s">
        <v>99</v>
      </c>
      <c r="D2526" t="s">
        <v>100</v>
      </c>
      <c r="E2526" t="s">
        <v>110</v>
      </c>
      <c r="F2526">
        <v>75571.296747327273</v>
      </c>
      <c r="G2526">
        <v>2032</v>
      </c>
      <c r="H2526">
        <v>6</v>
      </c>
      <c r="I2526">
        <v>2</v>
      </c>
    </row>
    <row r="2527" spans="1:9" x14ac:dyDescent="0.35">
      <c r="A2527" t="str">
        <f t="shared" si="39"/>
        <v>DAincomeS1203262</v>
      </c>
      <c r="C2527" t="s">
        <v>99</v>
      </c>
      <c r="D2527" t="s">
        <v>101</v>
      </c>
      <c r="E2527" t="s">
        <v>110</v>
      </c>
      <c r="F2527">
        <v>141442.93637806771</v>
      </c>
      <c r="G2527">
        <v>2032</v>
      </c>
      <c r="H2527">
        <v>6</v>
      </c>
      <c r="I2527">
        <v>2</v>
      </c>
    </row>
    <row r="2528" spans="1:9" x14ac:dyDescent="0.35">
      <c r="A2528" t="str">
        <f t="shared" si="39"/>
        <v>DAenergy_boughtS1203262</v>
      </c>
      <c r="C2528" t="s">
        <v>99</v>
      </c>
      <c r="D2528" t="s">
        <v>111</v>
      </c>
      <c r="E2528" t="s">
        <v>110</v>
      </c>
      <c r="F2528">
        <v>1613.211155969547</v>
      </c>
      <c r="G2528">
        <v>2032</v>
      </c>
      <c r="H2528">
        <v>6</v>
      </c>
      <c r="I2528">
        <v>2</v>
      </c>
    </row>
    <row r="2529" spans="1:9" x14ac:dyDescent="0.35">
      <c r="A2529" t="str">
        <f t="shared" si="39"/>
        <v>DAenergy_soldS1203262</v>
      </c>
      <c r="C2529" t="s">
        <v>99</v>
      </c>
      <c r="D2529" t="s">
        <v>112</v>
      </c>
      <c r="E2529" t="s">
        <v>110</v>
      </c>
      <c r="F2529">
        <v>1286.9758644642441</v>
      </c>
      <c r="G2529">
        <v>2032</v>
      </c>
      <c r="H2529">
        <v>6</v>
      </c>
      <c r="I2529">
        <v>2</v>
      </c>
    </row>
    <row r="2530" spans="1:9" x14ac:dyDescent="0.35">
      <c r="A2530" t="str">
        <f t="shared" si="39"/>
        <v>DAhours_boughtS1203262</v>
      </c>
      <c r="C2530" t="s">
        <v>99</v>
      </c>
      <c r="D2530" t="s">
        <v>113</v>
      </c>
      <c r="E2530" t="s">
        <v>110</v>
      </c>
      <c r="F2530">
        <v>1766</v>
      </c>
      <c r="G2530">
        <v>2032</v>
      </c>
      <c r="H2530">
        <v>6</v>
      </c>
      <c r="I2530">
        <v>2</v>
      </c>
    </row>
    <row r="2531" spans="1:9" x14ac:dyDescent="0.35">
      <c r="A2531" t="str">
        <f t="shared" si="39"/>
        <v>DAhours_soldS1203262</v>
      </c>
      <c r="C2531" t="s">
        <v>99</v>
      </c>
      <c r="D2531" t="s">
        <v>114</v>
      </c>
      <c r="E2531" t="s">
        <v>110</v>
      </c>
      <c r="F2531">
        <v>414</v>
      </c>
      <c r="G2531">
        <v>2032</v>
      </c>
      <c r="H2531">
        <v>6</v>
      </c>
      <c r="I2531">
        <v>2</v>
      </c>
    </row>
    <row r="2532" spans="1:9" x14ac:dyDescent="0.35">
      <c r="A2532" t="str">
        <f t="shared" si="39"/>
        <v>DAco2_emissionS1203262</v>
      </c>
      <c r="C2532" t="s">
        <v>99</v>
      </c>
      <c r="D2532" t="s">
        <v>204</v>
      </c>
      <c r="E2532" t="s">
        <v>110</v>
      </c>
      <c r="F2532">
        <v>112924.7809178684</v>
      </c>
      <c r="G2532">
        <v>2032</v>
      </c>
      <c r="H2532">
        <v>6</v>
      </c>
      <c r="I2532">
        <v>2</v>
      </c>
    </row>
    <row r="2533" spans="1:9" x14ac:dyDescent="0.35">
      <c r="A2533" t="str">
        <f t="shared" si="39"/>
        <v>fcrincomeS1203262</v>
      </c>
      <c r="C2533" t="s">
        <v>102</v>
      </c>
      <c r="D2533" t="s">
        <v>101</v>
      </c>
      <c r="E2533" t="s">
        <v>110</v>
      </c>
      <c r="F2533">
        <v>26.231891062187689</v>
      </c>
      <c r="G2533">
        <v>2032</v>
      </c>
      <c r="H2533">
        <v>6</v>
      </c>
      <c r="I2533">
        <v>2</v>
      </c>
    </row>
    <row r="2534" spans="1:9" x14ac:dyDescent="0.35">
      <c r="A2534" t="str">
        <f t="shared" si="39"/>
        <v>fcractivation_hoursS1203262</v>
      </c>
      <c r="B2534" t="s">
        <v>95</v>
      </c>
      <c r="C2534" t="s">
        <v>102</v>
      </c>
      <c r="D2534" t="s">
        <v>115</v>
      </c>
      <c r="E2534" t="s">
        <v>110</v>
      </c>
      <c r="F2534">
        <v>16</v>
      </c>
      <c r="G2534">
        <v>2032</v>
      </c>
      <c r="H2534">
        <v>6</v>
      </c>
      <c r="I2534">
        <v>2</v>
      </c>
    </row>
    <row r="2535" spans="1:9" x14ac:dyDescent="0.35">
      <c r="A2535" t="str">
        <f t="shared" si="39"/>
        <v>afrrincomeS1203262</v>
      </c>
      <c r="B2535" t="s">
        <v>95</v>
      </c>
      <c r="C2535" t="s">
        <v>103</v>
      </c>
      <c r="D2535" t="s">
        <v>101</v>
      </c>
      <c r="E2535" t="s">
        <v>110</v>
      </c>
      <c r="F2535">
        <v>156116.6661877615</v>
      </c>
      <c r="G2535">
        <v>2032</v>
      </c>
      <c r="H2535">
        <v>6</v>
      </c>
      <c r="I2535">
        <v>2</v>
      </c>
    </row>
    <row r="2536" spans="1:9" x14ac:dyDescent="0.35">
      <c r="A2536" t="str">
        <f t="shared" si="39"/>
        <v>afrractivation_hoursS1203262</v>
      </c>
      <c r="C2536" t="s">
        <v>103</v>
      </c>
      <c r="D2536" t="s">
        <v>115</v>
      </c>
      <c r="E2536" t="s">
        <v>110</v>
      </c>
      <c r="F2536">
        <v>8516</v>
      </c>
      <c r="G2536">
        <v>2032</v>
      </c>
      <c r="H2536">
        <v>6</v>
      </c>
      <c r="I2536">
        <v>2</v>
      </c>
    </row>
    <row r="2537" spans="1:9" x14ac:dyDescent="0.35">
      <c r="A2537" t="str">
        <f t="shared" si="39"/>
        <v>networkturpe_power_costS1203362</v>
      </c>
      <c r="C2537" t="s">
        <v>96</v>
      </c>
      <c r="D2537" t="s">
        <v>97</v>
      </c>
      <c r="E2537" t="s">
        <v>110</v>
      </c>
      <c r="F2537">
        <v>14034.38515803783</v>
      </c>
      <c r="G2537">
        <v>2033</v>
      </c>
      <c r="H2537">
        <v>6</v>
      </c>
      <c r="I2537">
        <v>2</v>
      </c>
    </row>
    <row r="2538" spans="1:9" x14ac:dyDescent="0.35">
      <c r="A2538" t="str">
        <f t="shared" si="39"/>
        <v>networkturpe_energy_costS1203362</v>
      </c>
      <c r="C2538" t="s">
        <v>96</v>
      </c>
      <c r="D2538" t="s">
        <v>98</v>
      </c>
      <c r="E2538" t="s">
        <v>110</v>
      </c>
      <c r="F2538">
        <v>22125.808460307249</v>
      </c>
      <c r="G2538">
        <v>2033</v>
      </c>
      <c r="H2538">
        <v>6</v>
      </c>
      <c r="I2538">
        <v>2</v>
      </c>
    </row>
    <row r="2539" spans="1:9" x14ac:dyDescent="0.35">
      <c r="A2539" t="str">
        <f t="shared" si="39"/>
        <v>DAcostS1203362</v>
      </c>
      <c r="C2539" t="s">
        <v>99</v>
      </c>
      <c r="D2539" t="s">
        <v>100</v>
      </c>
      <c r="E2539" t="s">
        <v>110</v>
      </c>
      <c r="F2539">
        <v>69275.763865338871</v>
      </c>
      <c r="G2539">
        <v>2033</v>
      </c>
      <c r="H2539">
        <v>6</v>
      </c>
      <c r="I2539">
        <v>2</v>
      </c>
    </row>
    <row r="2540" spans="1:9" x14ac:dyDescent="0.35">
      <c r="A2540" t="str">
        <f t="shared" si="39"/>
        <v>DAincomeS1203362</v>
      </c>
      <c r="C2540" t="s">
        <v>99</v>
      </c>
      <c r="D2540" t="s">
        <v>101</v>
      </c>
      <c r="E2540" t="s">
        <v>110</v>
      </c>
      <c r="F2540">
        <v>129440.4555245363</v>
      </c>
      <c r="G2540">
        <v>2033</v>
      </c>
      <c r="H2540">
        <v>6</v>
      </c>
      <c r="I2540">
        <v>2</v>
      </c>
    </row>
    <row r="2541" spans="1:9" x14ac:dyDescent="0.35">
      <c r="A2541" t="str">
        <f t="shared" si="39"/>
        <v>DAenergy_boughtS1203362</v>
      </c>
      <c r="C2541" t="s">
        <v>99</v>
      </c>
      <c r="D2541" t="s">
        <v>111</v>
      </c>
      <c r="E2541" t="s">
        <v>110</v>
      </c>
      <c r="F2541">
        <v>1496.1617879016651</v>
      </c>
      <c r="G2541">
        <v>2033</v>
      </c>
      <c r="H2541">
        <v>6</v>
      </c>
      <c r="I2541">
        <v>2</v>
      </c>
    </row>
    <row r="2542" spans="1:9" x14ac:dyDescent="0.35">
      <c r="A2542" t="str">
        <f t="shared" si="39"/>
        <v>DAenergy_soldS1203362</v>
      </c>
      <c r="C2542" t="s">
        <v>99</v>
      </c>
      <c r="D2542" t="s">
        <v>112</v>
      </c>
      <c r="E2542" t="s">
        <v>110</v>
      </c>
      <c r="F2542">
        <v>1192.65955240279</v>
      </c>
      <c r="G2542">
        <v>2033</v>
      </c>
      <c r="H2542">
        <v>6</v>
      </c>
      <c r="I2542">
        <v>2</v>
      </c>
    </row>
    <row r="2543" spans="1:9" x14ac:dyDescent="0.35">
      <c r="A2543" t="str">
        <f t="shared" si="39"/>
        <v>DAhours_boughtS1203362</v>
      </c>
      <c r="C2543" t="s">
        <v>99</v>
      </c>
      <c r="D2543" t="s">
        <v>113</v>
      </c>
      <c r="E2543" t="s">
        <v>110</v>
      </c>
      <c r="F2543">
        <v>1746</v>
      </c>
      <c r="G2543">
        <v>2033</v>
      </c>
      <c r="H2543">
        <v>6</v>
      </c>
      <c r="I2543">
        <v>2</v>
      </c>
    </row>
    <row r="2544" spans="1:9" x14ac:dyDescent="0.35">
      <c r="A2544" t="str">
        <f t="shared" si="39"/>
        <v>DAhours_soldS1203362</v>
      </c>
      <c r="C2544" t="s">
        <v>99</v>
      </c>
      <c r="D2544" t="s">
        <v>114</v>
      </c>
      <c r="E2544" t="s">
        <v>110</v>
      </c>
      <c r="F2544">
        <v>408</v>
      </c>
      <c r="G2544">
        <v>2033</v>
      </c>
      <c r="H2544">
        <v>6</v>
      </c>
      <c r="I2544">
        <v>2</v>
      </c>
    </row>
    <row r="2545" spans="1:9" x14ac:dyDescent="0.35">
      <c r="A2545" t="str">
        <f t="shared" si="39"/>
        <v>DAco2_emissionS1203362</v>
      </c>
      <c r="C2545" t="s">
        <v>99</v>
      </c>
      <c r="D2545" t="s">
        <v>204</v>
      </c>
      <c r="E2545" t="s">
        <v>110</v>
      </c>
      <c r="F2545">
        <v>104731.3251531165</v>
      </c>
      <c r="G2545">
        <v>2033</v>
      </c>
      <c r="H2545">
        <v>6</v>
      </c>
      <c r="I2545">
        <v>2</v>
      </c>
    </row>
    <row r="2546" spans="1:9" x14ac:dyDescent="0.35">
      <c r="A2546" t="str">
        <f t="shared" si="39"/>
        <v>fcrincomeS1203362</v>
      </c>
      <c r="B2546" t="s">
        <v>95</v>
      </c>
      <c r="C2546" t="s">
        <v>102</v>
      </c>
      <c r="D2546" t="s">
        <v>101</v>
      </c>
      <c r="E2546" t="s">
        <v>110</v>
      </c>
      <c r="F2546">
        <v>13.0034465157974</v>
      </c>
      <c r="G2546">
        <v>2033</v>
      </c>
      <c r="H2546">
        <v>6</v>
      </c>
      <c r="I2546">
        <v>2</v>
      </c>
    </row>
    <row r="2547" spans="1:9" x14ac:dyDescent="0.35">
      <c r="A2547" t="str">
        <f t="shared" si="39"/>
        <v>fcractivation_hoursS1203362</v>
      </c>
      <c r="B2547" t="s">
        <v>95</v>
      </c>
      <c r="C2547" t="s">
        <v>102</v>
      </c>
      <c r="D2547" t="s">
        <v>115</v>
      </c>
      <c r="E2547" t="s">
        <v>110</v>
      </c>
      <c r="F2547">
        <v>12</v>
      </c>
      <c r="G2547">
        <v>2033</v>
      </c>
      <c r="H2547">
        <v>6</v>
      </c>
      <c r="I2547">
        <v>2</v>
      </c>
    </row>
    <row r="2548" spans="1:9" x14ac:dyDescent="0.35">
      <c r="A2548" t="str">
        <f t="shared" si="39"/>
        <v>afrrincomeS1203362</v>
      </c>
      <c r="C2548" t="s">
        <v>103</v>
      </c>
      <c r="D2548" t="s">
        <v>101</v>
      </c>
      <c r="E2548" t="s">
        <v>110</v>
      </c>
      <c r="F2548">
        <v>161004.10058719941</v>
      </c>
      <c r="G2548">
        <v>2033</v>
      </c>
      <c r="H2548">
        <v>6</v>
      </c>
      <c r="I2548">
        <v>2</v>
      </c>
    </row>
    <row r="2549" spans="1:9" x14ac:dyDescent="0.35">
      <c r="A2549" t="str">
        <f t="shared" si="39"/>
        <v>afrractivation_hoursS1203362</v>
      </c>
      <c r="C2549" t="s">
        <v>103</v>
      </c>
      <c r="D2549" t="s">
        <v>115</v>
      </c>
      <c r="E2549" t="s">
        <v>110</v>
      </c>
      <c r="F2549">
        <v>8542</v>
      </c>
      <c r="G2549">
        <v>2033</v>
      </c>
      <c r="H2549">
        <v>6</v>
      </c>
      <c r="I2549">
        <v>2</v>
      </c>
    </row>
    <row r="2550" spans="1:9" x14ac:dyDescent="0.35">
      <c r="A2550" t="str">
        <f t="shared" si="39"/>
        <v>networkturpe_power_costS1203462</v>
      </c>
      <c r="C2550" t="s">
        <v>96</v>
      </c>
      <c r="D2550" t="s">
        <v>97</v>
      </c>
      <c r="E2550" t="s">
        <v>110</v>
      </c>
      <c r="F2550">
        <v>14589.77379702629</v>
      </c>
      <c r="G2550">
        <v>2034</v>
      </c>
      <c r="H2550">
        <v>6</v>
      </c>
      <c r="I2550">
        <v>2</v>
      </c>
    </row>
    <row r="2551" spans="1:9" x14ac:dyDescent="0.35">
      <c r="A2551" t="str">
        <f t="shared" si="39"/>
        <v>networkturpe_energy_costS1203462</v>
      </c>
      <c r="C2551" t="s">
        <v>96</v>
      </c>
      <c r="D2551" t="s">
        <v>98</v>
      </c>
      <c r="E2551" t="s">
        <v>110</v>
      </c>
      <c r="F2551">
        <v>23572.986858223969</v>
      </c>
      <c r="G2551">
        <v>2034</v>
      </c>
      <c r="H2551">
        <v>6</v>
      </c>
      <c r="I2551">
        <v>2</v>
      </c>
    </row>
    <row r="2552" spans="1:9" x14ac:dyDescent="0.35">
      <c r="A2552" t="str">
        <f t="shared" si="39"/>
        <v>DAcostS1203462</v>
      </c>
      <c r="C2552" t="s">
        <v>99</v>
      </c>
      <c r="D2552" t="s">
        <v>100</v>
      </c>
      <c r="E2552" t="s">
        <v>110</v>
      </c>
      <c r="F2552">
        <v>71461.112920021202</v>
      </c>
      <c r="G2552">
        <v>2034</v>
      </c>
      <c r="H2552">
        <v>6</v>
      </c>
      <c r="I2552">
        <v>2</v>
      </c>
    </row>
    <row r="2553" spans="1:9" x14ac:dyDescent="0.35">
      <c r="A2553" t="str">
        <f t="shared" si="39"/>
        <v>DAincomeS1203462</v>
      </c>
      <c r="C2553" t="s">
        <v>99</v>
      </c>
      <c r="D2553" t="s">
        <v>101</v>
      </c>
      <c r="E2553" t="s">
        <v>110</v>
      </c>
      <c r="F2553">
        <v>134259.33302617271</v>
      </c>
      <c r="G2553">
        <v>2034</v>
      </c>
      <c r="H2553">
        <v>6</v>
      </c>
      <c r="I2553">
        <v>2</v>
      </c>
    </row>
    <row r="2554" spans="1:9" x14ac:dyDescent="0.35">
      <c r="A2554" t="str">
        <f t="shared" si="39"/>
        <v>DAenergy_boughtS1203462</v>
      </c>
      <c r="C2554" t="s">
        <v>99</v>
      </c>
      <c r="D2554" t="s">
        <v>111</v>
      </c>
      <c r="E2554" t="s">
        <v>110</v>
      </c>
      <c r="F2554">
        <v>1526.9830535828539</v>
      </c>
      <c r="G2554">
        <v>2034</v>
      </c>
      <c r="H2554">
        <v>6</v>
      </c>
      <c r="I2554">
        <v>2</v>
      </c>
    </row>
    <row r="2555" spans="1:9" x14ac:dyDescent="0.35">
      <c r="A2555" t="str">
        <f t="shared" si="39"/>
        <v>DAenergy_soldS1203462</v>
      </c>
      <c r="C2555" t="s">
        <v>99</v>
      </c>
      <c r="D2555" t="s">
        <v>112</v>
      </c>
      <c r="E2555" t="s">
        <v>110</v>
      </c>
      <c r="F2555">
        <v>1218.132617990125</v>
      </c>
      <c r="G2555">
        <v>2034</v>
      </c>
      <c r="H2555">
        <v>6</v>
      </c>
      <c r="I2555">
        <v>2</v>
      </c>
    </row>
    <row r="2556" spans="1:9" x14ac:dyDescent="0.35">
      <c r="A2556" t="str">
        <f t="shared" si="39"/>
        <v>DAhours_boughtS1203462</v>
      </c>
      <c r="C2556" t="s">
        <v>99</v>
      </c>
      <c r="D2556" t="s">
        <v>113</v>
      </c>
      <c r="E2556" t="s">
        <v>110</v>
      </c>
      <c r="F2556">
        <v>1838</v>
      </c>
      <c r="G2556">
        <v>2034</v>
      </c>
      <c r="H2556">
        <v>6</v>
      </c>
      <c r="I2556">
        <v>2</v>
      </c>
    </row>
    <row r="2557" spans="1:9" x14ac:dyDescent="0.35">
      <c r="A2557" t="str">
        <f t="shared" si="39"/>
        <v>DAhours_soldS1203462</v>
      </c>
      <c r="C2557" t="s">
        <v>99</v>
      </c>
      <c r="D2557" t="s">
        <v>114</v>
      </c>
      <c r="E2557" t="s">
        <v>110</v>
      </c>
      <c r="F2557">
        <v>403</v>
      </c>
      <c r="G2557">
        <v>2034</v>
      </c>
      <c r="H2557">
        <v>6</v>
      </c>
      <c r="I2557">
        <v>2</v>
      </c>
    </row>
    <row r="2558" spans="1:9" x14ac:dyDescent="0.35">
      <c r="A2558" t="str">
        <f t="shared" si="39"/>
        <v>DAco2_emissionS1203462</v>
      </c>
      <c r="B2558" t="s">
        <v>95</v>
      </c>
      <c r="C2558" t="s">
        <v>99</v>
      </c>
      <c r="D2558" t="s">
        <v>204</v>
      </c>
      <c r="E2558" t="s">
        <v>110</v>
      </c>
      <c r="F2558">
        <v>106888.81375080071</v>
      </c>
      <c r="G2558">
        <v>2034</v>
      </c>
      <c r="H2558">
        <v>6</v>
      </c>
      <c r="I2558">
        <v>2</v>
      </c>
    </row>
    <row r="2559" spans="1:9" x14ac:dyDescent="0.35">
      <c r="A2559" t="str">
        <f t="shared" si="39"/>
        <v>fcrincomeS1203462</v>
      </c>
      <c r="B2559" t="s">
        <v>95</v>
      </c>
      <c r="C2559" t="s">
        <v>102</v>
      </c>
      <c r="D2559" t="s">
        <v>101</v>
      </c>
      <c r="E2559" t="s">
        <v>110</v>
      </c>
      <c r="F2559">
        <v>2.1205021029293709</v>
      </c>
      <c r="G2559">
        <v>2034</v>
      </c>
      <c r="H2559">
        <v>6</v>
      </c>
      <c r="I2559">
        <v>2</v>
      </c>
    </row>
    <row r="2560" spans="1:9" x14ac:dyDescent="0.35">
      <c r="A2560" t="str">
        <f t="shared" si="39"/>
        <v>fcractivation_hoursS1203462</v>
      </c>
      <c r="C2560" t="s">
        <v>102</v>
      </c>
      <c r="D2560" t="s">
        <v>115</v>
      </c>
      <c r="E2560" t="s">
        <v>110</v>
      </c>
      <c r="F2560">
        <v>4</v>
      </c>
      <c r="G2560">
        <v>2034</v>
      </c>
      <c r="H2560">
        <v>6</v>
      </c>
      <c r="I2560">
        <v>2</v>
      </c>
    </row>
    <row r="2561" spans="1:9" x14ac:dyDescent="0.35">
      <c r="A2561" t="str">
        <f t="shared" si="39"/>
        <v>afrrincomeS1203462</v>
      </c>
      <c r="C2561" t="s">
        <v>103</v>
      </c>
      <c r="D2561" t="s">
        <v>101</v>
      </c>
      <c r="E2561" t="s">
        <v>110</v>
      </c>
      <c r="F2561">
        <v>169608.47115302371</v>
      </c>
      <c r="G2561">
        <v>2034</v>
      </c>
      <c r="H2561">
        <v>6</v>
      </c>
      <c r="I2561">
        <v>2</v>
      </c>
    </row>
    <row r="2562" spans="1:9" x14ac:dyDescent="0.35">
      <c r="A2562" t="str">
        <f t="shared" si="39"/>
        <v>afrractivation_hoursS1203462</v>
      </c>
      <c r="C2562" t="s">
        <v>103</v>
      </c>
      <c r="D2562" t="s">
        <v>115</v>
      </c>
      <c r="E2562" t="s">
        <v>110</v>
      </c>
      <c r="F2562">
        <v>8570</v>
      </c>
      <c r="G2562">
        <v>2034</v>
      </c>
      <c r="H2562">
        <v>6</v>
      </c>
      <c r="I2562">
        <v>2</v>
      </c>
    </row>
    <row r="2563" spans="1:9" x14ac:dyDescent="0.35">
      <c r="A2563" t="str">
        <f t="shared" ref="A2563:A2626" si="40">C2563&amp;D2563&amp;E2563&amp;G2563&amp;H2563&amp;I2563</f>
        <v>networkturpe_power_costS1203562</v>
      </c>
      <c r="C2563" t="s">
        <v>96</v>
      </c>
      <c r="D2563" t="s">
        <v>97</v>
      </c>
      <c r="E2563" t="s">
        <v>110</v>
      </c>
      <c r="F2563">
        <v>14194.88833281509</v>
      </c>
      <c r="G2563">
        <v>2035</v>
      </c>
      <c r="H2563">
        <v>6</v>
      </c>
      <c r="I2563">
        <v>2</v>
      </c>
    </row>
    <row r="2564" spans="1:9" x14ac:dyDescent="0.35">
      <c r="A2564" t="str">
        <f t="shared" si="40"/>
        <v>networkturpe_energy_costS1203562</v>
      </c>
      <c r="C2564" t="s">
        <v>96</v>
      </c>
      <c r="D2564" t="s">
        <v>98</v>
      </c>
      <c r="E2564" t="s">
        <v>110</v>
      </c>
      <c r="F2564">
        <v>22719.26263777936</v>
      </c>
      <c r="G2564">
        <v>2035</v>
      </c>
      <c r="H2564">
        <v>6</v>
      </c>
      <c r="I2564">
        <v>2</v>
      </c>
    </row>
    <row r="2565" spans="1:9" x14ac:dyDescent="0.35">
      <c r="A2565" t="str">
        <f t="shared" si="40"/>
        <v>DAcostS1203562</v>
      </c>
      <c r="C2565" t="s">
        <v>99</v>
      </c>
      <c r="D2565" t="s">
        <v>100</v>
      </c>
      <c r="E2565" t="s">
        <v>110</v>
      </c>
      <c r="F2565">
        <v>65372.256869718047</v>
      </c>
      <c r="G2565">
        <v>2035</v>
      </c>
      <c r="H2565">
        <v>6</v>
      </c>
      <c r="I2565">
        <v>2</v>
      </c>
    </row>
    <row r="2566" spans="1:9" x14ac:dyDescent="0.35">
      <c r="A2566" t="str">
        <f t="shared" si="40"/>
        <v>DAincomeS1203562</v>
      </c>
      <c r="C2566" t="s">
        <v>99</v>
      </c>
      <c r="D2566" t="s">
        <v>101</v>
      </c>
      <c r="E2566" t="s">
        <v>110</v>
      </c>
      <c r="F2566">
        <v>125268.1719580318</v>
      </c>
      <c r="G2566">
        <v>2035</v>
      </c>
      <c r="H2566">
        <v>6</v>
      </c>
      <c r="I2566">
        <v>2</v>
      </c>
    </row>
    <row r="2567" spans="1:9" x14ac:dyDescent="0.35">
      <c r="A2567" t="str">
        <f t="shared" si="40"/>
        <v>DAenergy_boughtS1203562</v>
      </c>
      <c r="C2567" t="s">
        <v>99</v>
      </c>
      <c r="D2567" t="s">
        <v>111</v>
      </c>
      <c r="E2567" t="s">
        <v>110</v>
      </c>
      <c r="F2567">
        <v>1465.170662085098</v>
      </c>
      <c r="G2567">
        <v>2035</v>
      </c>
      <c r="H2567">
        <v>6</v>
      </c>
      <c r="I2567">
        <v>2</v>
      </c>
    </row>
    <row r="2568" spans="1:9" x14ac:dyDescent="0.35">
      <c r="A2568" t="str">
        <f t="shared" si="40"/>
        <v>DAenergy_soldS1203562</v>
      </c>
      <c r="C2568" t="s">
        <v>99</v>
      </c>
      <c r="D2568" t="s">
        <v>112</v>
      </c>
      <c r="E2568" t="s">
        <v>110</v>
      </c>
      <c r="F2568">
        <v>1168.5634258024229</v>
      </c>
      <c r="G2568">
        <v>2035</v>
      </c>
      <c r="H2568">
        <v>6</v>
      </c>
      <c r="I2568">
        <v>2</v>
      </c>
    </row>
    <row r="2569" spans="1:9" x14ac:dyDescent="0.35">
      <c r="A2569" t="str">
        <f t="shared" si="40"/>
        <v>DAhours_boughtS1203562</v>
      </c>
      <c r="C2569" t="s">
        <v>99</v>
      </c>
      <c r="D2569" t="s">
        <v>113</v>
      </c>
      <c r="E2569" t="s">
        <v>110</v>
      </c>
      <c r="F2569">
        <v>1842</v>
      </c>
      <c r="G2569">
        <v>2035</v>
      </c>
      <c r="H2569">
        <v>6</v>
      </c>
      <c r="I2569">
        <v>2</v>
      </c>
    </row>
    <row r="2570" spans="1:9" x14ac:dyDescent="0.35">
      <c r="A2570" t="str">
        <f t="shared" si="40"/>
        <v>DAhours_soldS1203562</v>
      </c>
      <c r="B2570" t="s">
        <v>95</v>
      </c>
      <c r="C2570" t="s">
        <v>99</v>
      </c>
      <c r="D2570" t="s">
        <v>114</v>
      </c>
      <c r="E2570" t="s">
        <v>110</v>
      </c>
      <c r="F2570">
        <v>406</v>
      </c>
      <c r="G2570">
        <v>2035</v>
      </c>
      <c r="H2570">
        <v>6</v>
      </c>
      <c r="I2570">
        <v>2</v>
      </c>
    </row>
    <row r="2571" spans="1:9" x14ac:dyDescent="0.35">
      <c r="A2571" t="str">
        <f t="shared" si="40"/>
        <v>DAco2_emissionS1203562</v>
      </c>
      <c r="B2571" t="s">
        <v>95</v>
      </c>
      <c r="C2571" t="s">
        <v>99</v>
      </c>
      <c r="D2571" t="s">
        <v>204</v>
      </c>
      <c r="E2571" t="s">
        <v>110</v>
      </c>
      <c r="F2571">
        <v>102561.9463459571</v>
      </c>
      <c r="G2571">
        <v>2035</v>
      </c>
      <c r="H2571">
        <v>6</v>
      </c>
      <c r="I2571">
        <v>2</v>
      </c>
    </row>
    <row r="2572" spans="1:9" x14ac:dyDescent="0.35">
      <c r="A2572" t="str">
        <f t="shared" si="40"/>
        <v>fcrincomeS1203562</v>
      </c>
      <c r="C2572" t="s">
        <v>102</v>
      </c>
      <c r="D2572" t="s">
        <v>101</v>
      </c>
      <c r="E2572" t="s">
        <v>110</v>
      </c>
      <c r="F2572">
        <v>0</v>
      </c>
      <c r="G2572">
        <v>2035</v>
      </c>
      <c r="H2572">
        <v>6</v>
      </c>
      <c r="I2572">
        <v>2</v>
      </c>
    </row>
    <row r="2573" spans="1:9" x14ac:dyDescent="0.35">
      <c r="A2573" t="str">
        <f t="shared" si="40"/>
        <v>fcractivation_hoursS1203562</v>
      </c>
      <c r="C2573" t="s">
        <v>102</v>
      </c>
      <c r="D2573" t="s">
        <v>115</v>
      </c>
      <c r="E2573" t="s">
        <v>110</v>
      </c>
      <c r="F2573">
        <v>0</v>
      </c>
      <c r="G2573">
        <v>2035</v>
      </c>
      <c r="H2573">
        <v>6</v>
      </c>
      <c r="I2573">
        <v>2</v>
      </c>
    </row>
    <row r="2574" spans="1:9" x14ac:dyDescent="0.35">
      <c r="A2574" t="str">
        <f t="shared" si="40"/>
        <v>afrrincomeS1203562</v>
      </c>
      <c r="C2574" t="s">
        <v>103</v>
      </c>
      <c r="D2574" t="s">
        <v>101</v>
      </c>
      <c r="E2574" t="s">
        <v>110</v>
      </c>
      <c r="F2574">
        <v>168576.64543104661</v>
      </c>
      <c r="G2574">
        <v>2035</v>
      </c>
      <c r="H2574">
        <v>6</v>
      </c>
      <c r="I2574">
        <v>2</v>
      </c>
    </row>
    <row r="2575" spans="1:9" x14ac:dyDescent="0.35">
      <c r="A2575" t="str">
        <f t="shared" si="40"/>
        <v>afrractivation_hoursS1203562</v>
      </c>
      <c r="C2575" t="s">
        <v>103</v>
      </c>
      <c r="D2575" t="s">
        <v>115</v>
      </c>
      <c r="E2575" t="s">
        <v>110</v>
      </c>
      <c r="F2575">
        <v>8572</v>
      </c>
      <c r="G2575">
        <v>2035</v>
      </c>
      <c r="H2575">
        <v>6</v>
      </c>
      <c r="I2575">
        <v>2</v>
      </c>
    </row>
    <row r="2576" spans="1:9" x14ac:dyDescent="0.35">
      <c r="A2576" t="str">
        <f t="shared" si="40"/>
        <v>networkturpe_power_costS1203662</v>
      </c>
      <c r="C2576" t="s">
        <v>96</v>
      </c>
      <c r="D2576" t="s">
        <v>97</v>
      </c>
      <c r="E2576" t="s">
        <v>110</v>
      </c>
      <c r="F2576">
        <v>13760.843966321539</v>
      </c>
      <c r="G2576">
        <v>2036</v>
      </c>
      <c r="H2576">
        <v>6</v>
      </c>
      <c r="I2576">
        <v>2</v>
      </c>
    </row>
    <row r="2577" spans="1:9" x14ac:dyDescent="0.35">
      <c r="A2577" t="str">
        <f t="shared" si="40"/>
        <v>networkturpe_energy_costS1203662</v>
      </c>
      <c r="C2577" t="s">
        <v>96</v>
      </c>
      <c r="D2577" t="s">
        <v>98</v>
      </c>
      <c r="E2577" t="s">
        <v>110</v>
      </c>
      <c r="F2577">
        <v>21913.924190984311</v>
      </c>
      <c r="G2577">
        <v>2036</v>
      </c>
      <c r="H2577">
        <v>6</v>
      </c>
      <c r="I2577">
        <v>2</v>
      </c>
    </row>
    <row r="2578" spans="1:9" x14ac:dyDescent="0.35">
      <c r="A2578" t="str">
        <f t="shared" si="40"/>
        <v>DAcostS1203662</v>
      </c>
      <c r="C2578" t="s">
        <v>99</v>
      </c>
      <c r="D2578" t="s">
        <v>100</v>
      </c>
      <c r="E2578" t="s">
        <v>110</v>
      </c>
      <c r="F2578">
        <v>64455.291385265467</v>
      </c>
      <c r="G2578">
        <v>2036</v>
      </c>
      <c r="H2578">
        <v>6</v>
      </c>
      <c r="I2578">
        <v>2</v>
      </c>
    </row>
    <row r="2579" spans="1:9" x14ac:dyDescent="0.35">
      <c r="A2579" t="str">
        <f t="shared" si="40"/>
        <v>DAincomeS1203662</v>
      </c>
      <c r="C2579" t="s">
        <v>99</v>
      </c>
      <c r="D2579" t="s">
        <v>101</v>
      </c>
      <c r="E2579" t="s">
        <v>110</v>
      </c>
      <c r="F2579">
        <v>123963.67139322549</v>
      </c>
      <c r="G2579">
        <v>2036</v>
      </c>
      <c r="H2579">
        <v>6</v>
      </c>
      <c r="I2579">
        <v>2</v>
      </c>
    </row>
    <row r="2580" spans="1:9" x14ac:dyDescent="0.35">
      <c r="A2580" t="str">
        <f t="shared" si="40"/>
        <v>DAenergy_boughtS1203662</v>
      </c>
      <c r="C2580" t="s">
        <v>99</v>
      </c>
      <c r="D2580" t="s">
        <v>111</v>
      </c>
      <c r="E2580" t="s">
        <v>110</v>
      </c>
      <c r="F2580">
        <v>1415.1247234541011</v>
      </c>
      <c r="G2580">
        <v>2036</v>
      </c>
      <c r="H2580">
        <v>6</v>
      </c>
      <c r="I2580">
        <v>2</v>
      </c>
    </row>
    <row r="2581" spans="1:9" x14ac:dyDescent="0.35">
      <c r="A2581" t="str">
        <f t="shared" si="40"/>
        <v>DAenergy_soldS1203662</v>
      </c>
      <c r="C2581" t="s">
        <v>99</v>
      </c>
      <c r="D2581" t="s">
        <v>112</v>
      </c>
      <c r="E2581" t="s">
        <v>110</v>
      </c>
      <c r="F2581">
        <v>1128.686208850603</v>
      </c>
      <c r="G2581">
        <v>2036</v>
      </c>
      <c r="H2581">
        <v>6</v>
      </c>
      <c r="I2581">
        <v>2</v>
      </c>
    </row>
    <row r="2582" spans="1:9" x14ac:dyDescent="0.35">
      <c r="A2582" t="str">
        <f t="shared" si="40"/>
        <v>DAhours_boughtS1203662</v>
      </c>
      <c r="B2582" t="s">
        <v>95</v>
      </c>
      <c r="C2582" t="s">
        <v>99</v>
      </c>
      <c r="D2582" t="s">
        <v>113</v>
      </c>
      <c r="E2582" t="s">
        <v>110</v>
      </c>
      <c r="F2582">
        <v>1793</v>
      </c>
      <c r="G2582">
        <v>2036</v>
      </c>
      <c r="H2582">
        <v>6</v>
      </c>
      <c r="I2582">
        <v>2</v>
      </c>
    </row>
    <row r="2583" spans="1:9" x14ac:dyDescent="0.35">
      <c r="A2583" t="str">
        <f t="shared" si="40"/>
        <v>DAhours_soldS1203662</v>
      </c>
      <c r="B2583" t="s">
        <v>95</v>
      </c>
      <c r="C2583" t="s">
        <v>99</v>
      </c>
      <c r="D2583" t="s">
        <v>114</v>
      </c>
      <c r="E2583" t="s">
        <v>110</v>
      </c>
      <c r="F2583">
        <v>425</v>
      </c>
      <c r="G2583">
        <v>2036</v>
      </c>
      <c r="H2583">
        <v>6</v>
      </c>
      <c r="I2583">
        <v>2</v>
      </c>
    </row>
    <row r="2584" spans="1:9" x14ac:dyDescent="0.35">
      <c r="A2584" t="str">
        <f t="shared" si="40"/>
        <v>DAco2_emissionS1203662</v>
      </c>
      <c r="C2584" t="s">
        <v>99</v>
      </c>
      <c r="D2584" t="s">
        <v>204</v>
      </c>
      <c r="E2584" t="s">
        <v>110</v>
      </c>
      <c r="F2584">
        <v>99058.730641786649</v>
      </c>
      <c r="G2584">
        <v>2036</v>
      </c>
      <c r="H2584">
        <v>6</v>
      </c>
      <c r="I2584">
        <v>2</v>
      </c>
    </row>
    <row r="2585" spans="1:9" x14ac:dyDescent="0.35">
      <c r="A2585" t="str">
        <f t="shared" si="40"/>
        <v>fcrincomeS1203662</v>
      </c>
      <c r="C2585" t="s">
        <v>102</v>
      </c>
      <c r="D2585" t="s">
        <v>101</v>
      </c>
      <c r="E2585" t="s">
        <v>110</v>
      </c>
      <c r="F2585">
        <v>4.1158376703674389</v>
      </c>
      <c r="G2585">
        <v>2036</v>
      </c>
      <c r="H2585">
        <v>6</v>
      </c>
      <c r="I2585">
        <v>2</v>
      </c>
    </row>
    <row r="2586" spans="1:9" x14ac:dyDescent="0.35">
      <c r="A2586" t="str">
        <f t="shared" si="40"/>
        <v>fcractivation_hoursS1203662</v>
      </c>
      <c r="C2586" t="s">
        <v>102</v>
      </c>
      <c r="D2586" t="s">
        <v>115</v>
      </c>
      <c r="E2586" t="s">
        <v>110</v>
      </c>
      <c r="F2586">
        <v>4</v>
      </c>
      <c r="G2586">
        <v>2036</v>
      </c>
      <c r="H2586">
        <v>6</v>
      </c>
      <c r="I2586">
        <v>2</v>
      </c>
    </row>
    <row r="2587" spans="1:9" x14ac:dyDescent="0.35">
      <c r="A2587" t="str">
        <f t="shared" si="40"/>
        <v>afrrincomeS1203662</v>
      </c>
      <c r="C2587" t="s">
        <v>103</v>
      </c>
      <c r="D2587" t="s">
        <v>101</v>
      </c>
      <c r="E2587" t="s">
        <v>110</v>
      </c>
      <c r="F2587">
        <v>160038.41055559789</v>
      </c>
      <c r="G2587">
        <v>2036</v>
      </c>
      <c r="H2587">
        <v>6</v>
      </c>
      <c r="I2587">
        <v>2</v>
      </c>
    </row>
    <row r="2588" spans="1:9" x14ac:dyDescent="0.35">
      <c r="A2588" t="str">
        <f t="shared" si="40"/>
        <v>afrractivation_hoursS1203662</v>
      </c>
      <c r="C2588" t="s">
        <v>103</v>
      </c>
      <c r="D2588" t="s">
        <v>115</v>
      </c>
      <c r="E2588" t="s">
        <v>110</v>
      </c>
      <c r="F2588">
        <v>8530</v>
      </c>
      <c r="G2588">
        <v>2036</v>
      </c>
      <c r="H2588">
        <v>6</v>
      </c>
      <c r="I2588">
        <v>2</v>
      </c>
    </row>
    <row r="2589" spans="1:9" x14ac:dyDescent="0.35">
      <c r="A2589" t="str">
        <f t="shared" si="40"/>
        <v>networkturpe_power_costS1203762</v>
      </c>
      <c r="C2589" t="s">
        <v>96</v>
      </c>
      <c r="D2589" t="s">
        <v>97</v>
      </c>
      <c r="E2589" t="s">
        <v>110</v>
      </c>
      <c r="F2589">
        <v>12736.977490337569</v>
      </c>
      <c r="G2589">
        <v>2037</v>
      </c>
      <c r="H2589">
        <v>6</v>
      </c>
      <c r="I2589">
        <v>2</v>
      </c>
    </row>
    <row r="2590" spans="1:9" x14ac:dyDescent="0.35">
      <c r="A2590" t="str">
        <f t="shared" si="40"/>
        <v>networkturpe_energy_costS1203762</v>
      </c>
      <c r="C2590" t="s">
        <v>96</v>
      </c>
      <c r="D2590" t="s">
        <v>98</v>
      </c>
      <c r="E2590" t="s">
        <v>110</v>
      </c>
      <c r="F2590">
        <v>19457.788684546111</v>
      </c>
      <c r="G2590">
        <v>2037</v>
      </c>
      <c r="H2590">
        <v>6</v>
      </c>
      <c r="I2590">
        <v>2</v>
      </c>
    </row>
    <row r="2591" spans="1:9" x14ac:dyDescent="0.35">
      <c r="A2591" t="str">
        <f t="shared" si="40"/>
        <v>DAcostS1203762</v>
      </c>
      <c r="C2591" t="s">
        <v>99</v>
      </c>
      <c r="D2591" t="s">
        <v>100</v>
      </c>
      <c r="E2591" t="s">
        <v>110</v>
      </c>
      <c r="F2591">
        <v>54555.993541476288</v>
      </c>
      <c r="G2591">
        <v>2037</v>
      </c>
      <c r="H2591">
        <v>6</v>
      </c>
      <c r="I2591">
        <v>2</v>
      </c>
    </row>
    <row r="2592" spans="1:9" x14ac:dyDescent="0.35">
      <c r="A2592" t="str">
        <f t="shared" si="40"/>
        <v>DAincomeS1203762</v>
      </c>
      <c r="C2592" t="s">
        <v>99</v>
      </c>
      <c r="D2592" t="s">
        <v>101</v>
      </c>
      <c r="E2592" t="s">
        <v>110</v>
      </c>
      <c r="F2592">
        <v>107062.2747964444</v>
      </c>
      <c r="G2592">
        <v>2037</v>
      </c>
      <c r="H2592">
        <v>6</v>
      </c>
      <c r="I2592">
        <v>2</v>
      </c>
    </row>
    <row r="2593" spans="1:9" x14ac:dyDescent="0.35">
      <c r="A2593" t="str">
        <f t="shared" si="40"/>
        <v>DAenergy_boughtS1203762</v>
      </c>
      <c r="C2593" t="s">
        <v>99</v>
      </c>
      <c r="D2593" t="s">
        <v>111</v>
      </c>
      <c r="E2593" t="s">
        <v>110</v>
      </c>
      <c r="F2593">
        <v>1250.20529756208</v>
      </c>
      <c r="G2593">
        <v>2037</v>
      </c>
      <c r="H2593">
        <v>6</v>
      </c>
      <c r="I2593">
        <v>2</v>
      </c>
    </row>
    <row r="2594" spans="1:9" x14ac:dyDescent="0.35">
      <c r="A2594" t="str">
        <f t="shared" si="40"/>
        <v>DAenergy_soldS1203762</v>
      </c>
      <c r="B2594" t="s">
        <v>95</v>
      </c>
      <c r="C2594" t="s">
        <v>99</v>
      </c>
      <c r="D2594" t="s">
        <v>112</v>
      </c>
      <c r="E2594" t="s">
        <v>110</v>
      </c>
      <c r="F2594">
        <v>995.30999505218006</v>
      </c>
      <c r="G2594">
        <v>2037</v>
      </c>
      <c r="H2594">
        <v>6</v>
      </c>
      <c r="I2594">
        <v>2</v>
      </c>
    </row>
    <row r="2595" spans="1:9" x14ac:dyDescent="0.35">
      <c r="A2595" t="str">
        <f t="shared" si="40"/>
        <v>DAhours_boughtS1203762</v>
      </c>
      <c r="B2595" t="s">
        <v>95</v>
      </c>
      <c r="C2595" t="s">
        <v>99</v>
      </c>
      <c r="D2595" t="s">
        <v>113</v>
      </c>
      <c r="E2595" t="s">
        <v>110</v>
      </c>
      <c r="F2595">
        <v>1831</v>
      </c>
      <c r="G2595">
        <v>2037</v>
      </c>
      <c r="H2595">
        <v>6</v>
      </c>
      <c r="I2595">
        <v>2</v>
      </c>
    </row>
    <row r="2596" spans="1:9" x14ac:dyDescent="0.35">
      <c r="A2596" t="str">
        <f t="shared" si="40"/>
        <v>DAhours_soldS1203762</v>
      </c>
      <c r="C2596" t="s">
        <v>99</v>
      </c>
      <c r="D2596" t="s">
        <v>114</v>
      </c>
      <c r="E2596" t="s">
        <v>110</v>
      </c>
      <c r="F2596">
        <v>398</v>
      </c>
      <c r="G2596">
        <v>2037</v>
      </c>
      <c r="H2596">
        <v>6</v>
      </c>
      <c r="I2596">
        <v>2</v>
      </c>
    </row>
    <row r="2597" spans="1:9" x14ac:dyDescent="0.35">
      <c r="A2597" t="str">
        <f t="shared" si="40"/>
        <v>DAco2_emissionS1203762</v>
      </c>
      <c r="C2597" t="s">
        <v>99</v>
      </c>
      <c r="D2597" t="s">
        <v>204</v>
      </c>
      <c r="E2597" t="s">
        <v>110</v>
      </c>
      <c r="F2597">
        <v>87514.370829344916</v>
      </c>
      <c r="G2597">
        <v>2037</v>
      </c>
      <c r="H2597">
        <v>6</v>
      </c>
      <c r="I2597">
        <v>2</v>
      </c>
    </row>
    <row r="2598" spans="1:9" x14ac:dyDescent="0.35">
      <c r="A2598" t="str">
        <f t="shared" si="40"/>
        <v>fcrincomeS1203762</v>
      </c>
      <c r="C2598" t="s">
        <v>102</v>
      </c>
      <c r="D2598" t="s">
        <v>101</v>
      </c>
      <c r="E2598" t="s">
        <v>110</v>
      </c>
      <c r="F2598">
        <v>4.1004030539513288</v>
      </c>
      <c r="G2598">
        <v>2037</v>
      </c>
      <c r="H2598">
        <v>6</v>
      </c>
      <c r="I2598">
        <v>2</v>
      </c>
    </row>
    <row r="2599" spans="1:9" x14ac:dyDescent="0.35">
      <c r="A2599" t="str">
        <f t="shared" si="40"/>
        <v>fcractivation_hoursS1203762</v>
      </c>
      <c r="C2599" t="s">
        <v>102</v>
      </c>
      <c r="D2599" t="s">
        <v>115</v>
      </c>
      <c r="E2599" t="s">
        <v>110</v>
      </c>
      <c r="F2599">
        <v>8</v>
      </c>
      <c r="G2599">
        <v>2037</v>
      </c>
      <c r="H2599">
        <v>6</v>
      </c>
      <c r="I2599">
        <v>2</v>
      </c>
    </row>
    <row r="2600" spans="1:9" x14ac:dyDescent="0.35">
      <c r="A2600" t="str">
        <f t="shared" si="40"/>
        <v>afrrincomeS1203762</v>
      </c>
      <c r="C2600" t="s">
        <v>103</v>
      </c>
      <c r="D2600" t="s">
        <v>101</v>
      </c>
      <c r="E2600" t="s">
        <v>110</v>
      </c>
      <c r="F2600">
        <v>166165.58285337011</v>
      </c>
      <c r="G2600">
        <v>2037</v>
      </c>
      <c r="H2600">
        <v>6</v>
      </c>
      <c r="I2600">
        <v>2</v>
      </c>
    </row>
    <row r="2601" spans="1:9" x14ac:dyDescent="0.35">
      <c r="A2601" t="str">
        <f t="shared" si="40"/>
        <v>afrractivation_hoursS1203762</v>
      </c>
      <c r="C2601" t="s">
        <v>103</v>
      </c>
      <c r="D2601" t="s">
        <v>115</v>
      </c>
      <c r="E2601" t="s">
        <v>110</v>
      </c>
      <c r="F2601">
        <v>8563</v>
      </c>
      <c r="G2601">
        <v>2037</v>
      </c>
      <c r="H2601">
        <v>6</v>
      </c>
      <c r="I2601">
        <v>2</v>
      </c>
    </row>
    <row r="2602" spans="1:9" x14ac:dyDescent="0.35">
      <c r="A2602" t="str">
        <f t="shared" si="40"/>
        <v>networkturpe_power_costS1203862</v>
      </c>
      <c r="C2602" t="s">
        <v>96</v>
      </c>
      <c r="D2602" t="s">
        <v>97</v>
      </c>
      <c r="E2602" t="s">
        <v>110</v>
      </c>
      <c r="F2602">
        <v>12803.321547755801</v>
      </c>
      <c r="G2602">
        <v>2038</v>
      </c>
      <c r="H2602">
        <v>6</v>
      </c>
      <c r="I2602">
        <v>2</v>
      </c>
    </row>
    <row r="2603" spans="1:9" x14ac:dyDescent="0.35">
      <c r="A2603" t="str">
        <f t="shared" si="40"/>
        <v>networkturpe_energy_costS1203862</v>
      </c>
      <c r="C2603" t="s">
        <v>96</v>
      </c>
      <c r="D2603" t="s">
        <v>98</v>
      </c>
      <c r="E2603" t="s">
        <v>110</v>
      </c>
      <c r="F2603">
        <v>20570.810313781571</v>
      </c>
      <c r="G2603">
        <v>2038</v>
      </c>
      <c r="H2603">
        <v>6</v>
      </c>
      <c r="I2603">
        <v>2</v>
      </c>
    </row>
    <row r="2604" spans="1:9" x14ac:dyDescent="0.35">
      <c r="A2604" t="str">
        <f t="shared" si="40"/>
        <v>DAcostS1203862</v>
      </c>
      <c r="C2604" t="s">
        <v>99</v>
      </c>
      <c r="D2604" t="s">
        <v>100</v>
      </c>
      <c r="E2604" t="s">
        <v>110</v>
      </c>
      <c r="F2604">
        <v>53908.120668263917</v>
      </c>
      <c r="G2604">
        <v>2038</v>
      </c>
      <c r="H2604">
        <v>6</v>
      </c>
      <c r="I2604">
        <v>2</v>
      </c>
    </row>
    <row r="2605" spans="1:9" x14ac:dyDescent="0.35">
      <c r="A2605" t="str">
        <f t="shared" si="40"/>
        <v>DAincomeS1203862</v>
      </c>
      <c r="C2605" t="s">
        <v>99</v>
      </c>
      <c r="D2605" t="s">
        <v>101</v>
      </c>
      <c r="E2605" t="s">
        <v>110</v>
      </c>
      <c r="F2605">
        <v>111388.0857539296</v>
      </c>
      <c r="G2605">
        <v>2038</v>
      </c>
      <c r="H2605">
        <v>6</v>
      </c>
      <c r="I2605">
        <v>2</v>
      </c>
    </row>
    <row r="2606" spans="1:9" x14ac:dyDescent="0.35">
      <c r="A2606" t="str">
        <f t="shared" si="40"/>
        <v>DAenergy_boughtS1203862</v>
      </c>
      <c r="B2606" t="s">
        <v>95</v>
      </c>
      <c r="C2606" t="s">
        <v>99</v>
      </c>
      <c r="D2606" t="s">
        <v>111</v>
      </c>
      <c r="E2606" t="s">
        <v>110</v>
      </c>
      <c r="F2606">
        <v>1296.171266085167</v>
      </c>
      <c r="G2606">
        <v>2038</v>
      </c>
      <c r="H2606">
        <v>6</v>
      </c>
      <c r="I2606">
        <v>2</v>
      </c>
    </row>
    <row r="2607" spans="1:9" x14ac:dyDescent="0.35">
      <c r="A2607" t="str">
        <f t="shared" si="40"/>
        <v>DAenergy_soldS1203862</v>
      </c>
      <c r="B2607" t="s">
        <v>95</v>
      </c>
      <c r="C2607" t="s">
        <v>99</v>
      </c>
      <c r="D2607" t="s">
        <v>112</v>
      </c>
      <c r="E2607" t="s">
        <v>110</v>
      </c>
      <c r="F2607">
        <v>1032.9777663533409</v>
      </c>
      <c r="G2607">
        <v>2038</v>
      </c>
      <c r="H2607">
        <v>6</v>
      </c>
      <c r="I2607">
        <v>2</v>
      </c>
    </row>
    <row r="2608" spans="1:9" x14ac:dyDescent="0.35">
      <c r="A2608" t="str">
        <f t="shared" si="40"/>
        <v>DAhours_boughtS1203862</v>
      </c>
      <c r="C2608" t="s">
        <v>99</v>
      </c>
      <c r="D2608" t="s">
        <v>113</v>
      </c>
      <c r="E2608" t="s">
        <v>110</v>
      </c>
      <c r="F2608">
        <v>1943</v>
      </c>
      <c r="G2608">
        <v>2038</v>
      </c>
      <c r="H2608">
        <v>6</v>
      </c>
      <c r="I2608">
        <v>2</v>
      </c>
    </row>
    <row r="2609" spans="1:9" x14ac:dyDescent="0.35">
      <c r="A2609" t="str">
        <f t="shared" si="40"/>
        <v>DAhours_soldS1203862</v>
      </c>
      <c r="C2609" t="s">
        <v>99</v>
      </c>
      <c r="D2609" t="s">
        <v>114</v>
      </c>
      <c r="E2609" t="s">
        <v>110</v>
      </c>
      <c r="F2609">
        <v>395</v>
      </c>
      <c r="G2609">
        <v>2038</v>
      </c>
      <c r="H2609">
        <v>6</v>
      </c>
      <c r="I2609">
        <v>2</v>
      </c>
    </row>
    <row r="2610" spans="1:9" x14ac:dyDescent="0.35">
      <c r="A2610" t="str">
        <f t="shared" si="40"/>
        <v>DAco2_emissionS1203862</v>
      </c>
      <c r="C2610" t="s">
        <v>99</v>
      </c>
      <c r="D2610" t="s">
        <v>204</v>
      </c>
      <c r="E2610" t="s">
        <v>110</v>
      </c>
      <c r="F2610">
        <v>90731.988625961938</v>
      </c>
      <c r="G2610">
        <v>2038</v>
      </c>
      <c r="H2610">
        <v>6</v>
      </c>
      <c r="I2610">
        <v>2</v>
      </c>
    </row>
    <row r="2611" spans="1:9" x14ac:dyDescent="0.35">
      <c r="A2611" t="str">
        <f t="shared" si="40"/>
        <v>fcrincomeS1203862</v>
      </c>
      <c r="C2611" t="s">
        <v>102</v>
      </c>
      <c r="D2611" t="s">
        <v>101</v>
      </c>
      <c r="E2611" t="s">
        <v>110</v>
      </c>
      <c r="F2611">
        <v>0</v>
      </c>
      <c r="G2611">
        <v>2038</v>
      </c>
      <c r="H2611">
        <v>6</v>
      </c>
      <c r="I2611">
        <v>2</v>
      </c>
    </row>
    <row r="2612" spans="1:9" x14ac:dyDescent="0.35">
      <c r="A2612" t="str">
        <f t="shared" si="40"/>
        <v>fcractivation_hoursS1203862</v>
      </c>
      <c r="C2612" t="s">
        <v>102</v>
      </c>
      <c r="D2612" t="s">
        <v>115</v>
      </c>
      <c r="E2612" t="s">
        <v>110</v>
      </c>
      <c r="F2612">
        <v>0</v>
      </c>
      <c r="G2612">
        <v>2038</v>
      </c>
      <c r="H2612">
        <v>6</v>
      </c>
      <c r="I2612">
        <v>2</v>
      </c>
    </row>
    <row r="2613" spans="1:9" x14ac:dyDescent="0.35">
      <c r="A2613" t="str">
        <f t="shared" si="40"/>
        <v>afrrincomeS1203862</v>
      </c>
      <c r="C2613" t="s">
        <v>103</v>
      </c>
      <c r="D2613" t="s">
        <v>101</v>
      </c>
      <c r="E2613" t="s">
        <v>110</v>
      </c>
      <c r="F2613">
        <v>166377.1512759265</v>
      </c>
      <c r="G2613">
        <v>2038</v>
      </c>
      <c r="H2613">
        <v>6</v>
      </c>
      <c r="I2613">
        <v>2</v>
      </c>
    </row>
    <row r="2614" spans="1:9" x14ac:dyDescent="0.35">
      <c r="A2614" t="str">
        <f t="shared" si="40"/>
        <v>afrractivation_hoursS1203862</v>
      </c>
      <c r="C2614" t="s">
        <v>103</v>
      </c>
      <c r="D2614" t="s">
        <v>115</v>
      </c>
      <c r="E2614" t="s">
        <v>110</v>
      </c>
      <c r="F2614">
        <v>8523</v>
      </c>
      <c r="G2614">
        <v>2038</v>
      </c>
      <c r="H2614">
        <v>6</v>
      </c>
      <c r="I2614">
        <v>2</v>
      </c>
    </row>
    <row r="2615" spans="1:9" x14ac:dyDescent="0.35">
      <c r="A2615" t="str">
        <f t="shared" si="40"/>
        <v>networkturpe_power_costS1203962</v>
      </c>
      <c r="C2615" t="s">
        <v>96</v>
      </c>
      <c r="D2615" t="s">
        <v>97</v>
      </c>
      <c r="E2615" t="s">
        <v>110</v>
      </c>
      <c r="F2615">
        <v>11953.20473732613</v>
      </c>
      <c r="G2615">
        <v>2039</v>
      </c>
      <c r="H2615">
        <v>6</v>
      </c>
      <c r="I2615">
        <v>2</v>
      </c>
    </row>
    <row r="2616" spans="1:9" x14ac:dyDescent="0.35">
      <c r="A2616" t="str">
        <f t="shared" si="40"/>
        <v>networkturpe_energy_costS1203962</v>
      </c>
      <c r="C2616" t="s">
        <v>96</v>
      </c>
      <c r="D2616" t="s">
        <v>98</v>
      </c>
      <c r="E2616" t="s">
        <v>110</v>
      </c>
      <c r="F2616">
        <v>16880.10897732334</v>
      </c>
      <c r="G2616">
        <v>2039</v>
      </c>
      <c r="H2616">
        <v>6</v>
      </c>
      <c r="I2616">
        <v>2</v>
      </c>
    </row>
    <row r="2617" spans="1:9" x14ac:dyDescent="0.35">
      <c r="A2617" t="str">
        <f t="shared" si="40"/>
        <v>DAcostS1203962</v>
      </c>
      <c r="C2617" t="s">
        <v>99</v>
      </c>
      <c r="D2617" t="s">
        <v>100</v>
      </c>
      <c r="E2617" t="s">
        <v>110</v>
      </c>
      <c r="F2617">
        <v>44193.755470572258</v>
      </c>
      <c r="G2617">
        <v>2039</v>
      </c>
      <c r="H2617">
        <v>6</v>
      </c>
      <c r="I2617">
        <v>2</v>
      </c>
    </row>
    <row r="2618" spans="1:9" x14ac:dyDescent="0.35">
      <c r="A2618" t="str">
        <f t="shared" si="40"/>
        <v>DAincomeS1203962</v>
      </c>
      <c r="B2618" t="s">
        <v>95</v>
      </c>
      <c r="C2618" t="s">
        <v>99</v>
      </c>
      <c r="D2618" t="s">
        <v>101</v>
      </c>
      <c r="E2618" t="s">
        <v>110</v>
      </c>
      <c r="F2618">
        <v>92519.223795198777</v>
      </c>
      <c r="G2618">
        <v>2039</v>
      </c>
      <c r="H2618">
        <v>6</v>
      </c>
      <c r="I2618">
        <v>2</v>
      </c>
    </row>
    <row r="2619" spans="1:9" x14ac:dyDescent="0.35">
      <c r="A2619" t="str">
        <f t="shared" si="40"/>
        <v>DAenergy_boughtS1203962</v>
      </c>
      <c r="B2619" t="s">
        <v>95</v>
      </c>
      <c r="C2619" t="s">
        <v>99</v>
      </c>
      <c r="D2619" t="s">
        <v>111</v>
      </c>
      <c r="E2619" t="s">
        <v>110</v>
      </c>
      <c r="F2619">
        <v>1088.7761577322549</v>
      </c>
      <c r="G2619">
        <v>2039</v>
      </c>
      <c r="H2619">
        <v>6</v>
      </c>
      <c r="I2619">
        <v>2</v>
      </c>
    </row>
    <row r="2620" spans="1:9" x14ac:dyDescent="0.35">
      <c r="A2620" t="str">
        <f t="shared" si="40"/>
        <v>DAenergy_soldS1203962</v>
      </c>
      <c r="C2620" t="s">
        <v>99</v>
      </c>
      <c r="D2620" t="s">
        <v>112</v>
      </c>
      <c r="E2620" t="s">
        <v>110</v>
      </c>
      <c r="F2620">
        <v>865.46108278151542</v>
      </c>
      <c r="G2620">
        <v>2039</v>
      </c>
      <c r="H2620">
        <v>6</v>
      </c>
      <c r="I2620">
        <v>2</v>
      </c>
    </row>
    <row r="2621" spans="1:9" x14ac:dyDescent="0.35">
      <c r="A2621" t="str">
        <f t="shared" si="40"/>
        <v>DAhours_boughtS1203962</v>
      </c>
      <c r="C2621" t="s">
        <v>99</v>
      </c>
      <c r="D2621" t="s">
        <v>113</v>
      </c>
      <c r="E2621" t="s">
        <v>110</v>
      </c>
      <c r="F2621">
        <v>1855</v>
      </c>
      <c r="G2621">
        <v>2039</v>
      </c>
      <c r="H2621">
        <v>6</v>
      </c>
      <c r="I2621">
        <v>2</v>
      </c>
    </row>
    <row r="2622" spans="1:9" x14ac:dyDescent="0.35">
      <c r="A2622" t="str">
        <f t="shared" si="40"/>
        <v>DAhours_soldS1203962</v>
      </c>
      <c r="C2622" t="s">
        <v>99</v>
      </c>
      <c r="D2622" t="s">
        <v>114</v>
      </c>
      <c r="E2622" t="s">
        <v>110</v>
      </c>
      <c r="F2622">
        <v>381</v>
      </c>
      <c r="G2622">
        <v>2039</v>
      </c>
      <c r="H2622">
        <v>6</v>
      </c>
      <c r="I2622">
        <v>2</v>
      </c>
    </row>
    <row r="2623" spans="1:9" x14ac:dyDescent="0.35">
      <c r="A2623" t="str">
        <f t="shared" si="40"/>
        <v>DAco2_emissionS1203962</v>
      </c>
      <c r="C2623" t="s">
        <v>99</v>
      </c>
      <c r="D2623" t="s">
        <v>204</v>
      </c>
      <c r="E2623" t="s">
        <v>110</v>
      </c>
      <c r="F2623">
        <v>76214.331041257625</v>
      </c>
      <c r="G2623">
        <v>2039</v>
      </c>
      <c r="H2623">
        <v>6</v>
      </c>
      <c r="I2623">
        <v>2</v>
      </c>
    </row>
    <row r="2624" spans="1:9" x14ac:dyDescent="0.35">
      <c r="A2624" t="str">
        <f t="shared" si="40"/>
        <v>fcrincomeS1203962</v>
      </c>
      <c r="C2624" t="s">
        <v>102</v>
      </c>
      <c r="D2624" t="s">
        <v>101</v>
      </c>
      <c r="E2624" t="s">
        <v>110</v>
      </c>
      <c r="F2624">
        <v>3.540336065807042</v>
      </c>
      <c r="G2624">
        <v>2039</v>
      </c>
      <c r="H2624">
        <v>6</v>
      </c>
      <c r="I2624">
        <v>2</v>
      </c>
    </row>
    <row r="2625" spans="1:9" x14ac:dyDescent="0.35">
      <c r="A2625" t="str">
        <f t="shared" si="40"/>
        <v>fcractivation_hoursS1203962</v>
      </c>
      <c r="C2625" t="s">
        <v>102</v>
      </c>
      <c r="D2625" t="s">
        <v>115</v>
      </c>
      <c r="E2625" t="s">
        <v>110</v>
      </c>
      <c r="F2625">
        <v>4</v>
      </c>
      <c r="G2625">
        <v>2039</v>
      </c>
      <c r="H2625">
        <v>6</v>
      </c>
      <c r="I2625">
        <v>2</v>
      </c>
    </row>
    <row r="2626" spans="1:9" x14ac:dyDescent="0.35">
      <c r="A2626" t="str">
        <f t="shared" si="40"/>
        <v>afrrincomeS1203962</v>
      </c>
      <c r="C2626" t="s">
        <v>103</v>
      </c>
      <c r="D2626" t="s">
        <v>101</v>
      </c>
      <c r="E2626" t="s">
        <v>110</v>
      </c>
      <c r="F2626">
        <v>172701.8392269715</v>
      </c>
      <c r="G2626">
        <v>2039</v>
      </c>
      <c r="H2626">
        <v>6</v>
      </c>
      <c r="I2626">
        <v>2</v>
      </c>
    </row>
    <row r="2627" spans="1:9" x14ac:dyDescent="0.35">
      <c r="A2627" t="str">
        <f t="shared" ref="A2627:A2690" si="41">C2627&amp;D2627&amp;E2627&amp;G2627&amp;H2627&amp;I2627</f>
        <v>afrractivation_hoursS1203962</v>
      </c>
      <c r="C2627" t="s">
        <v>103</v>
      </c>
      <c r="D2627" t="s">
        <v>115</v>
      </c>
      <c r="E2627" t="s">
        <v>110</v>
      </c>
      <c r="F2627">
        <v>8559</v>
      </c>
      <c r="G2627">
        <v>2039</v>
      </c>
      <c r="H2627">
        <v>6</v>
      </c>
      <c r="I2627">
        <v>2</v>
      </c>
    </row>
    <row r="2628" spans="1:9" x14ac:dyDescent="0.35">
      <c r="A2628" t="str">
        <f t="shared" si="41"/>
        <v>networkturpe_power_costS1204062</v>
      </c>
      <c r="C2628" t="s">
        <v>96</v>
      </c>
      <c r="D2628" t="s">
        <v>97</v>
      </c>
      <c r="E2628" t="s">
        <v>110</v>
      </c>
      <c r="F2628">
        <v>11760.595684080119</v>
      </c>
      <c r="G2628">
        <v>2040</v>
      </c>
      <c r="H2628">
        <v>6</v>
      </c>
      <c r="I2628">
        <v>2</v>
      </c>
    </row>
    <row r="2629" spans="1:9" x14ac:dyDescent="0.35">
      <c r="A2629" t="str">
        <f t="shared" si="41"/>
        <v>networkturpe_energy_costS1204062</v>
      </c>
      <c r="C2629" t="s">
        <v>96</v>
      </c>
      <c r="D2629" t="s">
        <v>98</v>
      </c>
      <c r="E2629" t="s">
        <v>110</v>
      </c>
      <c r="F2629">
        <v>21284.17665269578</v>
      </c>
      <c r="G2629">
        <v>2040</v>
      </c>
      <c r="H2629">
        <v>6</v>
      </c>
      <c r="I2629">
        <v>2</v>
      </c>
    </row>
    <row r="2630" spans="1:9" x14ac:dyDescent="0.35">
      <c r="A2630" t="str">
        <f t="shared" si="41"/>
        <v>DAcostS1204062</v>
      </c>
      <c r="B2630" t="s">
        <v>95</v>
      </c>
      <c r="C2630" t="s">
        <v>99</v>
      </c>
      <c r="D2630" t="s">
        <v>100</v>
      </c>
      <c r="E2630" t="s">
        <v>110</v>
      </c>
      <c r="F2630">
        <v>50860.00163827715</v>
      </c>
      <c r="G2630">
        <v>2040</v>
      </c>
      <c r="H2630">
        <v>6</v>
      </c>
      <c r="I2630">
        <v>2</v>
      </c>
    </row>
    <row r="2631" spans="1:9" x14ac:dyDescent="0.35">
      <c r="A2631" t="str">
        <f t="shared" si="41"/>
        <v>DAincomeS1204062</v>
      </c>
      <c r="B2631" t="s">
        <v>95</v>
      </c>
      <c r="C2631" t="s">
        <v>99</v>
      </c>
      <c r="D2631" t="s">
        <v>101</v>
      </c>
      <c r="E2631" t="s">
        <v>110</v>
      </c>
      <c r="F2631">
        <v>111600.3824812542</v>
      </c>
      <c r="G2631">
        <v>2040</v>
      </c>
      <c r="H2631">
        <v>6</v>
      </c>
      <c r="I2631">
        <v>2</v>
      </c>
    </row>
    <row r="2632" spans="1:9" x14ac:dyDescent="0.35">
      <c r="A2632" t="str">
        <f t="shared" si="41"/>
        <v>DAenergy_boughtS1204062</v>
      </c>
      <c r="C2632" t="s">
        <v>99</v>
      </c>
      <c r="D2632" t="s">
        <v>111</v>
      </c>
      <c r="E2632" t="s">
        <v>110</v>
      </c>
      <c r="F2632">
        <v>1306.8346741568751</v>
      </c>
      <c r="G2632">
        <v>2040</v>
      </c>
      <c r="H2632">
        <v>6</v>
      </c>
      <c r="I2632">
        <v>2</v>
      </c>
    </row>
    <row r="2633" spans="1:9" x14ac:dyDescent="0.35">
      <c r="A2633" t="str">
        <f t="shared" si="41"/>
        <v>DAenergy_soldS1204062</v>
      </c>
      <c r="C2633" t="s">
        <v>99</v>
      </c>
      <c r="D2633" t="s">
        <v>112</v>
      </c>
      <c r="E2633" t="s">
        <v>110</v>
      </c>
      <c r="F2633">
        <v>1042.36062093225</v>
      </c>
      <c r="G2633">
        <v>2040</v>
      </c>
      <c r="H2633">
        <v>6</v>
      </c>
      <c r="I2633">
        <v>2</v>
      </c>
    </row>
    <row r="2634" spans="1:9" x14ac:dyDescent="0.35">
      <c r="A2634" t="str">
        <f t="shared" si="41"/>
        <v>DAhours_boughtS1204062</v>
      </c>
      <c r="C2634" t="s">
        <v>99</v>
      </c>
      <c r="D2634" t="s">
        <v>113</v>
      </c>
      <c r="E2634" t="s">
        <v>110</v>
      </c>
      <c r="F2634">
        <v>2002</v>
      </c>
      <c r="G2634">
        <v>2040</v>
      </c>
      <c r="H2634">
        <v>6</v>
      </c>
      <c r="I2634">
        <v>2</v>
      </c>
    </row>
    <row r="2635" spans="1:9" x14ac:dyDescent="0.35">
      <c r="A2635" t="str">
        <f t="shared" si="41"/>
        <v>DAhours_soldS1204062</v>
      </c>
      <c r="C2635" t="s">
        <v>99</v>
      </c>
      <c r="D2635" t="s">
        <v>114</v>
      </c>
      <c r="E2635" t="s">
        <v>110</v>
      </c>
      <c r="F2635">
        <v>415</v>
      </c>
      <c r="G2635">
        <v>2040</v>
      </c>
      <c r="H2635">
        <v>6</v>
      </c>
      <c r="I2635">
        <v>2</v>
      </c>
    </row>
    <row r="2636" spans="1:9" x14ac:dyDescent="0.35">
      <c r="A2636" t="str">
        <f t="shared" si="41"/>
        <v>DAco2_emissionS1204062</v>
      </c>
      <c r="C2636" t="s">
        <v>99</v>
      </c>
      <c r="D2636" t="s">
        <v>204</v>
      </c>
      <c r="E2636" t="s">
        <v>110</v>
      </c>
      <c r="F2636">
        <v>91478.427190981834</v>
      </c>
      <c r="G2636">
        <v>2040</v>
      </c>
      <c r="H2636">
        <v>6</v>
      </c>
      <c r="I2636">
        <v>2</v>
      </c>
    </row>
    <row r="2637" spans="1:9" x14ac:dyDescent="0.35">
      <c r="A2637" t="str">
        <f t="shared" si="41"/>
        <v>fcrincomeS1204062</v>
      </c>
      <c r="C2637" t="s">
        <v>102</v>
      </c>
      <c r="D2637" t="s">
        <v>101</v>
      </c>
      <c r="E2637" t="s">
        <v>110</v>
      </c>
      <c r="F2637">
        <v>27.312607617275461</v>
      </c>
      <c r="G2637">
        <v>2040</v>
      </c>
      <c r="H2637">
        <v>6</v>
      </c>
      <c r="I2637">
        <v>2</v>
      </c>
    </row>
    <row r="2638" spans="1:9" x14ac:dyDescent="0.35">
      <c r="A2638" t="str">
        <f t="shared" si="41"/>
        <v>fcractivation_hoursS1204062</v>
      </c>
      <c r="C2638" t="s">
        <v>102</v>
      </c>
      <c r="D2638" t="s">
        <v>115</v>
      </c>
      <c r="E2638" t="s">
        <v>110</v>
      </c>
      <c r="F2638">
        <v>20</v>
      </c>
      <c r="G2638">
        <v>2040</v>
      </c>
      <c r="H2638">
        <v>6</v>
      </c>
      <c r="I2638">
        <v>2</v>
      </c>
    </row>
    <row r="2639" spans="1:9" x14ac:dyDescent="0.35">
      <c r="A2639" t="str">
        <f t="shared" si="41"/>
        <v>afrrincomeS1204062</v>
      </c>
      <c r="C2639" t="s">
        <v>103</v>
      </c>
      <c r="D2639" t="s">
        <v>101</v>
      </c>
      <c r="E2639" t="s">
        <v>110</v>
      </c>
      <c r="F2639">
        <v>124039.52333392471</v>
      </c>
      <c r="G2639">
        <v>2040</v>
      </c>
      <c r="H2639">
        <v>6</v>
      </c>
      <c r="I2639">
        <v>2</v>
      </c>
    </row>
    <row r="2640" spans="1:9" x14ac:dyDescent="0.35">
      <c r="A2640" t="str">
        <f t="shared" si="41"/>
        <v>afrractivation_hoursS1204062</v>
      </c>
      <c r="C2640" t="s">
        <v>103</v>
      </c>
      <c r="D2640" t="s">
        <v>115</v>
      </c>
      <c r="E2640" t="s">
        <v>110</v>
      </c>
      <c r="F2640">
        <v>8327</v>
      </c>
      <c r="G2640">
        <v>2040</v>
      </c>
      <c r="H2640">
        <v>6</v>
      </c>
      <c r="I2640">
        <v>2</v>
      </c>
    </row>
    <row r="2641" spans="1:9" x14ac:dyDescent="0.35">
      <c r="A2641" t="str">
        <f t="shared" si="41"/>
        <v>networkturpe_power_costS1204162</v>
      </c>
      <c r="C2641" t="s">
        <v>96</v>
      </c>
      <c r="D2641" t="s">
        <v>97</v>
      </c>
      <c r="E2641" t="s">
        <v>110</v>
      </c>
      <c r="F2641">
        <v>11630.63320437336</v>
      </c>
      <c r="G2641">
        <v>2041</v>
      </c>
      <c r="H2641">
        <v>6</v>
      </c>
      <c r="I2641">
        <v>2</v>
      </c>
    </row>
    <row r="2642" spans="1:9" x14ac:dyDescent="0.35">
      <c r="A2642" t="str">
        <f t="shared" si="41"/>
        <v>networkturpe_energy_costS1204162</v>
      </c>
      <c r="B2642" t="s">
        <v>95</v>
      </c>
      <c r="C2642" t="s">
        <v>96</v>
      </c>
      <c r="D2642" t="s">
        <v>98</v>
      </c>
      <c r="E2642" t="s">
        <v>110</v>
      </c>
      <c r="F2642">
        <v>23161.879289918419</v>
      </c>
      <c r="G2642">
        <v>2041</v>
      </c>
      <c r="H2642">
        <v>6</v>
      </c>
      <c r="I2642">
        <v>2</v>
      </c>
    </row>
    <row r="2643" spans="1:9" x14ac:dyDescent="0.35">
      <c r="A2643" t="str">
        <f t="shared" si="41"/>
        <v>DAcostS1204162</v>
      </c>
      <c r="B2643" t="s">
        <v>95</v>
      </c>
      <c r="C2643" t="s">
        <v>99</v>
      </c>
      <c r="D2643" t="s">
        <v>100</v>
      </c>
      <c r="E2643" t="s">
        <v>110</v>
      </c>
      <c r="F2643">
        <v>54866.506381721862</v>
      </c>
      <c r="G2643">
        <v>2041</v>
      </c>
      <c r="H2643">
        <v>6</v>
      </c>
      <c r="I2643">
        <v>2</v>
      </c>
    </row>
    <row r="2644" spans="1:9" x14ac:dyDescent="0.35">
      <c r="A2644" t="str">
        <f t="shared" si="41"/>
        <v>DAincomeS1204162</v>
      </c>
      <c r="C2644" t="s">
        <v>99</v>
      </c>
      <c r="D2644" t="s">
        <v>101</v>
      </c>
      <c r="E2644" t="s">
        <v>110</v>
      </c>
      <c r="F2644">
        <v>119304.93282252279</v>
      </c>
      <c r="G2644">
        <v>2041</v>
      </c>
      <c r="H2644">
        <v>6</v>
      </c>
      <c r="I2644">
        <v>2</v>
      </c>
    </row>
    <row r="2645" spans="1:9" x14ac:dyDescent="0.35">
      <c r="A2645" t="str">
        <f t="shared" si="41"/>
        <v>DAenergy_boughtS1204162</v>
      </c>
      <c r="C2645" t="s">
        <v>99</v>
      </c>
      <c r="D2645" t="s">
        <v>111</v>
      </c>
      <c r="E2645" t="s">
        <v>110</v>
      </c>
      <c r="F2645">
        <v>1400.821603890339</v>
      </c>
      <c r="G2645">
        <v>2041</v>
      </c>
      <c r="H2645">
        <v>6</v>
      </c>
      <c r="I2645">
        <v>2</v>
      </c>
    </row>
    <row r="2646" spans="1:9" x14ac:dyDescent="0.35">
      <c r="A2646" t="str">
        <f t="shared" si="41"/>
        <v>DAenergy_soldS1204162</v>
      </c>
      <c r="C2646" t="s">
        <v>99</v>
      </c>
      <c r="D2646" t="s">
        <v>112</v>
      </c>
      <c r="E2646" t="s">
        <v>110</v>
      </c>
      <c r="F2646">
        <v>1118.866353748999</v>
      </c>
      <c r="G2646">
        <v>2041</v>
      </c>
      <c r="H2646">
        <v>6</v>
      </c>
      <c r="I2646">
        <v>2</v>
      </c>
    </row>
    <row r="2647" spans="1:9" x14ac:dyDescent="0.35">
      <c r="A2647" t="str">
        <f t="shared" si="41"/>
        <v>DAhours_boughtS1204162</v>
      </c>
      <c r="C2647" t="s">
        <v>99</v>
      </c>
      <c r="D2647" t="s">
        <v>113</v>
      </c>
      <c r="E2647" t="s">
        <v>110</v>
      </c>
      <c r="F2647">
        <v>1847</v>
      </c>
      <c r="G2647">
        <v>2041</v>
      </c>
      <c r="H2647">
        <v>6</v>
      </c>
      <c r="I2647">
        <v>2</v>
      </c>
    </row>
    <row r="2648" spans="1:9" x14ac:dyDescent="0.35">
      <c r="A2648" t="str">
        <f t="shared" si="41"/>
        <v>DAhours_soldS1204162</v>
      </c>
      <c r="C2648" t="s">
        <v>99</v>
      </c>
      <c r="D2648" t="s">
        <v>114</v>
      </c>
      <c r="E2648" t="s">
        <v>110</v>
      </c>
      <c r="F2648">
        <v>456</v>
      </c>
      <c r="G2648">
        <v>2041</v>
      </c>
      <c r="H2648">
        <v>6</v>
      </c>
      <c r="I2648">
        <v>2</v>
      </c>
    </row>
    <row r="2649" spans="1:9" x14ac:dyDescent="0.35">
      <c r="A2649" t="str">
        <f t="shared" si="41"/>
        <v>DAco2_emissionS1204162</v>
      </c>
      <c r="C2649" t="s">
        <v>99</v>
      </c>
      <c r="D2649" t="s">
        <v>204</v>
      </c>
      <c r="E2649" t="s">
        <v>110</v>
      </c>
      <c r="F2649">
        <v>98057.512272324311</v>
      </c>
      <c r="G2649">
        <v>2041</v>
      </c>
      <c r="H2649">
        <v>6</v>
      </c>
      <c r="I2649">
        <v>2</v>
      </c>
    </row>
    <row r="2650" spans="1:9" x14ac:dyDescent="0.35">
      <c r="A2650" t="str">
        <f t="shared" si="41"/>
        <v>fcrincomeS1204162</v>
      </c>
      <c r="C2650" t="s">
        <v>102</v>
      </c>
      <c r="D2650" t="s">
        <v>101</v>
      </c>
      <c r="E2650" t="s">
        <v>110</v>
      </c>
      <c r="F2650">
        <v>31.109043500861549</v>
      </c>
      <c r="G2650">
        <v>2041</v>
      </c>
      <c r="H2650">
        <v>6</v>
      </c>
      <c r="I2650">
        <v>2</v>
      </c>
    </row>
    <row r="2651" spans="1:9" x14ac:dyDescent="0.35">
      <c r="A2651" t="str">
        <f t="shared" si="41"/>
        <v>fcractivation_hoursS1204162</v>
      </c>
      <c r="C2651" t="s">
        <v>102</v>
      </c>
      <c r="D2651" t="s">
        <v>115</v>
      </c>
      <c r="E2651" t="s">
        <v>110</v>
      </c>
      <c r="F2651">
        <v>28</v>
      </c>
      <c r="G2651">
        <v>2041</v>
      </c>
      <c r="H2651">
        <v>6</v>
      </c>
      <c r="I2651">
        <v>2</v>
      </c>
    </row>
    <row r="2652" spans="1:9" x14ac:dyDescent="0.35">
      <c r="A2652" t="str">
        <f t="shared" si="41"/>
        <v>afrrincomeS1204162</v>
      </c>
      <c r="C2652" t="s">
        <v>103</v>
      </c>
      <c r="D2652" t="s">
        <v>101</v>
      </c>
      <c r="E2652" t="s">
        <v>110</v>
      </c>
      <c r="F2652">
        <v>115160.9945609826</v>
      </c>
      <c r="G2652">
        <v>2041</v>
      </c>
      <c r="H2652">
        <v>6</v>
      </c>
      <c r="I2652">
        <v>2</v>
      </c>
    </row>
    <row r="2653" spans="1:9" x14ac:dyDescent="0.35">
      <c r="A2653" t="str">
        <f t="shared" si="41"/>
        <v>afrractivation_hoursS1204162</v>
      </c>
      <c r="C2653" t="s">
        <v>103</v>
      </c>
      <c r="D2653" t="s">
        <v>115</v>
      </c>
      <c r="E2653" t="s">
        <v>110</v>
      </c>
      <c r="F2653">
        <v>8112</v>
      </c>
      <c r="G2653">
        <v>2041</v>
      </c>
      <c r="H2653">
        <v>6</v>
      </c>
      <c r="I2653">
        <v>2</v>
      </c>
    </row>
    <row r="2654" spans="1:9" x14ac:dyDescent="0.35">
      <c r="A2654" t="str">
        <f t="shared" si="41"/>
        <v>networkturpe_power_costS1202571</v>
      </c>
      <c r="B2654" t="s">
        <v>95</v>
      </c>
      <c r="C2654" t="s">
        <v>96</v>
      </c>
      <c r="D2654" t="s">
        <v>97</v>
      </c>
      <c r="E2654" t="s">
        <v>110</v>
      </c>
      <c r="F2654">
        <v>9369.1925040137012</v>
      </c>
      <c r="G2654">
        <v>2025</v>
      </c>
      <c r="H2654">
        <v>7</v>
      </c>
      <c r="I2654">
        <v>1</v>
      </c>
    </row>
    <row r="2655" spans="1:9" x14ac:dyDescent="0.35">
      <c r="A2655" t="str">
        <f t="shared" si="41"/>
        <v>networkturpe_energy_costS1202571</v>
      </c>
      <c r="B2655" t="s">
        <v>95</v>
      </c>
      <c r="C2655" t="s">
        <v>96</v>
      </c>
      <c r="D2655" t="s">
        <v>98</v>
      </c>
      <c r="E2655" t="s">
        <v>110</v>
      </c>
      <c r="F2655">
        <v>319.88050824008258</v>
      </c>
      <c r="G2655">
        <v>2025</v>
      </c>
      <c r="H2655">
        <v>7</v>
      </c>
      <c r="I2655">
        <v>1</v>
      </c>
    </row>
    <row r="2656" spans="1:9" x14ac:dyDescent="0.35">
      <c r="A2656" t="str">
        <f t="shared" si="41"/>
        <v>DAcostS1202571</v>
      </c>
      <c r="C2656" t="s">
        <v>99</v>
      </c>
      <c r="D2656" t="s">
        <v>100</v>
      </c>
      <c r="E2656" t="s">
        <v>110</v>
      </c>
      <c r="F2656">
        <v>2945.3769883670429</v>
      </c>
      <c r="G2656">
        <v>2025</v>
      </c>
      <c r="H2656">
        <v>7</v>
      </c>
      <c r="I2656">
        <v>1</v>
      </c>
    </row>
    <row r="2657" spans="1:9" x14ac:dyDescent="0.35">
      <c r="A2657" t="str">
        <f t="shared" si="41"/>
        <v>DAincomeS1202571</v>
      </c>
      <c r="C2657" t="s">
        <v>99</v>
      </c>
      <c r="D2657" t="s">
        <v>101</v>
      </c>
      <c r="E2657" t="s">
        <v>110</v>
      </c>
      <c r="F2657">
        <v>0</v>
      </c>
      <c r="G2657">
        <v>2025</v>
      </c>
      <c r="H2657">
        <v>7</v>
      </c>
      <c r="I2657">
        <v>1</v>
      </c>
    </row>
    <row r="2658" spans="1:9" x14ac:dyDescent="0.35">
      <c r="A2658" t="str">
        <f t="shared" si="41"/>
        <v>DAenergy_boughtS1202571</v>
      </c>
      <c r="C2658" t="s">
        <v>99</v>
      </c>
      <c r="D2658" t="s">
        <v>111</v>
      </c>
      <c r="E2658" t="s">
        <v>110</v>
      </c>
      <c r="F2658">
        <v>17.033260099681009</v>
      </c>
      <c r="G2658">
        <v>2025</v>
      </c>
      <c r="H2658">
        <v>7</v>
      </c>
      <c r="I2658">
        <v>1</v>
      </c>
    </row>
    <row r="2659" spans="1:9" x14ac:dyDescent="0.35">
      <c r="A2659" t="str">
        <f t="shared" si="41"/>
        <v>DAenergy_soldS1202571</v>
      </c>
      <c r="C2659" t="s">
        <v>99</v>
      </c>
      <c r="D2659" t="s">
        <v>112</v>
      </c>
      <c r="E2659" t="s">
        <v>110</v>
      </c>
      <c r="F2659">
        <v>0</v>
      </c>
      <c r="G2659">
        <v>2025</v>
      </c>
      <c r="H2659">
        <v>7</v>
      </c>
      <c r="I2659">
        <v>1</v>
      </c>
    </row>
    <row r="2660" spans="1:9" x14ac:dyDescent="0.35">
      <c r="A2660" t="str">
        <f t="shared" si="41"/>
        <v>DAhours_boughtS1202571</v>
      </c>
      <c r="C2660" t="s">
        <v>99</v>
      </c>
      <c r="D2660" t="s">
        <v>113</v>
      </c>
      <c r="E2660" t="s">
        <v>110</v>
      </c>
      <c r="F2660">
        <v>5808</v>
      </c>
      <c r="G2660">
        <v>2025</v>
      </c>
      <c r="H2660">
        <v>7</v>
      </c>
      <c r="I2660">
        <v>1</v>
      </c>
    </row>
    <row r="2661" spans="1:9" x14ac:dyDescent="0.35">
      <c r="A2661" t="str">
        <f t="shared" si="41"/>
        <v>DAhours_soldS1202571</v>
      </c>
      <c r="C2661" t="s">
        <v>99</v>
      </c>
      <c r="D2661" t="s">
        <v>114</v>
      </c>
      <c r="E2661" t="s">
        <v>110</v>
      </c>
      <c r="F2661">
        <v>0</v>
      </c>
      <c r="G2661">
        <v>2025</v>
      </c>
      <c r="H2661">
        <v>7</v>
      </c>
      <c r="I2661">
        <v>1</v>
      </c>
    </row>
    <row r="2662" spans="1:9" x14ac:dyDescent="0.35">
      <c r="A2662" t="str">
        <f t="shared" si="41"/>
        <v>DAco2_emissionS1202571</v>
      </c>
      <c r="C2662" t="s">
        <v>99</v>
      </c>
      <c r="D2662" t="s">
        <v>204</v>
      </c>
      <c r="E2662" t="s">
        <v>110</v>
      </c>
      <c r="F2662">
        <v>1192.328206977676</v>
      </c>
      <c r="G2662">
        <v>2025</v>
      </c>
      <c r="H2662">
        <v>7</v>
      </c>
      <c r="I2662">
        <v>1</v>
      </c>
    </row>
    <row r="2663" spans="1:9" x14ac:dyDescent="0.35">
      <c r="A2663" t="str">
        <f t="shared" si="41"/>
        <v>fcrincomeS1202571</v>
      </c>
      <c r="C2663" t="s">
        <v>102</v>
      </c>
      <c r="D2663" t="s">
        <v>101</v>
      </c>
      <c r="E2663" t="s">
        <v>110</v>
      </c>
      <c r="F2663">
        <v>0</v>
      </c>
      <c r="G2663">
        <v>2025</v>
      </c>
      <c r="H2663">
        <v>7</v>
      </c>
      <c r="I2663">
        <v>1</v>
      </c>
    </row>
    <row r="2664" spans="1:9" x14ac:dyDescent="0.35">
      <c r="A2664" t="str">
        <f t="shared" si="41"/>
        <v>fcractivation_hoursS1202571</v>
      </c>
      <c r="C2664" t="s">
        <v>102</v>
      </c>
      <c r="D2664" t="s">
        <v>115</v>
      </c>
      <c r="E2664" t="s">
        <v>110</v>
      </c>
      <c r="F2664">
        <v>0</v>
      </c>
      <c r="G2664">
        <v>2025</v>
      </c>
      <c r="H2664">
        <v>7</v>
      </c>
      <c r="I2664">
        <v>1</v>
      </c>
    </row>
    <row r="2665" spans="1:9" x14ac:dyDescent="0.35">
      <c r="A2665" t="str">
        <f t="shared" si="41"/>
        <v>afrrincomeS1202571</v>
      </c>
      <c r="C2665" t="s">
        <v>103</v>
      </c>
      <c r="D2665" t="s">
        <v>101</v>
      </c>
      <c r="E2665" t="s">
        <v>110</v>
      </c>
      <c r="F2665">
        <v>353264.35385803942</v>
      </c>
      <c r="G2665">
        <v>2025</v>
      </c>
      <c r="H2665">
        <v>7</v>
      </c>
      <c r="I2665">
        <v>1</v>
      </c>
    </row>
    <row r="2666" spans="1:9" x14ac:dyDescent="0.35">
      <c r="A2666" t="str">
        <f t="shared" si="41"/>
        <v>afrractivation_hoursS1202571</v>
      </c>
      <c r="B2666" t="s">
        <v>95</v>
      </c>
      <c r="C2666" t="s">
        <v>103</v>
      </c>
      <c r="D2666" t="s">
        <v>115</v>
      </c>
      <c r="E2666" t="s">
        <v>110</v>
      </c>
      <c r="F2666">
        <v>8760</v>
      </c>
      <c r="G2666">
        <v>2025</v>
      </c>
      <c r="H2666">
        <v>7</v>
      </c>
      <c r="I2666">
        <v>1</v>
      </c>
    </row>
    <row r="2667" spans="1:9" x14ac:dyDescent="0.35">
      <c r="A2667" t="str">
        <f t="shared" si="41"/>
        <v>networkturpe_power_costS1202671</v>
      </c>
      <c r="B2667" t="s">
        <v>95</v>
      </c>
      <c r="C2667" t="s">
        <v>96</v>
      </c>
      <c r="D2667" t="s">
        <v>97</v>
      </c>
      <c r="E2667" t="s">
        <v>110</v>
      </c>
      <c r="F2667">
        <v>9133.3456303620405</v>
      </c>
      <c r="G2667">
        <v>2026</v>
      </c>
      <c r="H2667">
        <v>7</v>
      </c>
      <c r="I2667">
        <v>1</v>
      </c>
    </row>
    <row r="2668" spans="1:9" x14ac:dyDescent="0.35">
      <c r="A2668" t="str">
        <f t="shared" si="41"/>
        <v>networkturpe_energy_costS1202671</v>
      </c>
      <c r="C2668" t="s">
        <v>96</v>
      </c>
      <c r="D2668" t="s">
        <v>98</v>
      </c>
      <c r="E2668" t="s">
        <v>110</v>
      </c>
      <c r="F2668">
        <v>311.74281589002652</v>
      </c>
      <c r="G2668">
        <v>2026</v>
      </c>
      <c r="H2668">
        <v>7</v>
      </c>
      <c r="I2668">
        <v>1</v>
      </c>
    </row>
    <row r="2669" spans="1:9" x14ac:dyDescent="0.35">
      <c r="A2669" t="str">
        <f t="shared" si="41"/>
        <v>DAcostS1202671</v>
      </c>
      <c r="C2669" t="s">
        <v>99</v>
      </c>
      <c r="D2669" t="s">
        <v>100</v>
      </c>
      <c r="E2669" t="s">
        <v>110</v>
      </c>
      <c r="F2669">
        <v>2622.4400139403851</v>
      </c>
      <c r="G2669">
        <v>2026</v>
      </c>
      <c r="H2669">
        <v>7</v>
      </c>
      <c r="I2669">
        <v>1</v>
      </c>
    </row>
    <row r="2670" spans="1:9" x14ac:dyDescent="0.35">
      <c r="A2670" t="str">
        <f t="shared" si="41"/>
        <v>DAincomeS1202671</v>
      </c>
      <c r="C2670" t="s">
        <v>99</v>
      </c>
      <c r="D2670" t="s">
        <v>101</v>
      </c>
      <c r="E2670" t="s">
        <v>110</v>
      </c>
      <c r="F2670">
        <v>0</v>
      </c>
      <c r="G2670">
        <v>2026</v>
      </c>
      <c r="H2670">
        <v>7</v>
      </c>
      <c r="I2670">
        <v>1</v>
      </c>
    </row>
    <row r="2671" spans="1:9" x14ac:dyDescent="0.35">
      <c r="A2671" t="str">
        <f t="shared" si="41"/>
        <v>DAenergy_boughtS1202671</v>
      </c>
      <c r="C2671" t="s">
        <v>99</v>
      </c>
      <c r="D2671" t="s">
        <v>111</v>
      </c>
      <c r="E2671" t="s">
        <v>110</v>
      </c>
      <c r="F2671">
        <v>16.60690196334156</v>
      </c>
      <c r="G2671">
        <v>2026</v>
      </c>
      <c r="H2671">
        <v>7</v>
      </c>
      <c r="I2671">
        <v>1</v>
      </c>
    </row>
    <row r="2672" spans="1:9" x14ac:dyDescent="0.35">
      <c r="A2672" t="str">
        <f t="shared" si="41"/>
        <v>DAenergy_soldS1202671</v>
      </c>
      <c r="C2672" t="s">
        <v>99</v>
      </c>
      <c r="D2672" t="s">
        <v>112</v>
      </c>
      <c r="E2672" t="s">
        <v>110</v>
      </c>
      <c r="F2672">
        <v>0</v>
      </c>
      <c r="G2672">
        <v>2026</v>
      </c>
      <c r="H2672">
        <v>7</v>
      </c>
      <c r="I2672">
        <v>1</v>
      </c>
    </row>
    <row r="2673" spans="1:9" x14ac:dyDescent="0.35">
      <c r="A2673" t="str">
        <f t="shared" si="41"/>
        <v>DAhours_boughtS1202671</v>
      </c>
      <c r="C2673" t="s">
        <v>99</v>
      </c>
      <c r="D2673" t="s">
        <v>113</v>
      </c>
      <c r="E2673" t="s">
        <v>110</v>
      </c>
      <c r="F2673">
        <v>6230</v>
      </c>
      <c r="G2673">
        <v>2026</v>
      </c>
      <c r="H2673">
        <v>7</v>
      </c>
      <c r="I2673">
        <v>1</v>
      </c>
    </row>
    <row r="2674" spans="1:9" x14ac:dyDescent="0.35">
      <c r="A2674" t="str">
        <f t="shared" si="41"/>
        <v>DAhours_soldS1202671</v>
      </c>
      <c r="C2674" t="s">
        <v>99</v>
      </c>
      <c r="D2674" t="s">
        <v>114</v>
      </c>
      <c r="E2674" t="s">
        <v>110</v>
      </c>
      <c r="F2674">
        <v>0</v>
      </c>
      <c r="G2674">
        <v>2026</v>
      </c>
      <c r="H2674">
        <v>7</v>
      </c>
      <c r="I2674">
        <v>1</v>
      </c>
    </row>
    <row r="2675" spans="1:9" x14ac:dyDescent="0.35">
      <c r="A2675" t="str">
        <f t="shared" si="41"/>
        <v>DAco2_emissionS1202671</v>
      </c>
      <c r="C2675" t="s">
        <v>99</v>
      </c>
      <c r="D2675" t="s">
        <v>204</v>
      </c>
      <c r="E2675" t="s">
        <v>110</v>
      </c>
      <c r="F2675">
        <v>1162.4831374340481</v>
      </c>
      <c r="G2675">
        <v>2026</v>
      </c>
      <c r="H2675">
        <v>7</v>
      </c>
      <c r="I2675">
        <v>1</v>
      </c>
    </row>
    <row r="2676" spans="1:9" x14ac:dyDescent="0.35">
      <c r="A2676" t="str">
        <f t="shared" si="41"/>
        <v>fcrincomeS1202671</v>
      </c>
      <c r="C2676" t="s">
        <v>102</v>
      </c>
      <c r="D2676" t="s">
        <v>101</v>
      </c>
      <c r="E2676" t="s">
        <v>110</v>
      </c>
      <c r="F2676">
        <v>0</v>
      </c>
      <c r="G2676">
        <v>2026</v>
      </c>
      <c r="H2676">
        <v>7</v>
      </c>
      <c r="I2676">
        <v>1</v>
      </c>
    </row>
    <row r="2677" spans="1:9" x14ac:dyDescent="0.35">
      <c r="A2677" t="str">
        <f t="shared" si="41"/>
        <v>fcractivation_hoursS1202671</v>
      </c>
      <c r="C2677" t="s">
        <v>102</v>
      </c>
      <c r="D2677" t="s">
        <v>115</v>
      </c>
      <c r="E2677" t="s">
        <v>110</v>
      </c>
      <c r="F2677">
        <v>0</v>
      </c>
      <c r="G2677">
        <v>2026</v>
      </c>
      <c r="H2677">
        <v>7</v>
      </c>
      <c r="I2677">
        <v>1</v>
      </c>
    </row>
    <row r="2678" spans="1:9" x14ac:dyDescent="0.35">
      <c r="A2678" t="str">
        <f t="shared" si="41"/>
        <v>afrrincomeS1202671</v>
      </c>
      <c r="B2678" t="s">
        <v>95</v>
      </c>
      <c r="C2678" t="s">
        <v>103</v>
      </c>
      <c r="D2678" t="s">
        <v>101</v>
      </c>
      <c r="E2678" t="s">
        <v>110</v>
      </c>
      <c r="F2678">
        <v>335350.67983691132</v>
      </c>
      <c r="G2678">
        <v>2026</v>
      </c>
      <c r="H2678">
        <v>7</v>
      </c>
      <c r="I2678">
        <v>1</v>
      </c>
    </row>
    <row r="2679" spans="1:9" x14ac:dyDescent="0.35">
      <c r="A2679" t="str">
        <f t="shared" si="41"/>
        <v>afrractivation_hoursS1202671</v>
      </c>
      <c r="B2679" t="s">
        <v>95</v>
      </c>
      <c r="C2679" t="s">
        <v>103</v>
      </c>
      <c r="D2679" t="s">
        <v>115</v>
      </c>
      <c r="E2679" t="s">
        <v>110</v>
      </c>
      <c r="F2679">
        <v>8760</v>
      </c>
      <c r="G2679">
        <v>2026</v>
      </c>
      <c r="H2679">
        <v>7</v>
      </c>
      <c r="I2679">
        <v>1</v>
      </c>
    </row>
    <row r="2680" spans="1:9" x14ac:dyDescent="0.35">
      <c r="A2680" t="str">
        <f t="shared" si="41"/>
        <v>networkturpe_power_costS1202771</v>
      </c>
      <c r="C2680" t="s">
        <v>96</v>
      </c>
      <c r="D2680" t="s">
        <v>97</v>
      </c>
      <c r="E2680" t="s">
        <v>110</v>
      </c>
      <c r="F2680">
        <v>8908.0891637482546</v>
      </c>
      <c r="G2680">
        <v>2027</v>
      </c>
      <c r="H2680">
        <v>7</v>
      </c>
      <c r="I2680">
        <v>1</v>
      </c>
    </row>
    <row r="2681" spans="1:9" x14ac:dyDescent="0.35">
      <c r="A2681" t="str">
        <f t="shared" si="41"/>
        <v>networkturpe_energy_costS1202771</v>
      </c>
      <c r="C2681" t="s">
        <v>96</v>
      </c>
      <c r="D2681" t="s">
        <v>98</v>
      </c>
      <c r="E2681" t="s">
        <v>110</v>
      </c>
      <c r="F2681">
        <v>301.77960040141278</v>
      </c>
      <c r="G2681">
        <v>2027</v>
      </c>
      <c r="H2681">
        <v>7</v>
      </c>
      <c r="I2681">
        <v>1</v>
      </c>
    </row>
    <row r="2682" spans="1:9" x14ac:dyDescent="0.35">
      <c r="A2682" t="str">
        <f t="shared" si="41"/>
        <v>DAcostS1202771</v>
      </c>
      <c r="C2682" t="s">
        <v>99</v>
      </c>
      <c r="D2682" t="s">
        <v>100</v>
      </c>
      <c r="E2682" t="s">
        <v>110</v>
      </c>
      <c r="F2682">
        <v>1952.790089885259</v>
      </c>
      <c r="G2682">
        <v>2027</v>
      </c>
      <c r="H2682">
        <v>7</v>
      </c>
      <c r="I2682">
        <v>1</v>
      </c>
    </row>
    <row r="2683" spans="1:9" x14ac:dyDescent="0.35">
      <c r="A2683" t="str">
        <f t="shared" si="41"/>
        <v>DAincomeS1202771</v>
      </c>
      <c r="C2683" t="s">
        <v>99</v>
      </c>
      <c r="D2683" t="s">
        <v>101</v>
      </c>
      <c r="E2683" t="s">
        <v>110</v>
      </c>
      <c r="F2683">
        <v>7.5130338628159876E-4</v>
      </c>
      <c r="G2683">
        <v>2027</v>
      </c>
      <c r="H2683">
        <v>7</v>
      </c>
      <c r="I2683">
        <v>1</v>
      </c>
    </row>
    <row r="2684" spans="1:9" x14ac:dyDescent="0.35">
      <c r="A2684" t="str">
        <f t="shared" si="41"/>
        <v>DAenergy_boughtS1202771</v>
      </c>
      <c r="C2684" t="s">
        <v>99</v>
      </c>
      <c r="D2684" t="s">
        <v>111</v>
      </c>
      <c r="E2684" t="s">
        <v>110</v>
      </c>
      <c r="F2684">
        <v>16.191283099665661</v>
      </c>
      <c r="G2684">
        <v>2027</v>
      </c>
      <c r="H2684">
        <v>7</v>
      </c>
      <c r="I2684">
        <v>1</v>
      </c>
    </row>
    <row r="2685" spans="1:9" x14ac:dyDescent="0.35">
      <c r="A2685" t="str">
        <f t="shared" si="41"/>
        <v>DAenergy_soldS1202771</v>
      </c>
      <c r="C2685" t="s">
        <v>99</v>
      </c>
      <c r="D2685" t="s">
        <v>112</v>
      </c>
      <c r="E2685" t="s">
        <v>110</v>
      </c>
      <c r="F2685">
        <v>5.5480865448487293E-6</v>
      </c>
      <c r="G2685">
        <v>2027</v>
      </c>
      <c r="H2685">
        <v>7</v>
      </c>
      <c r="I2685">
        <v>1</v>
      </c>
    </row>
    <row r="2686" spans="1:9" x14ac:dyDescent="0.35">
      <c r="A2686" t="str">
        <f t="shared" si="41"/>
        <v>DAhours_boughtS1202771</v>
      </c>
      <c r="C2686" t="s">
        <v>99</v>
      </c>
      <c r="D2686" t="s">
        <v>113</v>
      </c>
      <c r="E2686" t="s">
        <v>110</v>
      </c>
      <c r="F2686">
        <v>5555</v>
      </c>
      <c r="G2686">
        <v>2027</v>
      </c>
      <c r="H2686">
        <v>7</v>
      </c>
      <c r="I2686">
        <v>1</v>
      </c>
    </row>
    <row r="2687" spans="1:9" x14ac:dyDescent="0.35">
      <c r="A2687" t="str">
        <f t="shared" si="41"/>
        <v>DAhours_soldS1202771</v>
      </c>
      <c r="C2687" t="s">
        <v>99</v>
      </c>
      <c r="D2687" t="s">
        <v>114</v>
      </c>
      <c r="E2687" t="s">
        <v>110</v>
      </c>
      <c r="F2687">
        <v>0</v>
      </c>
      <c r="G2687">
        <v>2027</v>
      </c>
      <c r="H2687">
        <v>7</v>
      </c>
      <c r="I2687">
        <v>1</v>
      </c>
    </row>
    <row r="2688" spans="1:9" x14ac:dyDescent="0.35">
      <c r="A2688" t="str">
        <f t="shared" si="41"/>
        <v>DAco2_emissionS1202771</v>
      </c>
      <c r="C2688" t="s">
        <v>99</v>
      </c>
      <c r="D2688" t="s">
        <v>204</v>
      </c>
      <c r="E2688" t="s">
        <v>110</v>
      </c>
      <c r="F2688">
        <v>1133.389816976523</v>
      </c>
      <c r="G2688">
        <v>2027</v>
      </c>
      <c r="H2688">
        <v>7</v>
      </c>
      <c r="I2688">
        <v>1</v>
      </c>
    </row>
    <row r="2689" spans="1:9" x14ac:dyDescent="0.35">
      <c r="A2689" t="str">
        <f t="shared" si="41"/>
        <v>fcrincomeS1202771</v>
      </c>
      <c r="C2689" t="s">
        <v>102</v>
      </c>
      <c r="D2689" t="s">
        <v>101</v>
      </c>
      <c r="E2689" t="s">
        <v>110</v>
      </c>
      <c r="F2689">
        <v>0</v>
      </c>
      <c r="G2689">
        <v>2027</v>
      </c>
      <c r="H2689">
        <v>7</v>
      </c>
      <c r="I2689">
        <v>1</v>
      </c>
    </row>
    <row r="2690" spans="1:9" x14ac:dyDescent="0.35">
      <c r="A2690" t="str">
        <f t="shared" si="41"/>
        <v>fcractivation_hoursS1202771</v>
      </c>
      <c r="B2690" t="s">
        <v>95</v>
      </c>
      <c r="C2690" t="s">
        <v>102</v>
      </c>
      <c r="D2690" t="s">
        <v>115</v>
      </c>
      <c r="E2690" t="s">
        <v>110</v>
      </c>
      <c r="F2690">
        <v>0</v>
      </c>
      <c r="G2690">
        <v>2027</v>
      </c>
      <c r="H2690">
        <v>7</v>
      </c>
      <c r="I2690">
        <v>1</v>
      </c>
    </row>
    <row r="2691" spans="1:9" x14ac:dyDescent="0.35">
      <c r="A2691" t="str">
        <f t="shared" ref="A2691:A2754" si="42">C2691&amp;D2691&amp;E2691&amp;G2691&amp;H2691&amp;I2691</f>
        <v>afrrincomeS1202771</v>
      </c>
      <c r="B2691" t="s">
        <v>95</v>
      </c>
      <c r="C2691" t="s">
        <v>103</v>
      </c>
      <c r="D2691" t="s">
        <v>101</v>
      </c>
      <c r="E2691" t="s">
        <v>110</v>
      </c>
      <c r="F2691">
        <v>285422.97150441899</v>
      </c>
      <c r="G2691">
        <v>2027</v>
      </c>
      <c r="H2691">
        <v>7</v>
      </c>
      <c r="I2691">
        <v>1</v>
      </c>
    </row>
    <row r="2692" spans="1:9" x14ac:dyDescent="0.35">
      <c r="A2692" t="str">
        <f t="shared" si="42"/>
        <v>afrractivation_hoursS1202771</v>
      </c>
      <c r="C2692" t="s">
        <v>103</v>
      </c>
      <c r="D2692" t="s">
        <v>115</v>
      </c>
      <c r="E2692" t="s">
        <v>110</v>
      </c>
      <c r="F2692">
        <v>8760</v>
      </c>
      <c r="G2692">
        <v>2027</v>
      </c>
      <c r="H2692">
        <v>7</v>
      </c>
      <c r="I2692">
        <v>1</v>
      </c>
    </row>
    <row r="2693" spans="1:9" x14ac:dyDescent="0.35">
      <c r="A2693" t="str">
        <f t="shared" si="42"/>
        <v>networkturpe_power_costS1202871</v>
      </c>
      <c r="C2693" t="s">
        <v>96</v>
      </c>
      <c r="D2693" t="s">
        <v>97</v>
      </c>
      <c r="E2693" t="s">
        <v>110</v>
      </c>
      <c r="F2693">
        <v>8685.5241660168231</v>
      </c>
      <c r="G2693">
        <v>2028</v>
      </c>
      <c r="H2693">
        <v>7</v>
      </c>
      <c r="I2693">
        <v>1</v>
      </c>
    </row>
    <row r="2694" spans="1:9" x14ac:dyDescent="0.35">
      <c r="A2694" t="str">
        <f t="shared" si="42"/>
        <v>networkturpe_energy_costS1202871</v>
      </c>
      <c r="C2694" t="s">
        <v>96</v>
      </c>
      <c r="D2694" t="s">
        <v>98</v>
      </c>
      <c r="E2694" t="s">
        <v>110</v>
      </c>
      <c r="F2694">
        <v>294.77268083718172</v>
      </c>
      <c r="G2694">
        <v>2028</v>
      </c>
      <c r="H2694">
        <v>7</v>
      </c>
      <c r="I2694">
        <v>1</v>
      </c>
    </row>
    <row r="2695" spans="1:9" x14ac:dyDescent="0.35">
      <c r="A2695" t="str">
        <f t="shared" si="42"/>
        <v>DAcostS1202871</v>
      </c>
      <c r="C2695" t="s">
        <v>99</v>
      </c>
      <c r="D2695" t="s">
        <v>100</v>
      </c>
      <c r="E2695" t="s">
        <v>110</v>
      </c>
      <c r="F2695">
        <v>1742.527169247631</v>
      </c>
      <c r="G2695">
        <v>2028</v>
      </c>
      <c r="H2695">
        <v>7</v>
      </c>
      <c r="I2695">
        <v>1</v>
      </c>
    </row>
    <row r="2696" spans="1:9" x14ac:dyDescent="0.35">
      <c r="A2696" t="str">
        <f t="shared" si="42"/>
        <v>DAincomeS1202871</v>
      </c>
      <c r="C2696" t="s">
        <v>99</v>
      </c>
      <c r="D2696" t="s">
        <v>101</v>
      </c>
      <c r="E2696" t="s">
        <v>110</v>
      </c>
      <c r="F2696">
        <v>4.347612380814914E-4</v>
      </c>
      <c r="G2696">
        <v>2028</v>
      </c>
      <c r="H2696">
        <v>7</v>
      </c>
      <c r="I2696">
        <v>1</v>
      </c>
    </row>
    <row r="2697" spans="1:9" x14ac:dyDescent="0.35">
      <c r="A2697" t="str">
        <f t="shared" si="42"/>
        <v>DAenergy_boughtS1202871</v>
      </c>
      <c r="C2697" t="s">
        <v>99</v>
      </c>
      <c r="D2697" t="s">
        <v>111</v>
      </c>
      <c r="E2697" t="s">
        <v>110</v>
      </c>
      <c r="F2697">
        <v>15.786276771747801</v>
      </c>
      <c r="G2697">
        <v>2028</v>
      </c>
      <c r="H2697">
        <v>7</v>
      </c>
      <c r="I2697">
        <v>1</v>
      </c>
    </row>
    <row r="2698" spans="1:9" x14ac:dyDescent="0.35">
      <c r="A2698" t="str">
        <f t="shared" si="42"/>
        <v>DAenergy_soldS1202871</v>
      </c>
      <c r="C2698" t="s">
        <v>99</v>
      </c>
      <c r="D2698" t="s">
        <v>112</v>
      </c>
      <c r="E2698" t="s">
        <v>110</v>
      </c>
      <c r="F2698">
        <v>3.6062562518424102E-6</v>
      </c>
      <c r="G2698">
        <v>2028</v>
      </c>
      <c r="H2698">
        <v>7</v>
      </c>
      <c r="I2698">
        <v>1</v>
      </c>
    </row>
    <row r="2699" spans="1:9" x14ac:dyDescent="0.35">
      <c r="A2699" t="str">
        <f t="shared" si="42"/>
        <v>DAhours_boughtS1202871</v>
      </c>
      <c r="C2699" t="s">
        <v>99</v>
      </c>
      <c r="D2699" t="s">
        <v>113</v>
      </c>
      <c r="E2699" t="s">
        <v>110</v>
      </c>
      <c r="F2699">
        <v>5480</v>
      </c>
      <c r="G2699">
        <v>2028</v>
      </c>
      <c r="H2699">
        <v>7</v>
      </c>
      <c r="I2699">
        <v>1</v>
      </c>
    </row>
    <row r="2700" spans="1:9" x14ac:dyDescent="0.35">
      <c r="A2700" t="str">
        <f t="shared" si="42"/>
        <v>DAhours_soldS1202871</v>
      </c>
      <c r="C2700" t="s">
        <v>99</v>
      </c>
      <c r="D2700" t="s">
        <v>114</v>
      </c>
      <c r="E2700" t="s">
        <v>110</v>
      </c>
      <c r="F2700">
        <v>0</v>
      </c>
      <c r="G2700">
        <v>2028</v>
      </c>
      <c r="H2700">
        <v>7</v>
      </c>
      <c r="I2700">
        <v>1</v>
      </c>
    </row>
    <row r="2701" spans="1:9" x14ac:dyDescent="0.35">
      <c r="A2701" t="str">
        <f t="shared" si="42"/>
        <v>DAco2_emissionS1202871</v>
      </c>
      <c r="C2701" t="s">
        <v>99</v>
      </c>
      <c r="D2701" t="s">
        <v>204</v>
      </c>
      <c r="E2701" t="s">
        <v>110</v>
      </c>
      <c r="F2701">
        <v>1105.039374022316</v>
      </c>
      <c r="G2701">
        <v>2028</v>
      </c>
      <c r="H2701">
        <v>7</v>
      </c>
      <c r="I2701">
        <v>1</v>
      </c>
    </row>
    <row r="2702" spans="1:9" x14ac:dyDescent="0.35">
      <c r="A2702" t="str">
        <f t="shared" si="42"/>
        <v>fcrincomeS1202871</v>
      </c>
      <c r="B2702" t="s">
        <v>95</v>
      </c>
      <c r="C2702" t="s">
        <v>102</v>
      </c>
      <c r="D2702" t="s">
        <v>101</v>
      </c>
      <c r="E2702" t="s">
        <v>110</v>
      </c>
      <c r="F2702">
        <v>0</v>
      </c>
      <c r="G2702">
        <v>2028</v>
      </c>
      <c r="H2702">
        <v>7</v>
      </c>
      <c r="I2702">
        <v>1</v>
      </c>
    </row>
    <row r="2703" spans="1:9" x14ac:dyDescent="0.35">
      <c r="A2703" t="str">
        <f t="shared" si="42"/>
        <v>fcractivation_hoursS1202871</v>
      </c>
      <c r="B2703" t="s">
        <v>95</v>
      </c>
      <c r="C2703" t="s">
        <v>102</v>
      </c>
      <c r="D2703" t="s">
        <v>115</v>
      </c>
      <c r="E2703" t="s">
        <v>110</v>
      </c>
      <c r="F2703">
        <v>0</v>
      </c>
      <c r="G2703">
        <v>2028</v>
      </c>
      <c r="H2703">
        <v>7</v>
      </c>
      <c r="I2703">
        <v>1</v>
      </c>
    </row>
    <row r="2704" spans="1:9" x14ac:dyDescent="0.35">
      <c r="A2704" t="str">
        <f t="shared" si="42"/>
        <v>afrrincomeS1202871</v>
      </c>
      <c r="C2704" t="s">
        <v>103</v>
      </c>
      <c r="D2704" t="s">
        <v>101</v>
      </c>
      <c r="E2704" t="s">
        <v>110</v>
      </c>
      <c r="F2704">
        <v>280954.38373797241</v>
      </c>
      <c r="G2704">
        <v>2028</v>
      </c>
      <c r="H2704">
        <v>7</v>
      </c>
      <c r="I2704">
        <v>1</v>
      </c>
    </row>
    <row r="2705" spans="1:9" x14ac:dyDescent="0.35">
      <c r="A2705" t="str">
        <f t="shared" si="42"/>
        <v>afrractivation_hoursS1202871</v>
      </c>
      <c r="C2705" t="s">
        <v>103</v>
      </c>
      <c r="D2705" t="s">
        <v>115</v>
      </c>
      <c r="E2705" t="s">
        <v>110</v>
      </c>
      <c r="F2705">
        <v>8760</v>
      </c>
      <c r="G2705">
        <v>2028</v>
      </c>
      <c r="H2705">
        <v>7</v>
      </c>
      <c r="I2705">
        <v>1</v>
      </c>
    </row>
    <row r="2706" spans="1:9" x14ac:dyDescent="0.35">
      <c r="A2706" t="str">
        <f t="shared" si="42"/>
        <v>networkturpe_power_costS1202971</v>
      </c>
      <c r="C2706" t="s">
        <v>96</v>
      </c>
      <c r="D2706" t="s">
        <v>97</v>
      </c>
      <c r="E2706" t="s">
        <v>110</v>
      </c>
      <c r="F2706">
        <v>8465.9374121574565</v>
      </c>
      <c r="G2706">
        <v>2029</v>
      </c>
      <c r="H2706">
        <v>7</v>
      </c>
      <c r="I2706">
        <v>1</v>
      </c>
    </row>
    <row r="2707" spans="1:9" x14ac:dyDescent="0.35">
      <c r="A2707" t="str">
        <f t="shared" si="42"/>
        <v>networkturpe_energy_costS1202971</v>
      </c>
      <c r="C2707" t="s">
        <v>96</v>
      </c>
      <c r="D2707" t="s">
        <v>98</v>
      </c>
      <c r="E2707" t="s">
        <v>110</v>
      </c>
      <c r="F2707">
        <v>321.45108220626861</v>
      </c>
      <c r="G2707">
        <v>2029</v>
      </c>
      <c r="H2707">
        <v>7</v>
      </c>
      <c r="I2707">
        <v>1</v>
      </c>
    </row>
    <row r="2708" spans="1:9" x14ac:dyDescent="0.35">
      <c r="A2708" t="str">
        <f t="shared" si="42"/>
        <v>DAcostS1202971</v>
      </c>
      <c r="C2708" t="s">
        <v>99</v>
      </c>
      <c r="D2708" t="s">
        <v>100</v>
      </c>
      <c r="E2708" t="s">
        <v>110</v>
      </c>
      <c r="F2708">
        <v>1585.678171106468</v>
      </c>
      <c r="G2708">
        <v>2029</v>
      </c>
      <c r="H2708">
        <v>7</v>
      </c>
      <c r="I2708">
        <v>1</v>
      </c>
    </row>
    <row r="2709" spans="1:9" x14ac:dyDescent="0.35">
      <c r="A2709" t="str">
        <f t="shared" si="42"/>
        <v>DAincomeS1202971</v>
      </c>
      <c r="C2709" t="s">
        <v>99</v>
      </c>
      <c r="D2709" t="s">
        <v>101</v>
      </c>
      <c r="E2709" t="s">
        <v>110</v>
      </c>
      <c r="F2709">
        <v>329.29065393973548</v>
      </c>
      <c r="G2709">
        <v>2029</v>
      </c>
      <c r="H2709">
        <v>7</v>
      </c>
      <c r="I2709">
        <v>1</v>
      </c>
    </row>
    <row r="2710" spans="1:9" x14ac:dyDescent="0.35">
      <c r="A2710" t="str">
        <f t="shared" si="42"/>
        <v>DAenergy_boughtS1202971</v>
      </c>
      <c r="C2710" t="s">
        <v>99</v>
      </c>
      <c r="D2710" t="s">
        <v>111</v>
      </c>
      <c r="E2710" t="s">
        <v>110</v>
      </c>
      <c r="F2710">
        <v>18.559177140245549</v>
      </c>
      <c r="G2710">
        <v>2029</v>
      </c>
      <c r="H2710">
        <v>7</v>
      </c>
      <c r="I2710">
        <v>1</v>
      </c>
    </row>
    <row r="2711" spans="1:9" x14ac:dyDescent="0.35">
      <c r="A2711" t="str">
        <f t="shared" si="42"/>
        <v>DAenergy_soldS1202971</v>
      </c>
      <c r="C2711" t="s">
        <v>99</v>
      </c>
      <c r="D2711" t="s">
        <v>112</v>
      </c>
      <c r="E2711" t="s">
        <v>110</v>
      </c>
      <c r="F2711">
        <v>2.5686994001749142</v>
      </c>
      <c r="G2711">
        <v>2029</v>
      </c>
      <c r="H2711">
        <v>7</v>
      </c>
      <c r="I2711">
        <v>1</v>
      </c>
    </row>
    <row r="2712" spans="1:9" x14ac:dyDescent="0.35">
      <c r="A2712" t="str">
        <f t="shared" si="42"/>
        <v>DAhours_boughtS1202971</v>
      </c>
      <c r="C2712" t="s">
        <v>99</v>
      </c>
      <c r="D2712" t="s">
        <v>113</v>
      </c>
      <c r="E2712" t="s">
        <v>110</v>
      </c>
      <c r="F2712">
        <v>6011</v>
      </c>
      <c r="G2712">
        <v>2029</v>
      </c>
      <c r="H2712">
        <v>7</v>
      </c>
      <c r="I2712">
        <v>1</v>
      </c>
    </row>
    <row r="2713" spans="1:9" x14ac:dyDescent="0.35">
      <c r="A2713" t="str">
        <f t="shared" si="42"/>
        <v>DAhours_soldS1202971</v>
      </c>
      <c r="C2713" t="s">
        <v>99</v>
      </c>
      <c r="D2713" t="s">
        <v>114</v>
      </c>
      <c r="E2713" t="s">
        <v>110</v>
      </c>
      <c r="F2713">
        <v>2</v>
      </c>
      <c r="G2713">
        <v>2029</v>
      </c>
      <c r="H2713">
        <v>7</v>
      </c>
      <c r="I2713">
        <v>1</v>
      </c>
    </row>
    <row r="2714" spans="1:9" x14ac:dyDescent="0.35">
      <c r="A2714" t="str">
        <f t="shared" si="42"/>
        <v>DAco2_emissionS1202971</v>
      </c>
      <c r="B2714" t="s">
        <v>95</v>
      </c>
      <c r="C2714" t="s">
        <v>99</v>
      </c>
      <c r="D2714" t="s">
        <v>204</v>
      </c>
      <c r="E2714" t="s">
        <v>110</v>
      </c>
      <c r="F2714">
        <v>1299.1423998173459</v>
      </c>
      <c r="G2714">
        <v>2029</v>
      </c>
      <c r="H2714">
        <v>7</v>
      </c>
      <c r="I2714">
        <v>1</v>
      </c>
    </row>
    <row r="2715" spans="1:9" x14ac:dyDescent="0.35">
      <c r="A2715" t="str">
        <f t="shared" si="42"/>
        <v>fcrincomeS1202971</v>
      </c>
      <c r="B2715" t="s">
        <v>95</v>
      </c>
      <c r="C2715" t="s">
        <v>102</v>
      </c>
      <c r="D2715" t="s">
        <v>101</v>
      </c>
      <c r="E2715" t="s">
        <v>110</v>
      </c>
      <c r="F2715">
        <v>0</v>
      </c>
      <c r="G2715">
        <v>2029</v>
      </c>
      <c r="H2715">
        <v>7</v>
      </c>
      <c r="I2715">
        <v>1</v>
      </c>
    </row>
    <row r="2716" spans="1:9" x14ac:dyDescent="0.35">
      <c r="A2716" t="str">
        <f t="shared" si="42"/>
        <v>fcractivation_hoursS1202971</v>
      </c>
      <c r="C2716" t="s">
        <v>102</v>
      </c>
      <c r="D2716" t="s">
        <v>115</v>
      </c>
      <c r="E2716" t="s">
        <v>110</v>
      </c>
      <c r="F2716">
        <v>0</v>
      </c>
      <c r="G2716">
        <v>2029</v>
      </c>
      <c r="H2716">
        <v>7</v>
      </c>
      <c r="I2716">
        <v>1</v>
      </c>
    </row>
    <row r="2717" spans="1:9" x14ac:dyDescent="0.35">
      <c r="A2717" t="str">
        <f t="shared" si="42"/>
        <v>afrrincomeS1202971</v>
      </c>
      <c r="C2717" t="s">
        <v>103</v>
      </c>
      <c r="D2717" t="s">
        <v>101</v>
      </c>
      <c r="E2717" t="s">
        <v>110</v>
      </c>
      <c r="F2717">
        <v>290494.62687160837</v>
      </c>
      <c r="G2717">
        <v>2029</v>
      </c>
      <c r="H2717">
        <v>7</v>
      </c>
      <c r="I2717">
        <v>1</v>
      </c>
    </row>
    <row r="2718" spans="1:9" x14ac:dyDescent="0.35">
      <c r="A2718" t="str">
        <f t="shared" si="42"/>
        <v>afrractivation_hoursS1202971</v>
      </c>
      <c r="C2718" t="s">
        <v>103</v>
      </c>
      <c r="D2718" t="s">
        <v>115</v>
      </c>
      <c r="E2718" t="s">
        <v>110</v>
      </c>
      <c r="F2718">
        <v>8758</v>
      </c>
      <c r="G2718">
        <v>2029</v>
      </c>
      <c r="H2718">
        <v>7</v>
      </c>
      <c r="I2718">
        <v>1</v>
      </c>
    </row>
    <row r="2719" spans="1:9" x14ac:dyDescent="0.35">
      <c r="A2719" t="str">
        <f t="shared" si="42"/>
        <v>networkturpe_power_costS1203071</v>
      </c>
      <c r="C2719" t="s">
        <v>96</v>
      </c>
      <c r="D2719" t="s">
        <v>97</v>
      </c>
      <c r="E2719" t="s">
        <v>110</v>
      </c>
      <c r="F2719">
        <v>8263.5528969732059</v>
      </c>
      <c r="G2719">
        <v>2030</v>
      </c>
      <c r="H2719">
        <v>7</v>
      </c>
      <c r="I2719">
        <v>1</v>
      </c>
    </row>
    <row r="2720" spans="1:9" x14ac:dyDescent="0.35">
      <c r="A2720" t="str">
        <f t="shared" si="42"/>
        <v>networkturpe_energy_costS1203071</v>
      </c>
      <c r="C2720" t="s">
        <v>96</v>
      </c>
      <c r="D2720" t="s">
        <v>98</v>
      </c>
      <c r="E2720" t="s">
        <v>110</v>
      </c>
      <c r="F2720">
        <v>957.14174092801068</v>
      </c>
      <c r="G2720">
        <v>2030</v>
      </c>
      <c r="H2720">
        <v>7</v>
      </c>
      <c r="I2720">
        <v>1</v>
      </c>
    </row>
    <row r="2721" spans="1:9" x14ac:dyDescent="0.35">
      <c r="A2721" t="str">
        <f t="shared" si="42"/>
        <v>DAcostS1203071</v>
      </c>
      <c r="C2721" t="s">
        <v>99</v>
      </c>
      <c r="D2721" t="s">
        <v>100</v>
      </c>
      <c r="E2721" t="s">
        <v>110</v>
      </c>
      <c r="F2721">
        <v>3812.246355554355</v>
      </c>
      <c r="G2721">
        <v>2030</v>
      </c>
      <c r="H2721">
        <v>7</v>
      </c>
      <c r="I2721">
        <v>1</v>
      </c>
    </row>
    <row r="2722" spans="1:9" x14ac:dyDescent="0.35">
      <c r="A2722" t="str">
        <f t="shared" si="42"/>
        <v>DAincomeS1203071</v>
      </c>
      <c r="C2722" t="s">
        <v>99</v>
      </c>
      <c r="D2722" t="s">
        <v>101</v>
      </c>
      <c r="E2722" t="s">
        <v>110</v>
      </c>
      <c r="F2722">
        <v>5133.3231109528097</v>
      </c>
      <c r="G2722">
        <v>2030</v>
      </c>
      <c r="H2722">
        <v>7</v>
      </c>
      <c r="I2722">
        <v>1</v>
      </c>
    </row>
    <row r="2723" spans="1:9" x14ac:dyDescent="0.35">
      <c r="A2723" t="str">
        <f t="shared" si="42"/>
        <v>DAenergy_boughtS1203071</v>
      </c>
      <c r="C2723" t="s">
        <v>99</v>
      </c>
      <c r="D2723" t="s">
        <v>111</v>
      </c>
      <c r="E2723" t="s">
        <v>110</v>
      </c>
      <c r="F2723">
        <v>67.14838876282758</v>
      </c>
      <c r="G2723">
        <v>2030</v>
      </c>
      <c r="H2723">
        <v>7</v>
      </c>
      <c r="I2723">
        <v>1</v>
      </c>
    </row>
    <row r="2724" spans="1:9" x14ac:dyDescent="0.35">
      <c r="A2724" t="str">
        <f t="shared" si="42"/>
        <v>DAenergy_soldS1203071</v>
      </c>
      <c r="C2724" t="s">
        <v>99</v>
      </c>
      <c r="D2724" t="s">
        <v>112</v>
      </c>
      <c r="E2724" t="s">
        <v>110</v>
      </c>
      <c r="F2724">
        <v>42.239453905397312</v>
      </c>
      <c r="G2724">
        <v>2030</v>
      </c>
      <c r="H2724">
        <v>7</v>
      </c>
      <c r="I2724">
        <v>1</v>
      </c>
    </row>
    <row r="2725" spans="1:9" x14ac:dyDescent="0.35">
      <c r="A2725" t="str">
        <f t="shared" si="42"/>
        <v>DAhours_boughtS1203071</v>
      </c>
      <c r="C2725" t="s">
        <v>99</v>
      </c>
      <c r="D2725" t="s">
        <v>113</v>
      </c>
      <c r="E2725" t="s">
        <v>110</v>
      </c>
      <c r="F2725">
        <v>4076</v>
      </c>
      <c r="G2725">
        <v>2030</v>
      </c>
      <c r="H2725">
        <v>7</v>
      </c>
      <c r="I2725">
        <v>1</v>
      </c>
    </row>
    <row r="2726" spans="1:9" x14ac:dyDescent="0.35">
      <c r="A2726" t="str">
        <f t="shared" si="42"/>
        <v>DAhours_soldS1203071</v>
      </c>
      <c r="B2726" t="s">
        <v>95</v>
      </c>
      <c r="C2726" t="s">
        <v>99</v>
      </c>
      <c r="D2726" t="s">
        <v>114</v>
      </c>
      <c r="E2726" t="s">
        <v>110</v>
      </c>
      <c r="F2726">
        <v>37</v>
      </c>
      <c r="G2726">
        <v>2030</v>
      </c>
      <c r="H2726">
        <v>7</v>
      </c>
      <c r="I2726">
        <v>1</v>
      </c>
    </row>
    <row r="2727" spans="1:9" x14ac:dyDescent="0.35">
      <c r="A2727" t="str">
        <f t="shared" si="42"/>
        <v>DAco2_emissionS1203071</v>
      </c>
      <c r="B2727" t="s">
        <v>95</v>
      </c>
      <c r="C2727" t="s">
        <v>99</v>
      </c>
      <c r="D2727" t="s">
        <v>204</v>
      </c>
      <c r="E2727" t="s">
        <v>110</v>
      </c>
      <c r="F2727">
        <v>4700.387213397953</v>
      </c>
      <c r="G2727">
        <v>2030</v>
      </c>
      <c r="H2727">
        <v>7</v>
      </c>
      <c r="I2727">
        <v>1</v>
      </c>
    </row>
    <row r="2728" spans="1:9" x14ac:dyDescent="0.35">
      <c r="A2728" t="str">
        <f t="shared" si="42"/>
        <v>fcrincomeS1203071</v>
      </c>
      <c r="C2728" t="s">
        <v>102</v>
      </c>
      <c r="D2728" t="s">
        <v>101</v>
      </c>
      <c r="E2728" t="s">
        <v>110</v>
      </c>
      <c r="F2728">
        <v>6.2914922595779993E-2</v>
      </c>
      <c r="G2728">
        <v>2030</v>
      </c>
      <c r="H2728">
        <v>7</v>
      </c>
      <c r="I2728">
        <v>1</v>
      </c>
    </row>
    <row r="2729" spans="1:9" x14ac:dyDescent="0.35">
      <c r="A2729" t="str">
        <f t="shared" si="42"/>
        <v>fcractivation_hoursS1203071</v>
      </c>
      <c r="C2729" t="s">
        <v>102</v>
      </c>
      <c r="D2729" t="s">
        <v>115</v>
      </c>
      <c r="E2729" t="s">
        <v>110</v>
      </c>
      <c r="F2729">
        <v>4</v>
      </c>
      <c r="G2729">
        <v>2030</v>
      </c>
      <c r="H2729">
        <v>7</v>
      </c>
      <c r="I2729">
        <v>1</v>
      </c>
    </row>
    <row r="2730" spans="1:9" x14ac:dyDescent="0.35">
      <c r="A2730" t="str">
        <f t="shared" si="42"/>
        <v>afrrincomeS1203071</v>
      </c>
      <c r="C2730" t="s">
        <v>103</v>
      </c>
      <c r="D2730" t="s">
        <v>101</v>
      </c>
      <c r="E2730" t="s">
        <v>110</v>
      </c>
      <c r="F2730">
        <v>172105.5791211231</v>
      </c>
      <c r="G2730">
        <v>2030</v>
      </c>
      <c r="H2730">
        <v>7</v>
      </c>
      <c r="I2730">
        <v>1</v>
      </c>
    </row>
    <row r="2731" spans="1:9" x14ac:dyDescent="0.35">
      <c r="A2731" t="str">
        <f t="shared" si="42"/>
        <v>afrractivation_hoursS1203071</v>
      </c>
      <c r="C2731" t="s">
        <v>103</v>
      </c>
      <c r="D2731" t="s">
        <v>115</v>
      </c>
      <c r="E2731" t="s">
        <v>110</v>
      </c>
      <c r="F2731">
        <v>8724</v>
      </c>
      <c r="G2731">
        <v>2030</v>
      </c>
      <c r="H2731">
        <v>7</v>
      </c>
      <c r="I2731">
        <v>1</v>
      </c>
    </row>
    <row r="2732" spans="1:9" x14ac:dyDescent="0.35">
      <c r="A2732" t="str">
        <f t="shared" si="42"/>
        <v>networkturpe_power_costS1203171</v>
      </c>
      <c r="C2732" t="s">
        <v>96</v>
      </c>
      <c r="D2732" t="s">
        <v>97</v>
      </c>
      <c r="E2732" t="s">
        <v>110</v>
      </c>
      <c r="F2732">
        <v>8058.3922122904796</v>
      </c>
      <c r="G2732">
        <v>2031</v>
      </c>
      <c r="H2732">
        <v>7</v>
      </c>
      <c r="I2732">
        <v>1</v>
      </c>
    </row>
    <row r="2733" spans="1:9" x14ac:dyDescent="0.35">
      <c r="A2733" t="str">
        <f t="shared" si="42"/>
        <v>networkturpe_energy_costS1203171</v>
      </c>
      <c r="C2733" t="s">
        <v>96</v>
      </c>
      <c r="D2733" t="s">
        <v>98</v>
      </c>
      <c r="E2733" t="s">
        <v>110</v>
      </c>
      <c r="F2733">
        <v>1389.801185415248</v>
      </c>
      <c r="G2733">
        <v>2031</v>
      </c>
      <c r="H2733">
        <v>7</v>
      </c>
      <c r="I2733">
        <v>1</v>
      </c>
    </row>
    <row r="2734" spans="1:9" x14ac:dyDescent="0.35">
      <c r="A2734" t="str">
        <f t="shared" si="42"/>
        <v>DAcostS1203171</v>
      </c>
      <c r="C2734" t="s">
        <v>99</v>
      </c>
      <c r="D2734" t="s">
        <v>100</v>
      </c>
      <c r="E2734" t="s">
        <v>110</v>
      </c>
      <c r="F2734">
        <v>4195.6863103447222</v>
      </c>
      <c r="G2734">
        <v>2031</v>
      </c>
      <c r="H2734">
        <v>7</v>
      </c>
      <c r="I2734">
        <v>1</v>
      </c>
    </row>
    <row r="2735" spans="1:9" x14ac:dyDescent="0.35">
      <c r="A2735" t="str">
        <f t="shared" si="42"/>
        <v>DAincomeS1203171</v>
      </c>
      <c r="C2735" t="s">
        <v>99</v>
      </c>
      <c r="D2735" t="s">
        <v>101</v>
      </c>
      <c r="E2735" t="s">
        <v>110</v>
      </c>
      <c r="F2735">
        <v>7364.1973886889182</v>
      </c>
      <c r="G2735">
        <v>2031</v>
      </c>
      <c r="H2735">
        <v>7</v>
      </c>
      <c r="I2735">
        <v>1</v>
      </c>
    </row>
    <row r="2736" spans="1:9" x14ac:dyDescent="0.35">
      <c r="A2736" t="str">
        <f t="shared" si="42"/>
        <v>DAenergy_boughtS1203171</v>
      </c>
      <c r="C2736" t="s">
        <v>99</v>
      </c>
      <c r="D2736" t="s">
        <v>111</v>
      </c>
      <c r="E2736" t="s">
        <v>110</v>
      </c>
      <c r="F2736">
        <v>97.732675626872464</v>
      </c>
      <c r="G2736">
        <v>2031</v>
      </c>
      <c r="H2736">
        <v>7</v>
      </c>
      <c r="I2736">
        <v>1</v>
      </c>
    </row>
    <row r="2737" spans="1:9" x14ac:dyDescent="0.35">
      <c r="A2737" t="str">
        <f t="shared" si="42"/>
        <v>DAenergy_soldS1203171</v>
      </c>
      <c r="C2737" t="s">
        <v>99</v>
      </c>
      <c r="D2737" t="s">
        <v>112</v>
      </c>
      <c r="E2737" t="s">
        <v>110</v>
      </c>
      <c r="F2737">
        <v>67.333526010754326</v>
      </c>
      <c r="G2737">
        <v>2031</v>
      </c>
      <c r="H2737">
        <v>7</v>
      </c>
      <c r="I2737">
        <v>1</v>
      </c>
    </row>
    <row r="2738" spans="1:9" x14ac:dyDescent="0.35">
      <c r="A2738" t="str">
        <f t="shared" si="42"/>
        <v>DAhours_boughtS1203171</v>
      </c>
      <c r="B2738" t="s">
        <v>95</v>
      </c>
      <c r="C2738" t="s">
        <v>99</v>
      </c>
      <c r="D2738" t="s">
        <v>113</v>
      </c>
      <c r="E2738" t="s">
        <v>110</v>
      </c>
      <c r="F2738">
        <v>4154</v>
      </c>
      <c r="G2738">
        <v>2031</v>
      </c>
      <c r="H2738">
        <v>7</v>
      </c>
      <c r="I2738">
        <v>1</v>
      </c>
    </row>
    <row r="2739" spans="1:9" x14ac:dyDescent="0.35">
      <c r="A2739" t="str">
        <f t="shared" si="42"/>
        <v>DAhours_soldS1203171</v>
      </c>
      <c r="B2739" t="s">
        <v>95</v>
      </c>
      <c r="C2739" t="s">
        <v>99</v>
      </c>
      <c r="D2739" t="s">
        <v>114</v>
      </c>
      <c r="E2739" t="s">
        <v>110</v>
      </c>
      <c r="F2739">
        <v>69</v>
      </c>
      <c r="G2739">
        <v>2031</v>
      </c>
      <c r="H2739">
        <v>7</v>
      </c>
      <c r="I2739">
        <v>1</v>
      </c>
    </row>
    <row r="2740" spans="1:9" x14ac:dyDescent="0.35">
      <c r="A2740" t="str">
        <f t="shared" si="42"/>
        <v>DAco2_emissionS1203171</v>
      </c>
      <c r="C2740" t="s">
        <v>99</v>
      </c>
      <c r="D2740" t="s">
        <v>204</v>
      </c>
      <c r="E2740" t="s">
        <v>110</v>
      </c>
      <c r="F2740">
        <v>6841.2872938810324</v>
      </c>
      <c r="G2740">
        <v>2031</v>
      </c>
      <c r="H2740">
        <v>7</v>
      </c>
      <c r="I2740">
        <v>1</v>
      </c>
    </row>
    <row r="2741" spans="1:9" x14ac:dyDescent="0.35">
      <c r="A2741" t="str">
        <f t="shared" si="42"/>
        <v>fcrincomeS1203171</v>
      </c>
      <c r="C2741" t="s">
        <v>102</v>
      </c>
      <c r="D2741" t="s">
        <v>101</v>
      </c>
      <c r="E2741" t="s">
        <v>110</v>
      </c>
      <c r="F2741">
        <v>2.303746848070885E-2</v>
      </c>
      <c r="G2741">
        <v>2031</v>
      </c>
      <c r="H2741">
        <v>7</v>
      </c>
      <c r="I2741">
        <v>1</v>
      </c>
    </row>
    <row r="2742" spans="1:9" x14ac:dyDescent="0.35">
      <c r="A2742" t="str">
        <f t="shared" si="42"/>
        <v>fcractivation_hoursS1203171</v>
      </c>
      <c r="C2742" t="s">
        <v>102</v>
      </c>
      <c r="D2742" t="s">
        <v>115</v>
      </c>
      <c r="E2742" t="s">
        <v>110</v>
      </c>
      <c r="F2742">
        <v>4</v>
      </c>
      <c r="G2742">
        <v>2031</v>
      </c>
      <c r="H2742">
        <v>7</v>
      </c>
      <c r="I2742">
        <v>1</v>
      </c>
    </row>
    <row r="2743" spans="1:9" x14ac:dyDescent="0.35">
      <c r="A2743" t="str">
        <f t="shared" si="42"/>
        <v>afrrincomeS1203171</v>
      </c>
      <c r="C2743" t="s">
        <v>103</v>
      </c>
      <c r="D2743" t="s">
        <v>101</v>
      </c>
      <c r="E2743" t="s">
        <v>110</v>
      </c>
      <c r="F2743">
        <v>168309.17492592911</v>
      </c>
      <c r="G2743">
        <v>2031</v>
      </c>
      <c r="H2743">
        <v>7</v>
      </c>
      <c r="I2743">
        <v>1</v>
      </c>
    </row>
    <row r="2744" spans="1:9" x14ac:dyDescent="0.35">
      <c r="A2744" t="str">
        <f t="shared" si="42"/>
        <v>afrractivation_hoursS1203171</v>
      </c>
      <c r="C2744" t="s">
        <v>103</v>
      </c>
      <c r="D2744" t="s">
        <v>115</v>
      </c>
      <c r="E2744" t="s">
        <v>110</v>
      </c>
      <c r="F2744">
        <v>8700</v>
      </c>
      <c r="G2744">
        <v>2031</v>
      </c>
      <c r="H2744">
        <v>7</v>
      </c>
      <c r="I2744">
        <v>1</v>
      </c>
    </row>
    <row r="2745" spans="1:9" x14ac:dyDescent="0.35">
      <c r="A2745" t="str">
        <f t="shared" si="42"/>
        <v>networkturpe_power_costS1203271</v>
      </c>
      <c r="C2745" t="s">
        <v>96</v>
      </c>
      <c r="D2745" t="s">
        <v>97</v>
      </c>
      <c r="E2745" t="s">
        <v>110</v>
      </c>
      <c r="F2745">
        <v>7867.0067996231037</v>
      </c>
      <c r="G2745">
        <v>2032</v>
      </c>
      <c r="H2745">
        <v>7</v>
      </c>
      <c r="I2745">
        <v>1</v>
      </c>
    </row>
    <row r="2746" spans="1:9" x14ac:dyDescent="0.35">
      <c r="A2746" t="str">
        <f t="shared" si="42"/>
        <v>networkturpe_energy_costS1203271</v>
      </c>
      <c r="C2746" t="s">
        <v>96</v>
      </c>
      <c r="D2746" t="s">
        <v>98</v>
      </c>
      <c r="E2746" t="s">
        <v>110</v>
      </c>
      <c r="F2746">
        <v>2168.1311734087139</v>
      </c>
      <c r="G2746">
        <v>2032</v>
      </c>
      <c r="H2746">
        <v>7</v>
      </c>
      <c r="I2746">
        <v>1</v>
      </c>
    </row>
    <row r="2747" spans="1:9" x14ac:dyDescent="0.35">
      <c r="A2747" t="str">
        <f t="shared" si="42"/>
        <v>DAcostS1203271</v>
      </c>
      <c r="C2747" t="s">
        <v>99</v>
      </c>
      <c r="D2747" t="s">
        <v>100</v>
      </c>
      <c r="E2747" t="s">
        <v>110</v>
      </c>
      <c r="F2747">
        <v>7390.7026529369132</v>
      </c>
      <c r="G2747">
        <v>2032</v>
      </c>
      <c r="H2747">
        <v>7</v>
      </c>
      <c r="I2747">
        <v>1</v>
      </c>
    </row>
    <row r="2748" spans="1:9" x14ac:dyDescent="0.35">
      <c r="A2748" t="str">
        <f t="shared" si="42"/>
        <v>DAincomeS1203271</v>
      </c>
      <c r="C2748" t="s">
        <v>99</v>
      </c>
      <c r="D2748" t="s">
        <v>101</v>
      </c>
      <c r="E2748" t="s">
        <v>110</v>
      </c>
      <c r="F2748">
        <v>13782.8728054812</v>
      </c>
      <c r="G2748">
        <v>2032</v>
      </c>
      <c r="H2748">
        <v>7</v>
      </c>
      <c r="I2748">
        <v>1</v>
      </c>
    </row>
    <row r="2749" spans="1:9" x14ac:dyDescent="0.35">
      <c r="A2749" t="str">
        <f t="shared" si="42"/>
        <v>DAenergy_boughtS1203271</v>
      </c>
      <c r="C2749" t="s">
        <v>99</v>
      </c>
      <c r="D2749" t="s">
        <v>111</v>
      </c>
      <c r="E2749" t="s">
        <v>110</v>
      </c>
      <c r="F2749">
        <v>168.00992514052541</v>
      </c>
      <c r="G2749">
        <v>2032</v>
      </c>
      <c r="H2749">
        <v>7</v>
      </c>
      <c r="I2749">
        <v>1</v>
      </c>
    </row>
    <row r="2750" spans="1:9" x14ac:dyDescent="0.35">
      <c r="A2750" t="str">
        <f t="shared" si="42"/>
        <v>DAenergy_soldS1203271</v>
      </c>
      <c r="B2750" t="s">
        <v>95</v>
      </c>
      <c r="C2750" t="s">
        <v>99</v>
      </c>
      <c r="D2750" t="s">
        <v>112</v>
      </c>
      <c r="E2750" t="s">
        <v>110</v>
      </c>
      <c r="F2750">
        <v>124.58866256376891</v>
      </c>
      <c r="G2750">
        <v>2032</v>
      </c>
      <c r="H2750">
        <v>7</v>
      </c>
      <c r="I2750">
        <v>1</v>
      </c>
    </row>
    <row r="2751" spans="1:9" x14ac:dyDescent="0.35">
      <c r="A2751" t="str">
        <f t="shared" si="42"/>
        <v>DAhours_boughtS1203271</v>
      </c>
      <c r="B2751" t="s">
        <v>95</v>
      </c>
      <c r="C2751" t="s">
        <v>99</v>
      </c>
      <c r="D2751" t="s">
        <v>113</v>
      </c>
      <c r="E2751" t="s">
        <v>110</v>
      </c>
      <c r="F2751">
        <v>4024</v>
      </c>
      <c r="G2751">
        <v>2032</v>
      </c>
      <c r="H2751">
        <v>7</v>
      </c>
      <c r="I2751">
        <v>1</v>
      </c>
    </row>
    <row r="2752" spans="1:9" x14ac:dyDescent="0.35">
      <c r="A2752" t="str">
        <f t="shared" si="42"/>
        <v>DAhours_soldS1203271</v>
      </c>
      <c r="C2752" t="s">
        <v>99</v>
      </c>
      <c r="D2752" t="s">
        <v>114</v>
      </c>
      <c r="E2752" t="s">
        <v>110</v>
      </c>
      <c r="F2752">
        <v>95</v>
      </c>
      <c r="G2752">
        <v>2032</v>
      </c>
      <c r="H2752">
        <v>7</v>
      </c>
      <c r="I2752">
        <v>1</v>
      </c>
    </row>
    <row r="2753" spans="1:9" x14ac:dyDescent="0.35">
      <c r="A2753" t="str">
        <f t="shared" si="42"/>
        <v>DAco2_emissionS1203271</v>
      </c>
      <c r="C2753" t="s">
        <v>99</v>
      </c>
      <c r="D2753" t="s">
        <v>204</v>
      </c>
      <c r="E2753" t="s">
        <v>110</v>
      </c>
      <c r="F2753">
        <v>11760.694759836369</v>
      </c>
      <c r="G2753">
        <v>2032</v>
      </c>
      <c r="H2753">
        <v>7</v>
      </c>
      <c r="I2753">
        <v>1</v>
      </c>
    </row>
    <row r="2754" spans="1:9" x14ac:dyDescent="0.35">
      <c r="A2754" t="str">
        <f t="shared" si="42"/>
        <v>fcrincomeS1203271</v>
      </c>
      <c r="C2754" t="s">
        <v>102</v>
      </c>
      <c r="D2754" t="s">
        <v>101</v>
      </c>
      <c r="E2754" t="s">
        <v>110</v>
      </c>
      <c r="F2754">
        <v>0.2450723852593765</v>
      </c>
      <c r="G2754">
        <v>2032</v>
      </c>
      <c r="H2754">
        <v>7</v>
      </c>
      <c r="I2754">
        <v>1</v>
      </c>
    </row>
    <row r="2755" spans="1:9" x14ac:dyDescent="0.35">
      <c r="A2755" t="str">
        <f t="shared" ref="A2755:A2818" si="43">C2755&amp;D2755&amp;E2755&amp;G2755&amp;H2755&amp;I2755</f>
        <v>fcractivation_hoursS1203271</v>
      </c>
      <c r="C2755" t="s">
        <v>102</v>
      </c>
      <c r="D2755" t="s">
        <v>115</v>
      </c>
      <c r="E2755" t="s">
        <v>110</v>
      </c>
      <c r="F2755">
        <v>20</v>
      </c>
      <c r="G2755">
        <v>2032</v>
      </c>
      <c r="H2755">
        <v>7</v>
      </c>
      <c r="I2755">
        <v>1</v>
      </c>
    </row>
    <row r="2756" spans="1:9" x14ac:dyDescent="0.35">
      <c r="A2756" t="str">
        <f t="shared" si="43"/>
        <v>afrrincomeS1203271</v>
      </c>
      <c r="C2756" t="s">
        <v>103</v>
      </c>
      <c r="D2756" t="s">
        <v>101</v>
      </c>
      <c r="E2756" t="s">
        <v>110</v>
      </c>
      <c r="F2756">
        <v>161779.2163654592</v>
      </c>
      <c r="G2756">
        <v>2032</v>
      </c>
      <c r="H2756">
        <v>7</v>
      </c>
      <c r="I2756">
        <v>1</v>
      </c>
    </row>
    <row r="2757" spans="1:9" x14ac:dyDescent="0.35">
      <c r="A2757" t="str">
        <f t="shared" si="43"/>
        <v>afrractivation_hoursS1203271</v>
      </c>
      <c r="C2757" t="s">
        <v>103</v>
      </c>
      <c r="D2757" t="s">
        <v>115</v>
      </c>
      <c r="E2757" t="s">
        <v>110</v>
      </c>
      <c r="F2757">
        <v>8626</v>
      </c>
      <c r="G2757">
        <v>2032</v>
      </c>
      <c r="H2757">
        <v>7</v>
      </c>
      <c r="I2757">
        <v>1</v>
      </c>
    </row>
    <row r="2758" spans="1:9" x14ac:dyDescent="0.35">
      <c r="A2758" t="str">
        <f t="shared" si="43"/>
        <v>networkturpe_power_costS1203371</v>
      </c>
      <c r="C2758" t="s">
        <v>96</v>
      </c>
      <c r="D2758" t="s">
        <v>97</v>
      </c>
      <c r="E2758" t="s">
        <v>110</v>
      </c>
      <c r="F2758">
        <v>7663.2748933361108</v>
      </c>
      <c r="G2758">
        <v>2033</v>
      </c>
      <c r="H2758">
        <v>7</v>
      </c>
      <c r="I2758">
        <v>1</v>
      </c>
    </row>
    <row r="2759" spans="1:9" x14ac:dyDescent="0.35">
      <c r="A2759" t="str">
        <f t="shared" si="43"/>
        <v>networkturpe_energy_costS1203371</v>
      </c>
      <c r="C2759" t="s">
        <v>96</v>
      </c>
      <c r="D2759" t="s">
        <v>98</v>
      </c>
      <c r="E2759" t="s">
        <v>110</v>
      </c>
      <c r="F2759">
        <v>1527.2985905192079</v>
      </c>
      <c r="G2759">
        <v>2033</v>
      </c>
      <c r="H2759">
        <v>7</v>
      </c>
      <c r="I2759">
        <v>1</v>
      </c>
    </row>
    <row r="2760" spans="1:9" x14ac:dyDescent="0.35">
      <c r="A2760" t="str">
        <f t="shared" si="43"/>
        <v>DAcostS1203371</v>
      </c>
      <c r="C2760" t="s">
        <v>99</v>
      </c>
      <c r="D2760" t="s">
        <v>100</v>
      </c>
      <c r="E2760" t="s">
        <v>110</v>
      </c>
      <c r="F2760">
        <v>5179.4482370563383</v>
      </c>
      <c r="G2760">
        <v>2033</v>
      </c>
      <c r="H2760">
        <v>7</v>
      </c>
      <c r="I2760">
        <v>1</v>
      </c>
    </row>
    <row r="2761" spans="1:9" x14ac:dyDescent="0.35">
      <c r="A2761" t="str">
        <f t="shared" si="43"/>
        <v>DAincomeS1203371</v>
      </c>
      <c r="C2761" t="s">
        <v>99</v>
      </c>
      <c r="D2761" t="s">
        <v>101</v>
      </c>
      <c r="E2761" t="s">
        <v>110</v>
      </c>
      <c r="F2761">
        <v>9417.2796338197768</v>
      </c>
      <c r="G2761">
        <v>2033</v>
      </c>
      <c r="H2761">
        <v>7</v>
      </c>
      <c r="I2761">
        <v>1</v>
      </c>
    </row>
    <row r="2762" spans="1:9" x14ac:dyDescent="0.35">
      <c r="A2762" t="str">
        <f t="shared" si="43"/>
        <v>DAenergy_boughtS1203371</v>
      </c>
      <c r="B2762" t="s">
        <v>95</v>
      </c>
      <c r="C2762" t="s">
        <v>99</v>
      </c>
      <c r="D2762" t="s">
        <v>111</v>
      </c>
      <c r="E2762" t="s">
        <v>110</v>
      </c>
      <c r="F2762">
        <v>120.55063772209159</v>
      </c>
      <c r="G2762">
        <v>2033</v>
      </c>
      <c r="H2762">
        <v>7</v>
      </c>
      <c r="I2762">
        <v>1</v>
      </c>
    </row>
    <row r="2763" spans="1:9" x14ac:dyDescent="0.35">
      <c r="A2763" t="str">
        <f t="shared" si="43"/>
        <v>DAenergy_soldS1203371</v>
      </c>
      <c r="B2763" t="s">
        <v>95</v>
      </c>
      <c r="C2763" t="s">
        <v>99</v>
      </c>
      <c r="D2763" t="s">
        <v>112</v>
      </c>
      <c r="E2763" t="s">
        <v>110</v>
      </c>
      <c r="F2763">
        <v>86.456506651502508</v>
      </c>
      <c r="G2763">
        <v>2033</v>
      </c>
      <c r="H2763">
        <v>7</v>
      </c>
      <c r="I2763">
        <v>1</v>
      </c>
    </row>
    <row r="2764" spans="1:9" x14ac:dyDescent="0.35">
      <c r="A2764" t="str">
        <f t="shared" si="43"/>
        <v>DAhours_boughtS1203371</v>
      </c>
      <c r="C2764" t="s">
        <v>99</v>
      </c>
      <c r="D2764" t="s">
        <v>113</v>
      </c>
      <c r="E2764" t="s">
        <v>110</v>
      </c>
      <c r="F2764">
        <v>4215</v>
      </c>
      <c r="G2764">
        <v>2033</v>
      </c>
      <c r="H2764">
        <v>7</v>
      </c>
      <c r="I2764">
        <v>1</v>
      </c>
    </row>
    <row r="2765" spans="1:9" x14ac:dyDescent="0.35">
      <c r="A2765" t="str">
        <f t="shared" si="43"/>
        <v>DAhours_soldS1203371</v>
      </c>
      <c r="C2765" t="s">
        <v>99</v>
      </c>
      <c r="D2765" t="s">
        <v>114</v>
      </c>
      <c r="E2765" t="s">
        <v>110</v>
      </c>
      <c r="F2765">
        <v>76</v>
      </c>
      <c r="G2765">
        <v>2033</v>
      </c>
      <c r="H2765">
        <v>7</v>
      </c>
      <c r="I2765">
        <v>1</v>
      </c>
    </row>
    <row r="2766" spans="1:9" x14ac:dyDescent="0.35">
      <c r="A2766" t="str">
        <f t="shared" si="43"/>
        <v>DAco2_emissionS1203371</v>
      </c>
      <c r="C2766" t="s">
        <v>99</v>
      </c>
      <c r="D2766" t="s">
        <v>204</v>
      </c>
      <c r="E2766" t="s">
        <v>110</v>
      </c>
      <c r="F2766">
        <v>8438.5446405470429</v>
      </c>
      <c r="G2766">
        <v>2033</v>
      </c>
      <c r="H2766">
        <v>7</v>
      </c>
      <c r="I2766">
        <v>1</v>
      </c>
    </row>
    <row r="2767" spans="1:9" x14ac:dyDescent="0.35">
      <c r="A2767" t="str">
        <f t="shared" si="43"/>
        <v>fcrincomeS1203371</v>
      </c>
      <c r="C2767" t="s">
        <v>102</v>
      </c>
      <c r="D2767" t="s">
        <v>101</v>
      </c>
      <c r="E2767" t="s">
        <v>110</v>
      </c>
      <c r="F2767">
        <v>5.9863840558481873E-2</v>
      </c>
      <c r="G2767">
        <v>2033</v>
      </c>
      <c r="H2767">
        <v>7</v>
      </c>
      <c r="I2767">
        <v>1</v>
      </c>
    </row>
    <row r="2768" spans="1:9" x14ac:dyDescent="0.35">
      <c r="A2768" t="str">
        <f t="shared" si="43"/>
        <v>fcractivation_hoursS1203371</v>
      </c>
      <c r="C2768" t="s">
        <v>102</v>
      </c>
      <c r="D2768" t="s">
        <v>115</v>
      </c>
      <c r="E2768" t="s">
        <v>110</v>
      </c>
      <c r="F2768">
        <v>8</v>
      </c>
      <c r="G2768">
        <v>2033</v>
      </c>
      <c r="H2768">
        <v>7</v>
      </c>
      <c r="I2768">
        <v>1</v>
      </c>
    </row>
    <row r="2769" spans="1:9" x14ac:dyDescent="0.35">
      <c r="A2769" t="str">
        <f t="shared" si="43"/>
        <v>afrrincomeS1203371</v>
      </c>
      <c r="C2769" t="s">
        <v>103</v>
      </c>
      <c r="D2769" t="s">
        <v>101</v>
      </c>
      <c r="E2769" t="s">
        <v>110</v>
      </c>
      <c r="F2769">
        <v>163117.49977815399</v>
      </c>
      <c r="G2769">
        <v>2033</v>
      </c>
      <c r="H2769">
        <v>7</v>
      </c>
      <c r="I2769">
        <v>1</v>
      </c>
    </row>
    <row r="2770" spans="1:9" x14ac:dyDescent="0.35">
      <c r="A2770" t="str">
        <f t="shared" si="43"/>
        <v>afrractivation_hoursS1203371</v>
      </c>
      <c r="C2770" t="s">
        <v>103</v>
      </c>
      <c r="D2770" t="s">
        <v>115</v>
      </c>
      <c r="E2770" t="s">
        <v>110</v>
      </c>
      <c r="F2770">
        <v>8648</v>
      </c>
      <c r="G2770">
        <v>2033</v>
      </c>
      <c r="H2770">
        <v>7</v>
      </c>
      <c r="I2770">
        <v>1</v>
      </c>
    </row>
    <row r="2771" spans="1:9" x14ac:dyDescent="0.35">
      <c r="A2771" t="str">
        <f t="shared" si="43"/>
        <v>networkturpe_power_costS1203471</v>
      </c>
      <c r="C2771" t="s">
        <v>96</v>
      </c>
      <c r="D2771" t="s">
        <v>97</v>
      </c>
      <c r="E2771" t="s">
        <v>110</v>
      </c>
      <c r="F2771">
        <v>7469.024484638222</v>
      </c>
      <c r="G2771">
        <v>2034</v>
      </c>
      <c r="H2771">
        <v>7</v>
      </c>
      <c r="I2771">
        <v>1</v>
      </c>
    </row>
    <row r="2772" spans="1:9" x14ac:dyDescent="0.35">
      <c r="A2772" t="str">
        <f t="shared" si="43"/>
        <v>networkturpe_energy_costS1203471</v>
      </c>
      <c r="C2772" t="s">
        <v>96</v>
      </c>
      <c r="D2772" t="s">
        <v>98</v>
      </c>
      <c r="E2772" t="s">
        <v>110</v>
      </c>
      <c r="F2772">
        <v>1652.0196076874031</v>
      </c>
      <c r="G2772">
        <v>2034</v>
      </c>
      <c r="H2772">
        <v>7</v>
      </c>
      <c r="I2772">
        <v>1</v>
      </c>
    </row>
    <row r="2773" spans="1:9" x14ac:dyDescent="0.35">
      <c r="A2773" t="str">
        <f t="shared" si="43"/>
        <v>DAcostS1203471</v>
      </c>
      <c r="C2773" t="s">
        <v>99</v>
      </c>
      <c r="D2773" t="s">
        <v>100</v>
      </c>
      <c r="E2773" t="s">
        <v>110</v>
      </c>
      <c r="F2773">
        <v>5362.3388680951339</v>
      </c>
      <c r="G2773">
        <v>2034</v>
      </c>
      <c r="H2773">
        <v>7</v>
      </c>
      <c r="I2773">
        <v>1</v>
      </c>
    </row>
    <row r="2774" spans="1:9" x14ac:dyDescent="0.35">
      <c r="A2774" t="str">
        <f t="shared" si="43"/>
        <v>DAincomeS1203471</v>
      </c>
      <c r="B2774" t="s">
        <v>95</v>
      </c>
      <c r="C2774" t="s">
        <v>99</v>
      </c>
      <c r="D2774" t="s">
        <v>101</v>
      </c>
      <c r="E2774" t="s">
        <v>110</v>
      </c>
      <c r="F2774">
        <v>9667.6431062225402</v>
      </c>
      <c r="G2774">
        <v>2034</v>
      </c>
      <c r="H2774">
        <v>7</v>
      </c>
      <c r="I2774">
        <v>1</v>
      </c>
    </row>
    <row r="2775" spans="1:9" x14ac:dyDescent="0.35">
      <c r="A2775" t="str">
        <f t="shared" si="43"/>
        <v>DAenergy_boughtS1203471</v>
      </c>
      <c r="B2775" t="s">
        <v>95</v>
      </c>
      <c r="C2775" t="s">
        <v>99</v>
      </c>
      <c r="D2775" t="s">
        <v>111</v>
      </c>
      <c r="E2775" t="s">
        <v>110</v>
      </c>
      <c r="F2775">
        <v>120.9371818343439</v>
      </c>
      <c r="G2775">
        <v>2034</v>
      </c>
      <c r="H2775">
        <v>7</v>
      </c>
      <c r="I2775">
        <v>1</v>
      </c>
    </row>
    <row r="2776" spans="1:9" x14ac:dyDescent="0.35">
      <c r="A2776" t="str">
        <f t="shared" si="43"/>
        <v>DAenergy_soldS1203471</v>
      </c>
      <c r="C2776" t="s">
        <v>99</v>
      </c>
      <c r="D2776" t="s">
        <v>112</v>
      </c>
      <c r="E2776" t="s">
        <v>110</v>
      </c>
      <c r="F2776">
        <v>87.030007291887401</v>
      </c>
      <c r="G2776">
        <v>2034</v>
      </c>
      <c r="H2776">
        <v>7</v>
      </c>
      <c r="I2776">
        <v>1</v>
      </c>
    </row>
    <row r="2777" spans="1:9" x14ac:dyDescent="0.35">
      <c r="A2777" t="str">
        <f t="shared" si="43"/>
        <v>DAhours_boughtS1203471</v>
      </c>
      <c r="C2777" t="s">
        <v>99</v>
      </c>
      <c r="D2777" t="s">
        <v>113</v>
      </c>
      <c r="E2777" t="s">
        <v>110</v>
      </c>
      <c r="F2777">
        <v>4341</v>
      </c>
      <c r="G2777">
        <v>2034</v>
      </c>
      <c r="H2777">
        <v>7</v>
      </c>
      <c r="I2777">
        <v>1</v>
      </c>
    </row>
    <row r="2778" spans="1:9" x14ac:dyDescent="0.35">
      <c r="A2778" t="str">
        <f t="shared" si="43"/>
        <v>DAhours_soldS1203471</v>
      </c>
      <c r="C2778" t="s">
        <v>99</v>
      </c>
      <c r="D2778" t="s">
        <v>114</v>
      </c>
      <c r="E2778" t="s">
        <v>110</v>
      </c>
      <c r="F2778">
        <v>74</v>
      </c>
      <c r="G2778">
        <v>2034</v>
      </c>
      <c r="H2778">
        <v>7</v>
      </c>
      <c r="I2778">
        <v>1</v>
      </c>
    </row>
    <row r="2779" spans="1:9" x14ac:dyDescent="0.35">
      <c r="A2779" t="str">
        <f t="shared" si="43"/>
        <v>DAco2_emissionS1203471</v>
      </c>
      <c r="C2779" t="s">
        <v>99</v>
      </c>
      <c r="D2779" t="s">
        <v>204</v>
      </c>
      <c r="E2779" t="s">
        <v>110</v>
      </c>
      <c r="F2779">
        <v>8465.6027284036409</v>
      </c>
      <c r="G2779">
        <v>2034</v>
      </c>
      <c r="H2779">
        <v>7</v>
      </c>
      <c r="I2779">
        <v>1</v>
      </c>
    </row>
    <row r="2780" spans="1:9" x14ac:dyDescent="0.35">
      <c r="A2780" t="str">
        <f t="shared" si="43"/>
        <v>fcrincomeS1203471</v>
      </c>
      <c r="C2780" t="s">
        <v>102</v>
      </c>
      <c r="D2780" t="s">
        <v>101</v>
      </c>
      <c r="E2780" t="s">
        <v>110</v>
      </c>
      <c r="F2780">
        <v>5.2560269186187572E-2</v>
      </c>
      <c r="G2780">
        <v>2034</v>
      </c>
      <c r="H2780">
        <v>7</v>
      </c>
      <c r="I2780">
        <v>1</v>
      </c>
    </row>
    <row r="2781" spans="1:9" x14ac:dyDescent="0.35">
      <c r="A2781" t="str">
        <f t="shared" si="43"/>
        <v>fcractivation_hoursS1203471</v>
      </c>
      <c r="C2781" t="s">
        <v>102</v>
      </c>
      <c r="D2781" t="s">
        <v>115</v>
      </c>
      <c r="E2781" t="s">
        <v>110</v>
      </c>
      <c r="F2781">
        <v>4</v>
      </c>
      <c r="G2781">
        <v>2034</v>
      </c>
      <c r="H2781">
        <v>7</v>
      </c>
      <c r="I2781">
        <v>1</v>
      </c>
    </row>
    <row r="2782" spans="1:9" x14ac:dyDescent="0.35">
      <c r="A2782" t="str">
        <f t="shared" si="43"/>
        <v>afrrincomeS1203471</v>
      </c>
      <c r="C2782" t="s">
        <v>103</v>
      </c>
      <c r="D2782" t="s">
        <v>101</v>
      </c>
      <c r="E2782" t="s">
        <v>110</v>
      </c>
      <c r="F2782">
        <v>167423.54780057349</v>
      </c>
      <c r="G2782">
        <v>2034</v>
      </c>
      <c r="H2782">
        <v>7</v>
      </c>
      <c r="I2782">
        <v>1</v>
      </c>
    </row>
    <row r="2783" spans="1:9" x14ac:dyDescent="0.35">
      <c r="A2783" t="str">
        <f t="shared" si="43"/>
        <v>afrractivation_hoursS1203471</v>
      </c>
      <c r="C2783" t="s">
        <v>103</v>
      </c>
      <c r="D2783" t="s">
        <v>115</v>
      </c>
      <c r="E2783" t="s">
        <v>110</v>
      </c>
      <c r="F2783">
        <v>8659</v>
      </c>
      <c r="G2783">
        <v>2034</v>
      </c>
      <c r="H2783">
        <v>7</v>
      </c>
      <c r="I2783">
        <v>1</v>
      </c>
    </row>
    <row r="2784" spans="1:9" x14ac:dyDescent="0.35">
      <c r="A2784" t="str">
        <f t="shared" si="43"/>
        <v>networkturpe_power_costS1203571</v>
      </c>
      <c r="C2784" t="s">
        <v>96</v>
      </c>
      <c r="D2784" t="s">
        <v>97</v>
      </c>
      <c r="E2784" t="s">
        <v>110</v>
      </c>
      <c r="F2784">
        <v>7283.0135748711591</v>
      </c>
      <c r="G2784">
        <v>2035</v>
      </c>
      <c r="H2784">
        <v>7</v>
      </c>
      <c r="I2784">
        <v>1</v>
      </c>
    </row>
    <row r="2785" spans="1:9" x14ac:dyDescent="0.35">
      <c r="A2785" t="str">
        <f t="shared" si="43"/>
        <v>networkturpe_energy_costS1203571</v>
      </c>
      <c r="C2785" t="s">
        <v>96</v>
      </c>
      <c r="D2785" t="s">
        <v>98</v>
      </c>
      <c r="E2785" t="s">
        <v>110</v>
      </c>
      <c r="F2785">
        <v>1434.7208287227611</v>
      </c>
      <c r="G2785">
        <v>2035</v>
      </c>
      <c r="H2785">
        <v>7</v>
      </c>
      <c r="I2785">
        <v>1</v>
      </c>
    </row>
    <row r="2786" spans="1:9" x14ac:dyDescent="0.35">
      <c r="A2786" t="str">
        <f t="shared" si="43"/>
        <v>DAcostS1203571</v>
      </c>
      <c r="B2786" t="s">
        <v>95</v>
      </c>
      <c r="C2786" t="s">
        <v>99</v>
      </c>
      <c r="D2786" t="s">
        <v>100</v>
      </c>
      <c r="E2786" t="s">
        <v>110</v>
      </c>
      <c r="F2786">
        <v>4327.9657139665069</v>
      </c>
      <c r="G2786">
        <v>2035</v>
      </c>
      <c r="H2786">
        <v>7</v>
      </c>
      <c r="I2786">
        <v>1</v>
      </c>
    </row>
    <row r="2787" spans="1:9" x14ac:dyDescent="0.35">
      <c r="A2787" t="str">
        <f t="shared" si="43"/>
        <v>DAincomeS1203571</v>
      </c>
      <c r="B2787" t="s">
        <v>95</v>
      </c>
      <c r="C2787" t="s">
        <v>99</v>
      </c>
      <c r="D2787" t="s">
        <v>101</v>
      </c>
      <c r="E2787" t="s">
        <v>110</v>
      </c>
      <c r="F2787">
        <v>8178.9579367659726</v>
      </c>
      <c r="G2787">
        <v>2035</v>
      </c>
      <c r="H2787">
        <v>7</v>
      </c>
      <c r="I2787">
        <v>1</v>
      </c>
    </row>
    <row r="2788" spans="1:9" x14ac:dyDescent="0.35">
      <c r="A2788" t="str">
        <f t="shared" si="43"/>
        <v>DAenergy_boughtS1203571</v>
      </c>
      <c r="C2788" t="s">
        <v>99</v>
      </c>
      <c r="D2788" t="s">
        <v>111</v>
      </c>
      <c r="E2788" t="s">
        <v>110</v>
      </c>
      <c r="F2788">
        <v>103.17150534724109</v>
      </c>
      <c r="G2788">
        <v>2035</v>
      </c>
      <c r="H2788">
        <v>7</v>
      </c>
      <c r="I2788">
        <v>1</v>
      </c>
    </row>
    <row r="2789" spans="1:9" x14ac:dyDescent="0.35">
      <c r="A2789" t="str">
        <f t="shared" si="43"/>
        <v>DAenergy_soldS1203571</v>
      </c>
      <c r="C2789" t="s">
        <v>99</v>
      </c>
      <c r="D2789" t="s">
        <v>112</v>
      </c>
      <c r="E2789" t="s">
        <v>110</v>
      </c>
      <c r="F2789">
        <v>72.891622967950681</v>
      </c>
      <c r="G2789">
        <v>2035</v>
      </c>
      <c r="H2789">
        <v>7</v>
      </c>
      <c r="I2789">
        <v>1</v>
      </c>
    </row>
    <row r="2790" spans="1:9" x14ac:dyDescent="0.35">
      <c r="A2790" t="str">
        <f t="shared" si="43"/>
        <v>DAhours_boughtS1203571</v>
      </c>
      <c r="C2790" t="s">
        <v>99</v>
      </c>
      <c r="D2790" t="s">
        <v>113</v>
      </c>
      <c r="E2790" t="s">
        <v>110</v>
      </c>
      <c r="F2790">
        <v>4399</v>
      </c>
      <c r="G2790">
        <v>2035</v>
      </c>
      <c r="H2790">
        <v>7</v>
      </c>
      <c r="I2790">
        <v>1</v>
      </c>
    </row>
    <row r="2791" spans="1:9" x14ac:dyDescent="0.35">
      <c r="A2791" t="str">
        <f t="shared" si="43"/>
        <v>DAhours_soldS1203571</v>
      </c>
      <c r="C2791" t="s">
        <v>99</v>
      </c>
      <c r="D2791" t="s">
        <v>114</v>
      </c>
      <c r="E2791" t="s">
        <v>110</v>
      </c>
      <c r="F2791">
        <v>75</v>
      </c>
      <c r="G2791">
        <v>2035</v>
      </c>
      <c r="H2791">
        <v>7</v>
      </c>
      <c r="I2791">
        <v>1</v>
      </c>
    </row>
    <row r="2792" spans="1:9" x14ac:dyDescent="0.35">
      <c r="A2792" t="str">
        <f t="shared" si="43"/>
        <v>DAco2_emissionS1203571</v>
      </c>
      <c r="C2792" t="s">
        <v>99</v>
      </c>
      <c r="D2792" t="s">
        <v>204</v>
      </c>
      <c r="E2792" t="s">
        <v>110</v>
      </c>
      <c r="F2792">
        <v>7222.0053743067338</v>
      </c>
      <c r="G2792">
        <v>2035</v>
      </c>
      <c r="H2792">
        <v>7</v>
      </c>
      <c r="I2792">
        <v>1</v>
      </c>
    </row>
    <row r="2793" spans="1:9" x14ac:dyDescent="0.35">
      <c r="A2793" t="str">
        <f t="shared" si="43"/>
        <v>fcrincomeS1203571</v>
      </c>
      <c r="C2793" t="s">
        <v>102</v>
      </c>
      <c r="D2793" t="s">
        <v>101</v>
      </c>
      <c r="E2793" t="s">
        <v>110</v>
      </c>
      <c r="F2793">
        <v>0</v>
      </c>
      <c r="G2793">
        <v>2035</v>
      </c>
      <c r="H2793">
        <v>7</v>
      </c>
      <c r="I2793">
        <v>1</v>
      </c>
    </row>
    <row r="2794" spans="1:9" x14ac:dyDescent="0.35">
      <c r="A2794" t="str">
        <f t="shared" si="43"/>
        <v>fcractivation_hoursS1203571</v>
      </c>
      <c r="C2794" t="s">
        <v>102</v>
      </c>
      <c r="D2794" t="s">
        <v>115</v>
      </c>
      <c r="E2794" t="s">
        <v>110</v>
      </c>
      <c r="F2794">
        <v>0</v>
      </c>
      <c r="G2794">
        <v>2035</v>
      </c>
      <c r="H2794">
        <v>7</v>
      </c>
      <c r="I2794">
        <v>1</v>
      </c>
    </row>
    <row r="2795" spans="1:9" x14ac:dyDescent="0.35">
      <c r="A2795" t="str">
        <f t="shared" si="43"/>
        <v>afrrincomeS1203571</v>
      </c>
      <c r="C2795" t="s">
        <v>103</v>
      </c>
      <c r="D2795" t="s">
        <v>101</v>
      </c>
      <c r="E2795" t="s">
        <v>110</v>
      </c>
      <c r="F2795">
        <v>162307.12816813061</v>
      </c>
      <c r="G2795">
        <v>2035</v>
      </c>
      <c r="H2795">
        <v>7</v>
      </c>
      <c r="I2795">
        <v>1</v>
      </c>
    </row>
    <row r="2796" spans="1:9" x14ac:dyDescent="0.35">
      <c r="A2796" t="str">
        <f t="shared" si="43"/>
        <v>afrractivation_hoursS1203571</v>
      </c>
      <c r="C2796" t="s">
        <v>103</v>
      </c>
      <c r="D2796" t="s">
        <v>115</v>
      </c>
      <c r="E2796" t="s">
        <v>110</v>
      </c>
      <c r="F2796">
        <v>8669</v>
      </c>
      <c r="G2796">
        <v>2035</v>
      </c>
      <c r="H2796">
        <v>7</v>
      </c>
      <c r="I2796">
        <v>1</v>
      </c>
    </row>
    <row r="2797" spans="1:9" x14ac:dyDescent="0.35">
      <c r="A2797" t="str">
        <f t="shared" si="43"/>
        <v>networkturpe_power_costS1203671</v>
      </c>
      <c r="C2797" t="s">
        <v>96</v>
      </c>
      <c r="D2797" t="s">
        <v>97</v>
      </c>
      <c r="E2797" t="s">
        <v>110</v>
      </c>
      <c r="F2797">
        <v>7113.1795599650522</v>
      </c>
      <c r="G2797">
        <v>2036</v>
      </c>
      <c r="H2797">
        <v>7</v>
      </c>
      <c r="I2797">
        <v>1</v>
      </c>
    </row>
    <row r="2798" spans="1:9" x14ac:dyDescent="0.35">
      <c r="A2798" t="str">
        <f t="shared" si="43"/>
        <v>networkturpe_energy_costS1203671</v>
      </c>
      <c r="B2798" t="s">
        <v>95</v>
      </c>
      <c r="C2798" t="s">
        <v>96</v>
      </c>
      <c r="D2798" t="s">
        <v>98</v>
      </c>
      <c r="E2798" t="s">
        <v>110</v>
      </c>
      <c r="F2798">
        <v>2025.9926613734549</v>
      </c>
      <c r="G2798">
        <v>2036</v>
      </c>
      <c r="H2798">
        <v>7</v>
      </c>
      <c r="I2798">
        <v>1</v>
      </c>
    </row>
    <row r="2799" spans="1:9" x14ac:dyDescent="0.35">
      <c r="A2799" t="str">
        <f t="shared" si="43"/>
        <v>DAcostS1203671</v>
      </c>
      <c r="B2799" t="s">
        <v>95</v>
      </c>
      <c r="C2799" t="s">
        <v>99</v>
      </c>
      <c r="D2799" t="s">
        <v>100</v>
      </c>
      <c r="E2799" t="s">
        <v>110</v>
      </c>
      <c r="F2799">
        <v>5819.444282382623</v>
      </c>
      <c r="G2799">
        <v>2036</v>
      </c>
      <c r="H2799">
        <v>7</v>
      </c>
      <c r="I2799">
        <v>1</v>
      </c>
    </row>
    <row r="2800" spans="1:9" x14ac:dyDescent="0.35">
      <c r="A2800" t="str">
        <f t="shared" si="43"/>
        <v>DAincomeS1203671</v>
      </c>
      <c r="C2800" t="s">
        <v>99</v>
      </c>
      <c r="D2800" t="s">
        <v>101</v>
      </c>
      <c r="E2800" t="s">
        <v>110</v>
      </c>
      <c r="F2800">
        <v>11149.01337581876</v>
      </c>
      <c r="G2800">
        <v>2036</v>
      </c>
      <c r="H2800">
        <v>7</v>
      </c>
      <c r="I2800">
        <v>1</v>
      </c>
    </row>
    <row r="2801" spans="1:9" x14ac:dyDescent="0.35">
      <c r="A2801" t="str">
        <f t="shared" si="43"/>
        <v>DAenergy_boughtS1203671</v>
      </c>
      <c r="C2801" t="s">
        <v>99</v>
      </c>
      <c r="D2801" t="s">
        <v>111</v>
      </c>
      <c r="E2801" t="s">
        <v>110</v>
      </c>
      <c r="F2801">
        <v>136.2431095467123</v>
      </c>
      <c r="G2801">
        <v>2036</v>
      </c>
      <c r="H2801">
        <v>7</v>
      </c>
      <c r="I2801">
        <v>1</v>
      </c>
    </row>
    <row r="2802" spans="1:9" x14ac:dyDescent="0.35">
      <c r="A2802" t="str">
        <f t="shared" si="43"/>
        <v>DAenergy_soldS1203671</v>
      </c>
      <c r="C2802" t="s">
        <v>99</v>
      </c>
      <c r="D2802" t="s">
        <v>112</v>
      </c>
      <c r="E2802" t="s">
        <v>110</v>
      </c>
      <c r="F2802">
        <v>99.911360254913248</v>
      </c>
      <c r="G2802">
        <v>2036</v>
      </c>
      <c r="H2802">
        <v>7</v>
      </c>
      <c r="I2802">
        <v>1</v>
      </c>
    </row>
    <row r="2803" spans="1:9" x14ac:dyDescent="0.35">
      <c r="A2803" t="str">
        <f t="shared" si="43"/>
        <v>DAhours_boughtS1203671</v>
      </c>
      <c r="C2803" t="s">
        <v>99</v>
      </c>
      <c r="D2803" t="s">
        <v>113</v>
      </c>
      <c r="E2803" t="s">
        <v>110</v>
      </c>
      <c r="F2803">
        <v>4018</v>
      </c>
      <c r="G2803">
        <v>2036</v>
      </c>
      <c r="H2803">
        <v>7</v>
      </c>
      <c r="I2803">
        <v>1</v>
      </c>
    </row>
    <row r="2804" spans="1:9" x14ac:dyDescent="0.35">
      <c r="A2804" t="str">
        <f t="shared" si="43"/>
        <v>DAhours_soldS1203671</v>
      </c>
      <c r="C2804" t="s">
        <v>99</v>
      </c>
      <c r="D2804" t="s">
        <v>114</v>
      </c>
      <c r="E2804" t="s">
        <v>110</v>
      </c>
      <c r="F2804">
        <v>109</v>
      </c>
      <c r="G2804">
        <v>2036</v>
      </c>
      <c r="H2804">
        <v>7</v>
      </c>
      <c r="I2804">
        <v>1</v>
      </c>
    </row>
    <row r="2805" spans="1:9" x14ac:dyDescent="0.35">
      <c r="A2805" t="str">
        <f t="shared" si="43"/>
        <v>DAco2_emissionS1203671</v>
      </c>
      <c r="C2805" t="s">
        <v>99</v>
      </c>
      <c r="D2805" t="s">
        <v>204</v>
      </c>
      <c r="E2805" t="s">
        <v>110</v>
      </c>
      <c r="F2805">
        <v>9537.0176682701749</v>
      </c>
      <c r="G2805">
        <v>2036</v>
      </c>
      <c r="H2805">
        <v>7</v>
      </c>
      <c r="I2805">
        <v>1</v>
      </c>
    </row>
    <row r="2806" spans="1:9" x14ac:dyDescent="0.35">
      <c r="A2806" t="str">
        <f t="shared" si="43"/>
        <v>fcrincomeS1203671</v>
      </c>
      <c r="C2806" t="s">
        <v>102</v>
      </c>
      <c r="D2806" t="s">
        <v>101</v>
      </c>
      <c r="E2806" t="s">
        <v>110</v>
      </c>
      <c r="F2806">
        <v>0</v>
      </c>
      <c r="G2806">
        <v>2036</v>
      </c>
      <c r="H2806">
        <v>7</v>
      </c>
      <c r="I2806">
        <v>1</v>
      </c>
    </row>
    <row r="2807" spans="1:9" x14ac:dyDescent="0.35">
      <c r="A2807" t="str">
        <f t="shared" si="43"/>
        <v>fcractivation_hoursS1203671</v>
      </c>
      <c r="C2807" t="s">
        <v>102</v>
      </c>
      <c r="D2807" t="s">
        <v>115</v>
      </c>
      <c r="E2807" t="s">
        <v>110</v>
      </c>
      <c r="F2807">
        <v>0</v>
      </c>
      <c r="G2807">
        <v>2036</v>
      </c>
      <c r="H2807">
        <v>7</v>
      </c>
      <c r="I2807">
        <v>1</v>
      </c>
    </row>
    <row r="2808" spans="1:9" x14ac:dyDescent="0.35">
      <c r="A2808" t="str">
        <f t="shared" si="43"/>
        <v>afrrincomeS1203671</v>
      </c>
      <c r="C2808" t="s">
        <v>103</v>
      </c>
      <c r="D2808" t="s">
        <v>101</v>
      </c>
      <c r="E2808" t="s">
        <v>110</v>
      </c>
      <c r="F2808">
        <v>150644.3200733928</v>
      </c>
      <c r="G2808">
        <v>2036</v>
      </c>
      <c r="H2808">
        <v>7</v>
      </c>
      <c r="I2808">
        <v>1</v>
      </c>
    </row>
    <row r="2809" spans="1:9" x14ac:dyDescent="0.35">
      <c r="A2809" t="str">
        <f t="shared" si="43"/>
        <v>afrractivation_hoursS1203671</v>
      </c>
      <c r="C2809" t="s">
        <v>103</v>
      </c>
      <c r="D2809" t="s">
        <v>115</v>
      </c>
      <c r="E2809" t="s">
        <v>110</v>
      </c>
      <c r="F2809">
        <v>8638</v>
      </c>
      <c r="G2809">
        <v>2036</v>
      </c>
      <c r="H2809">
        <v>7</v>
      </c>
      <c r="I2809">
        <v>1</v>
      </c>
    </row>
    <row r="2810" spans="1:9" x14ac:dyDescent="0.35">
      <c r="A2810" t="str">
        <f t="shared" si="43"/>
        <v>networkturpe_power_costS1203771</v>
      </c>
      <c r="B2810" t="s">
        <v>95</v>
      </c>
      <c r="C2810" t="s">
        <v>96</v>
      </c>
      <c r="D2810" t="s">
        <v>97</v>
      </c>
      <c r="E2810" t="s">
        <v>110</v>
      </c>
      <c r="F2810">
        <v>6922.7563526549002</v>
      </c>
      <c r="G2810">
        <v>2037</v>
      </c>
      <c r="H2810">
        <v>7</v>
      </c>
      <c r="I2810">
        <v>1</v>
      </c>
    </row>
    <row r="2811" spans="1:9" x14ac:dyDescent="0.35">
      <c r="A2811" t="str">
        <f t="shared" si="43"/>
        <v>networkturpe_energy_costS1203771</v>
      </c>
      <c r="B2811" t="s">
        <v>95</v>
      </c>
      <c r="C2811" t="s">
        <v>96</v>
      </c>
      <c r="D2811" t="s">
        <v>98</v>
      </c>
      <c r="E2811" t="s">
        <v>110</v>
      </c>
      <c r="F2811">
        <v>1504.7502244792011</v>
      </c>
      <c r="G2811">
        <v>2037</v>
      </c>
      <c r="H2811">
        <v>7</v>
      </c>
      <c r="I2811">
        <v>1</v>
      </c>
    </row>
    <row r="2812" spans="1:9" x14ac:dyDescent="0.35">
      <c r="A2812" t="str">
        <f t="shared" si="43"/>
        <v>DAcostS1203771</v>
      </c>
      <c r="C2812" t="s">
        <v>99</v>
      </c>
      <c r="D2812" t="s">
        <v>100</v>
      </c>
      <c r="E2812" t="s">
        <v>110</v>
      </c>
      <c r="F2812">
        <v>4625.3814515462864</v>
      </c>
      <c r="G2812">
        <v>2037</v>
      </c>
      <c r="H2812">
        <v>7</v>
      </c>
      <c r="I2812">
        <v>1</v>
      </c>
    </row>
    <row r="2813" spans="1:9" x14ac:dyDescent="0.35">
      <c r="A2813" t="str">
        <f t="shared" si="43"/>
        <v>DAincomeS1203771</v>
      </c>
      <c r="C2813" t="s">
        <v>99</v>
      </c>
      <c r="D2813" t="s">
        <v>101</v>
      </c>
      <c r="E2813" t="s">
        <v>110</v>
      </c>
      <c r="F2813">
        <v>8466.7464952876944</v>
      </c>
      <c r="G2813">
        <v>2037</v>
      </c>
      <c r="H2813">
        <v>7</v>
      </c>
      <c r="I2813">
        <v>1</v>
      </c>
    </row>
    <row r="2814" spans="1:9" x14ac:dyDescent="0.35">
      <c r="A2814" t="str">
        <f t="shared" si="43"/>
        <v>DAenergy_boughtS1203771</v>
      </c>
      <c r="C2814" t="s">
        <v>99</v>
      </c>
      <c r="D2814" t="s">
        <v>111</v>
      </c>
      <c r="E2814" t="s">
        <v>110</v>
      </c>
      <c r="F2814">
        <v>107.6867001310967</v>
      </c>
      <c r="G2814">
        <v>2037</v>
      </c>
      <c r="H2814">
        <v>7</v>
      </c>
      <c r="I2814">
        <v>1</v>
      </c>
    </row>
    <row r="2815" spans="1:9" x14ac:dyDescent="0.35">
      <c r="A2815" t="str">
        <f t="shared" si="43"/>
        <v>DAenergy_soldS1203771</v>
      </c>
      <c r="C2815" t="s">
        <v>99</v>
      </c>
      <c r="D2815" t="s">
        <v>112</v>
      </c>
      <c r="E2815" t="s">
        <v>110</v>
      </c>
      <c r="F2815">
        <v>77.039176922203779</v>
      </c>
      <c r="G2815">
        <v>2037</v>
      </c>
      <c r="H2815">
        <v>7</v>
      </c>
      <c r="I2815">
        <v>1</v>
      </c>
    </row>
    <row r="2816" spans="1:9" x14ac:dyDescent="0.35">
      <c r="A2816" t="str">
        <f t="shared" si="43"/>
        <v>DAhours_boughtS1203771</v>
      </c>
      <c r="C2816" t="s">
        <v>99</v>
      </c>
      <c r="D2816" t="s">
        <v>113</v>
      </c>
      <c r="E2816" t="s">
        <v>110</v>
      </c>
      <c r="F2816">
        <v>4548</v>
      </c>
      <c r="G2816">
        <v>2037</v>
      </c>
      <c r="H2816">
        <v>7</v>
      </c>
      <c r="I2816">
        <v>1</v>
      </c>
    </row>
    <row r="2817" spans="1:9" x14ac:dyDescent="0.35">
      <c r="A2817" t="str">
        <f t="shared" si="43"/>
        <v>DAhours_soldS1203771</v>
      </c>
      <c r="C2817" t="s">
        <v>99</v>
      </c>
      <c r="D2817" t="s">
        <v>114</v>
      </c>
      <c r="E2817" t="s">
        <v>110</v>
      </c>
      <c r="F2817">
        <v>90</v>
      </c>
      <c r="G2817">
        <v>2037</v>
      </c>
      <c r="H2817">
        <v>7</v>
      </c>
      <c r="I2817">
        <v>1</v>
      </c>
    </row>
    <row r="2818" spans="1:9" x14ac:dyDescent="0.35">
      <c r="A2818" t="str">
        <f t="shared" si="43"/>
        <v>DAco2_emissionS1203771</v>
      </c>
      <c r="C2818" t="s">
        <v>99</v>
      </c>
      <c r="D2818" t="s">
        <v>204</v>
      </c>
      <c r="E2818" t="s">
        <v>110</v>
      </c>
      <c r="F2818">
        <v>7538.0690091767437</v>
      </c>
      <c r="G2818">
        <v>2037</v>
      </c>
      <c r="H2818">
        <v>7</v>
      </c>
      <c r="I2818">
        <v>1</v>
      </c>
    </row>
    <row r="2819" spans="1:9" x14ac:dyDescent="0.35">
      <c r="A2819" t="str">
        <f t="shared" ref="A2819:A2882" si="44">C2819&amp;D2819&amp;E2819&amp;G2819&amp;H2819&amp;I2819</f>
        <v>fcrincomeS1203771</v>
      </c>
      <c r="C2819" t="s">
        <v>102</v>
      </c>
      <c r="D2819" t="s">
        <v>101</v>
      </c>
      <c r="E2819" t="s">
        <v>110</v>
      </c>
      <c r="F2819">
        <v>5.8098505608339873E-2</v>
      </c>
      <c r="G2819">
        <v>2037</v>
      </c>
      <c r="H2819">
        <v>7</v>
      </c>
      <c r="I2819">
        <v>1</v>
      </c>
    </row>
    <row r="2820" spans="1:9" x14ac:dyDescent="0.35">
      <c r="A2820" t="str">
        <f t="shared" si="44"/>
        <v>fcractivation_hoursS1203771</v>
      </c>
      <c r="C2820" t="s">
        <v>102</v>
      </c>
      <c r="D2820" t="s">
        <v>115</v>
      </c>
      <c r="E2820" t="s">
        <v>110</v>
      </c>
      <c r="F2820">
        <v>4</v>
      </c>
      <c r="G2820">
        <v>2037</v>
      </c>
      <c r="H2820">
        <v>7</v>
      </c>
      <c r="I2820">
        <v>1</v>
      </c>
    </row>
    <row r="2821" spans="1:9" x14ac:dyDescent="0.35">
      <c r="A2821" t="str">
        <f t="shared" si="44"/>
        <v>afrrincomeS1203771</v>
      </c>
      <c r="C2821" t="s">
        <v>103</v>
      </c>
      <c r="D2821" t="s">
        <v>101</v>
      </c>
      <c r="E2821" t="s">
        <v>110</v>
      </c>
      <c r="F2821">
        <v>151751.10466437071</v>
      </c>
      <c r="G2821">
        <v>2037</v>
      </c>
      <c r="H2821">
        <v>7</v>
      </c>
      <c r="I2821">
        <v>1</v>
      </c>
    </row>
    <row r="2822" spans="1:9" x14ac:dyDescent="0.35">
      <c r="A2822" t="str">
        <f t="shared" si="44"/>
        <v>afrractivation_hoursS1203771</v>
      </c>
      <c r="B2822" t="s">
        <v>95</v>
      </c>
      <c r="C2822" t="s">
        <v>103</v>
      </c>
      <c r="D2822" t="s">
        <v>115</v>
      </c>
      <c r="E2822" t="s">
        <v>110</v>
      </c>
      <c r="F2822">
        <v>8667</v>
      </c>
      <c r="G2822">
        <v>2037</v>
      </c>
      <c r="H2822">
        <v>7</v>
      </c>
      <c r="I2822">
        <v>1</v>
      </c>
    </row>
    <row r="2823" spans="1:9" x14ac:dyDescent="0.35">
      <c r="A2823" t="str">
        <f t="shared" si="44"/>
        <v>networkturpe_power_costS1203871</v>
      </c>
      <c r="B2823" t="s">
        <v>95</v>
      </c>
      <c r="C2823" t="s">
        <v>96</v>
      </c>
      <c r="D2823" t="s">
        <v>97</v>
      </c>
      <c r="E2823" t="s">
        <v>110</v>
      </c>
      <c r="F2823">
        <v>6766.4955847632255</v>
      </c>
      <c r="G2823">
        <v>2038</v>
      </c>
      <c r="H2823">
        <v>7</v>
      </c>
      <c r="I2823">
        <v>1</v>
      </c>
    </row>
    <row r="2824" spans="1:9" x14ac:dyDescent="0.35">
      <c r="A2824" t="str">
        <f t="shared" si="44"/>
        <v>networkturpe_energy_costS1203871</v>
      </c>
      <c r="C2824" t="s">
        <v>96</v>
      </c>
      <c r="D2824" t="s">
        <v>98</v>
      </c>
      <c r="E2824" t="s">
        <v>110</v>
      </c>
      <c r="F2824">
        <v>2570.1143842241049</v>
      </c>
      <c r="G2824">
        <v>2038</v>
      </c>
      <c r="H2824">
        <v>7</v>
      </c>
      <c r="I2824">
        <v>1</v>
      </c>
    </row>
    <row r="2825" spans="1:9" x14ac:dyDescent="0.35">
      <c r="A2825" t="str">
        <f t="shared" si="44"/>
        <v>DAcostS1203871</v>
      </c>
      <c r="C2825" t="s">
        <v>99</v>
      </c>
      <c r="D2825" t="s">
        <v>100</v>
      </c>
      <c r="E2825" t="s">
        <v>110</v>
      </c>
      <c r="F2825">
        <v>6656.4414584840424</v>
      </c>
      <c r="G2825">
        <v>2038</v>
      </c>
      <c r="H2825">
        <v>7</v>
      </c>
      <c r="I2825">
        <v>1</v>
      </c>
    </row>
    <row r="2826" spans="1:9" x14ac:dyDescent="0.35">
      <c r="A2826" t="str">
        <f t="shared" si="44"/>
        <v>DAincomeS1203871</v>
      </c>
      <c r="C2826" t="s">
        <v>99</v>
      </c>
      <c r="D2826" t="s">
        <v>101</v>
      </c>
      <c r="E2826" t="s">
        <v>110</v>
      </c>
      <c r="F2826">
        <v>13912.960110067779</v>
      </c>
      <c r="G2826">
        <v>2038</v>
      </c>
      <c r="H2826">
        <v>7</v>
      </c>
      <c r="I2826">
        <v>1</v>
      </c>
    </row>
    <row r="2827" spans="1:9" x14ac:dyDescent="0.35">
      <c r="A2827" t="str">
        <f t="shared" si="44"/>
        <v>DAenergy_boughtS1203871</v>
      </c>
      <c r="C2827" t="s">
        <v>99</v>
      </c>
      <c r="D2827" t="s">
        <v>111</v>
      </c>
      <c r="E2827" t="s">
        <v>110</v>
      </c>
      <c r="F2827">
        <v>167.4057869481521</v>
      </c>
      <c r="G2827">
        <v>2038</v>
      </c>
      <c r="H2827">
        <v>7</v>
      </c>
      <c r="I2827">
        <v>1</v>
      </c>
    </row>
    <row r="2828" spans="1:9" x14ac:dyDescent="0.35">
      <c r="A2828" t="str">
        <f t="shared" si="44"/>
        <v>DAenergy_soldS1203871</v>
      </c>
      <c r="C2828" t="s">
        <v>99</v>
      </c>
      <c r="D2828" t="s">
        <v>112</v>
      </c>
      <c r="E2828" t="s">
        <v>110</v>
      </c>
      <c r="F2828">
        <v>125.632401961222</v>
      </c>
      <c r="G2828">
        <v>2038</v>
      </c>
      <c r="H2828">
        <v>7</v>
      </c>
      <c r="I2828">
        <v>1</v>
      </c>
    </row>
    <row r="2829" spans="1:9" x14ac:dyDescent="0.35">
      <c r="A2829" t="str">
        <f t="shared" si="44"/>
        <v>DAhours_boughtS1203871</v>
      </c>
      <c r="C2829" t="s">
        <v>99</v>
      </c>
      <c r="D2829" t="s">
        <v>113</v>
      </c>
      <c r="E2829" t="s">
        <v>110</v>
      </c>
      <c r="F2829">
        <v>4354</v>
      </c>
      <c r="G2829">
        <v>2038</v>
      </c>
      <c r="H2829">
        <v>7</v>
      </c>
      <c r="I2829">
        <v>1</v>
      </c>
    </row>
    <row r="2830" spans="1:9" x14ac:dyDescent="0.35">
      <c r="A2830" t="str">
        <f t="shared" si="44"/>
        <v>DAhours_soldS1203871</v>
      </c>
      <c r="C2830" t="s">
        <v>99</v>
      </c>
      <c r="D2830" t="s">
        <v>114</v>
      </c>
      <c r="E2830" t="s">
        <v>110</v>
      </c>
      <c r="F2830">
        <v>126</v>
      </c>
      <c r="G2830">
        <v>2038</v>
      </c>
      <c r="H2830">
        <v>7</v>
      </c>
      <c r="I2830">
        <v>1</v>
      </c>
    </row>
    <row r="2831" spans="1:9" x14ac:dyDescent="0.35">
      <c r="A2831" t="str">
        <f t="shared" si="44"/>
        <v>DAco2_emissionS1203871</v>
      </c>
      <c r="C2831" t="s">
        <v>99</v>
      </c>
      <c r="D2831" t="s">
        <v>204</v>
      </c>
      <c r="E2831" t="s">
        <v>110</v>
      </c>
      <c r="F2831">
        <v>11718.405086371071</v>
      </c>
      <c r="G2831">
        <v>2038</v>
      </c>
      <c r="H2831">
        <v>7</v>
      </c>
      <c r="I2831">
        <v>1</v>
      </c>
    </row>
    <row r="2832" spans="1:9" x14ac:dyDescent="0.35">
      <c r="A2832" t="str">
        <f t="shared" si="44"/>
        <v>fcrincomeS1203871</v>
      </c>
      <c r="C2832" t="s">
        <v>102</v>
      </c>
      <c r="D2832" t="s">
        <v>101</v>
      </c>
      <c r="E2832" t="s">
        <v>110</v>
      </c>
      <c r="F2832">
        <v>1.4583935726175669E-6</v>
      </c>
      <c r="G2832">
        <v>2038</v>
      </c>
      <c r="H2832">
        <v>7</v>
      </c>
      <c r="I2832">
        <v>1</v>
      </c>
    </row>
    <row r="2833" spans="1:9" x14ac:dyDescent="0.35">
      <c r="A2833" t="str">
        <f t="shared" si="44"/>
        <v>fcractivation_hoursS1203871</v>
      </c>
      <c r="C2833" t="s">
        <v>102</v>
      </c>
      <c r="D2833" t="s">
        <v>115</v>
      </c>
      <c r="E2833" t="s">
        <v>110</v>
      </c>
      <c r="F2833">
        <v>0</v>
      </c>
      <c r="G2833">
        <v>2038</v>
      </c>
      <c r="H2833">
        <v>7</v>
      </c>
      <c r="I2833">
        <v>1</v>
      </c>
    </row>
    <row r="2834" spans="1:9" x14ac:dyDescent="0.35">
      <c r="A2834" t="str">
        <f t="shared" si="44"/>
        <v>afrrincomeS1203871</v>
      </c>
      <c r="B2834" t="s">
        <v>95</v>
      </c>
      <c r="C2834" t="s">
        <v>103</v>
      </c>
      <c r="D2834" t="s">
        <v>101</v>
      </c>
      <c r="E2834" t="s">
        <v>110</v>
      </c>
      <c r="F2834">
        <v>147670.59546129309</v>
      </c>
      <c r="G2834">
        <v>2038</v>
      </c>
      <c r="H2834">
        <v>7</v>
      </c>
      <c r="I2834">
        <v>1</v>
      </c>
    </row>
    <row r="2835" spans="1:9" x14ac:dyDescent="0.35">
      <c r="A2835" t="str">
        <f t="shared" si="44"/>
        <v>afrractivation_hoursS1203871</v>
      </c>
      <c r="B2835" t="s">
        <v>95</v>
      </c>
      <c r="C2835" t="s">
        <v>103</v>
      </c>
      <c r="D2835" t="s">
        <v>115</v>
      </c>
      <c r="E2835" t="s">
        <v>110</v>
      </c>
      <c r="F2835">
        <v>8604</v>
      </c>
      <c r="G2835">
        <v>2038</v>
      </c>
      <c r="H2835">
        <v>7</v>
      </c>
      <c r="I2835">
        <v>1</v>
      </c>
    </row>
    <row r="2836" spans="1:9" x14ac:dyDescent="0.35">
      <c r="A2836" t="str">
        <f t="shared" si="44"/>
        <v>networkturpe_power_costS1203971</v>
      </c>
      <c r="C2836" t="s">
        <v>96</v>
      </c>
      <c r="D2836" t="s">
        <v>97</v>
      </c>
      <c r="E2836" t="s">
        <v>110</v>
      </c>
      <c r="F2836">
        <v>6586.1200352018022</v>
      </c>
      <c r="G2836">
        <v>2039</v>
      </c>
      <c r="H2836">
        <v>7</v>
      </c>
      <c r="I2836">
        <v>1</v>
      </c>
    </row>
    <row r="2837" spans="1:9" x14ac:dyDescent="0.35">
      <c r="A2837" t="str">
        <f t="shared" si="44"/>
        <v>networkturpe_energy_costS1203971</v>
      </c>
      <c r="C2837" t="s">
        <v>96</v>
      </c>
      <c r="D2837" t="s">
        <v>98</v>
      </c>
      <c r="E2837" t="s">
        <v>110</v>
      </c>
      <c r="F2837">
        <v>2082.5898934605302</v>
      </c>
      <c r="G2837">
        <v>2039</v>
      </c>
      <c r="H2837">
        <v>7</v>
      </c>
      <c r="I2837">
        <v>1</v>
      </c>
    </row>
    <row r="2838" spans="1:9" x14ac:dyDescent="0.35">
      <c r="A2838" t="str">
        <f t="shared" si="44"/>
        <v>DAcostS1203971</v>
      </c>
      <c r="C2838" t="s">
        <v>99</v>
      </c>
      <c r="D2838" t="s">
        <v>100</v>
      </c>
      <c r="E2838" t="s">
        <v>110</v>
      </c>
      <c r="F2838">
        <v>5776.9065723287958</v>
      </c>
      <c r="G2838">
        <v>2039</v>
      </c>
      <c r="H2838">
        <v>7</v>
      </c>
      <c r="I2838">
        <v>1</v>
      </c>
    </row>
    <row r="2839" spans="1:9" x14ac:dyDescent="0.35">
      <c r="A2839" t="str">
        <f t="shared" si="44"/>
        <v>DAincomeS1203971</v>
      </c>
      <c r="C2839" t="s">
        <v>99</v>
      </c>
      <c r="D2839" t="s">
        <v>101</v>
      </c>
      <c r="E2839" t="s">
        <v>110</v>
      </c>
      <c r="F2839">
        <v>11628.13153228424</v>
      </c>
      <c r="G2839">
        <v>2039</v>
      </c>
      <c r="H2839">
        <v>7</v>
      </c>
      <c r="I2839">
        <v>1</v>
      </c>
    </row>
    <row r="2840" spans="1:9" x14ac:dyDescent="0.35">
      <c r="A2840" t="str">
        <f t="shared" si="44"/>
        <v>DAenergy_boughtS1203971</v>
      </c>
      <c r="C2840" t="s">
        <v>99</v>
      </c>
      <c r="D2840" t="s">
        <v>111</v>
      </c>
      <c r="E2840" t="s">
        <v>110</v>
      </c>
      <c r="F2840">
        <v>140.05722967604029</v>
      </c>
      <c r="G2840">
        <v>2039</v>
      </c>
      <c r="H2840">
        <v>7</v>
      </c>
      <c r="I2840">
        <v>1</v>
      </c>
    </row>
    <row r="2841" spans="1:9" x14ac:dyDescent="0.35">
      <c r="A2841" t="str">
        <f t="shared" si="44"/>
        <v>DAenergy_soldS1203971</v>
      </c>
      <c r="C2841" t="s">
        <v>99</v>
      </c>
      <c r="D2841" t="s">
        <v>112</v>
      </c>
      <c r="E2841" t="s">
        <v>110</v>
      </c>
      <c r="F2841">
        <v>103.7289777885766</v>
      </c>
      <c r="G2841">
        <v>2039</v>
      </c>
      <c r="H2841">
        <v>7</v>
      </c>
      <c r="I2841">
        <v>1</v>
      </c>
    </row>
    <row r="2842" spans="1:9" x14ac:dyDescent="0.35">
      <c r="A2842" t="str">
        <f t="shared" si="44"/>
        <v>DAhours_boughtS1203971</v>
      </c>
      <c r="C2842" t="s">
        <v>99</v>
      </c>
      <c r="D2842" t="s">
        <v>113</v>
      </c>
      <c r="E2842" t="s">
        <v>110</v>
      </c>
      <c r="F2842">
        <v>4739</v>
      </c>
      <c r="G2842">
        <v>2039</v>
      </c>
      <c r="H2842">
        <v>7</v>
      </c>
      <c r="I2842">
        <v>1</v>
      </c>
    </row>
    <row r="2843" spans="1:9" x14ac:dyDescent="0.35">
      <c r="A2843" t="str">
        <f t="shared" si="44"/>
        <v>DAhours_soldS1203971</v>
      </c>
      <c r="C2843" t="s">
        <v>99</v>
      </c>
      <c r="D2843" t="s">
        <v>114</v>
      </c>
      <c r="E2843" t="s">
        <v>110</v>
      </c>
      <c r="F2843">
        <v>103</v>
      </c>
      <c r="G2843">
        <v>2039</v>
      </c>
      <c r="H2843">
        <v>7</v>
      </c>
      <c r="I2843">
        <v>1</v>
      </c>
    </row>
    <row r="2844" spans="1:9" x14ac:dyDescent="0.35">
      <c r="A2844" t="str">
        <f t="shared" si="44"/>
        <v>DAco2_emissionS1203971</v>
      </c>
      <c r="C2844" t="s">
        <v>99</v>
      </c>
      <c r="D2844" t="s">
        <v>204</v>
      </c>
      <c r="E2844" t="s">
        <v>110</v>
      </c>
      <c r="F2844">
        <v>9804.0060773219338</v>
      </c>
      <c r="G2844">
        <v>2039</v>
      </c>
      <c r="H2844">
        <v>7</v>
      </c>
      <c r="I2844">
        <v>1</v>
      </c>
    </row>
    <row r="2845" spans="1:9" x14ac:dyDescent="0.35">
      <c r="A2845" t="str">
        <f t="shared" si="44"/>
        <v>fcrincomeS1203971</v>
      </c>
      <c r="C2845" t="s">
        <v>102</v>
      </c>
      <c r="D2845" t="s">
        <v>101</v>
      </c>
      <c r="E2845" t="s">
        <v>110</v>
      </c>
      <c r="F2845">
        <v>0</v>
      </c>
      <c r="G2845">
        <v>2039</v>
      </c>
      <c r="H2845">
        <v>7</v>
      </c>
      <c r="I2845">
        <v>1</v>
      </c>
    </row>
    <row r="2846" spans="1:9" x14ac:dyDescent="0.35">
      <c r="A2846" t="str">
        <f t="shared" si="44"/>
        <v>fcractivation_hoursS1203971</v>
      </c>
      <c r="B2846" t="s">
        <v>95</v>
      </c>
      <c r="C2846" t="s">
        <v>102</v>
      </c>
      <c r="D2846" t="s">
        <v>115</v>
      </c>
      <c r="E2846" t="s">
        <v>110</v>
      </c>
      <c r="F2846">
        <v>0</v>
      </c>
      <c r="G2846">
        <v>2039</v>
      </c>
      <c r="H2846">
        <v>7</v>
      </c>
      <c r="I2846">
        <v>1</v>
      </c>
    </row>
    <row r="2847" spans="1:9" x14ac:dyDescent="0.35">
      <c r="A2847" t="str">
        <f t="shared" si="44"/>
        <v>afrrincomeS1203971</v>
      </c>
      <c r="B2847" t="s">
        <v>95</v>
      </c>
      <c r="C2847" t="s">
        <v>103</v>
      </c>
      <c r="D2847" t="s">
        <v>101</v>
      </c>
      <c r="E2847" t="s">
        <v>110</v>
      </c>
      <c r="F2847">
        <v>148558.96325430821</v>
      </c>
      <c r="G2847">
        <v>2039</v>
      </c>
      <c r="H2847">
        <v>7</v>
      </c>
      <c r="I2847">
        <v>1</v>
      </c>
    </row>
    <row r="2848" spans="1:9" x14ac:dyDescent="0.35">
      <c r="A2848" t="str">
        <f t="shared" si="44"/>
        <v>afrractivation_hoursS1203971</v>
      </c>
      <c r="C2848" t="s">
        <v>103</v>
      </c>
      <c r="D2848" t="s">
        <v>115</v>
      </c>
      <c r="E2848" t="s">
        <v>110</v>
      </c>
      <c r="F2848">
        <v>8621</v>
      </c>
      <c r="G2848">
        <v>2039</v>
      </c>
      <c r="H2848">
        <v>7</v>
      </c>
      <c r="I2848">
        <v>1</v>
      </c>
    </row>
    <row r="2849" spans="1:9" x14ac:dyDescent="0.35">
      <c r="A2849" t="str">
        <f t="shared" si="44"/>
        <v>networkturpe_power_costS1204071</v>
      </c>
      <c r="C2849" t="s">
        <v>96</v>
      </c>
      <c r="D2849" t="s">
        <v>97</v>
      </c>
      <c r="E2849" t="s">
        <v>110</v>
      </c>
      <c r="F2849">
        <v>6563.7859131479217</v>
      </c>
      <c r="G2849">
        <v>2040</v>
      </c>
      <c r="H2849">
        <v>7</v>
      </c>
      <c r="I2849">
        <v>1</v>
      </c>
    </row>
    <row r="2850" spans="1:9" x14ac:dyDescent="0.35">
      <c r="A2850" t="str">
        <f t="shared" si="44"/>
        <v>networkturpe_energy_costS1204071</v>
      </c>
      <c r="C2850" t="s">
        <v>96</v>
      </c>
      <c r="D2850" t="s">
        <v>98</v>
      </c>
      <c r="E2850" t="s">
        <v>110</v>
      </c>
      <c r="F2850">
        <v>5119.4642116961704</v>
      </c>
      <c r="G2850">
        <v>2040</v>
      </c>
      <c r="H2850">
        <v>7</v>
      </c>
      <c r="I2850">
        <v>1</v>
      </c>
    </row>
    <row r="2851" spans="1:9" x14ac:dyDescent="0.35">
      <c r="A2851" t="str">
        <f t="shared" si="44"/>
        <v>DAcostS1204071</v>
      </c>
      <c r="C2851" t="s">
        <v>99</v>
      </c>
      <c r="D2851" t="s">
        <v>100</v>
      </c>
      <c r="E2851" t="s">
        <v>110</v>
      </c>
      <c r="F2851">
        <v>12770.44470291206</v>
      </c>
      <c r="G2851">
        <v>2040</v>
      </c>
      <c r="H2851">
        <v>7</v>
      </c>
      <c r="I2851">
        <v>1</v>
      </c>
    </row>
    <row r="2852" spans="1:9" x14ac:dyDescent="0.35">
      <c r="A2852" t="str">
        <f t="shared" si="44"/>
        <v>DAincomeS1204071</v>
      </c>
      <c r="C2852" t="s">
        <v>99</v>
      </c>
      <c r="D2852" t="s">
        <v>101</v>
      </c>
      <c r="E2852" t="s">
        <v>110</v>
      </c>
      <c r="F2852">
        <v>28315.896035265741</v>
      </c>
      <c r="G2852">
        <v>2040</v>
      </c>
      <c r="H2852">
        <v>7</v>
      </c>
      <c r="I2852">
        <v>1</v>
      </c>
    </row>
    <row r="2853" spans="1:9" x14ac:dyDescent="0.35">
      <c r="A2853" t="str">
        <f t="shared" si="44"/>
        <v>DAenergy_boughtS1204071</v>
      </c>
      <c r="C2853" t="s">
        <v>99</v>
      </c>
      <c r="D2853" t="s">
        <v>111</v>
      </c>
      <c r="E2853" t="s">
        <v>110</v>
      </c>
      <c r="F2853">
        <v>329.25909122361958</v>
      </c>
      <c r="G2853">
        <v>2040</v>
      </c>
      <c r="H2853">
        <v>7</v>
      </c>
      <c r="I2853">
        <v>1</v>
      </c>
    </row>
    <row r="2854" spans="1:9" x14ac:dyDescent="0.35">
      <c r="A2854" t="str">
        <f t="shared" si="44"/>
        <v>DAenergy_soldS1204071</v>
      </c>
      <c r="C2854" t="s">
        <v>99</v>
      </c>
      <c r="D2854" t="s">
        <v>112</v>
      </c>
      <c r="E2854" t="s">
        <v>110</v>
      </c>
      <c r="F2854">
        <v>257.01251056806001</v>
      </c>
      <c r="G2854">
        <v>2040</v>
      </c>
      <c r="H2854">
        <v>7</v>
      </c>
      <c r="I2854">
        <v>1</v>
      </c>
    </row>
    <row r="2855" spans="1:9" x14ac:dyDescent="0.35">
      <c r="A2855" t="str">
        <f t="shared" si="44"/>
        <v>DAhours_boughtS1204071</v>
      </c>
      <c r="C2855" t="s">
        <v>99</v>
      </c>
      <c r="D2855" t="s">
        <v>113</v>
      </c>
      <c r="E2855" t="s">
        <v>110</v>
      </c>
      <c r="F2855">
        <v>3621</v>
      </c>
      <c r="G2855">
        <v>2040</v>
      </c>
      <c r="H2855">
        <v>7</v>
      </c>
      <c r="I2855">
        <v>1</v>
      </c>
    </row>
    <row r="2856" spans="1:9" x14ac:dyDescent="0.35">
      <c r="A2856" t="str">
        <f t="shared" si="44"/>
        <v>DAhours_soldS1204071</v>
      </c>
      <c r="C2856" t="s">
        <v>99</v>
      </c>
      <c r="D2856" t="s">
        <v>114</v>
      </c>
      <c r="E2856" t="s">
        <v>110</v>
      </c>
      <c r="F2856">
        <v>221</v>
      </c>
      <c r="G2856">
        <v>2040</v>
      </c>
      <c r="H2856">
        <v>7</v>
      </c>
      <c r="I2856">
        <v>1</v>
      </c>
    </row>
    <row r="2857" spans="1:9" x14ac:dyDescent="0.35">
      <c r="A2857" t="str">
        <f t="shared" si="44"/>
        <v>DAco2_emissionS1204071</v>
      </c>
      <c r="C2857" t="s">
        <v>99</v>
      </c>
      <c r="D2857" t="s">
        <v>204</v>
      </c>
      <c r="E2857" t="s">
        <v>110</v>
      </c>
      <c r="F2857">
        <v>23048.136385653721</v>
      </c>
      <c r="G2857">
        <v>2040</v>
      </c>
      <c r="H2857">
        <v>7</v>
      </c>
      <c r="I2857">
        <v>1</v>
      </c>
    </row>
    <row r="2858" spans="1:9" x14ac:dyDescent="0.35">
      <c r="A2858" t="str">
        <f t="shared" si="44"/>
        <v>fcrincomeS1204071</v>
      </c>
      <c r="B2858" t="s">
        <v>95</v>
      </c>
      <c r="C2858" t="s">
        <v>102</v>
      </c>
      <c r="D2858" t="s">
        <v>101</v>
      </c>
      <c r="E2858" t="s">
        <v>110</v>
      </c>
      <c r="F2858">
        <v>0.59611146494587985</v>
      </c>
      <c r="G2858">
        <v>2040</v>
      </c>
      <c r="H2858">
        <v>7</v>
      </c>
      <c r="I2858">
        <v>1</v>
      </c>
    </row>
    <row r="2859" spans="1:9" x14ac:dyDescent="0.35">
      <c r="A2859" t="str">
        <f t="shared" si="44"/>
        <v>fcractivation_hoursS1204071</v>
      </c>
      <c r="B2859" t="s">
        <v>95</v>
      </c>
      <c r="C2859" t="s">
        <v>102</v>
      </c>
      <c r="D2859" t="s">
        <v>115</v>
      </c>
      <c r="E2859" t="s">
        <v>110</v>
      </c>
      <c r="F2859">
        <v>20</v>
      </c>
      <c r="G2859">
        <v>2040</v>
      </c>
      <c r="H2859">
        <v>7</v>
      </c>
      <c r="I2859">
        <v>1</v>
      </c>
    </row>
    <row r="2860" spans="1:9" x14ac:dyDescent="0.35">
      <c r="A2860" t="str">
        <f t="shared" si="44"/>
        <v>afrrincomeS1204071</v>
      </c>
      <c r="C2860" t="s">
        <v>103</v>
      </c>
      <c r="D2860" t="s">
        <v>101</v>
      </c>
      <c r="E2860" t="s">
        <v>110</v>
      </c>
      <c r="F2860">
        <v>103776.0022955539</v>
      </c>
      <c r="G2860">
        <v>2040</v>
      </c>
      <c r="H2860">
        <v>7</v>
      </c>
      <c r="I2860">
        <v>1</v>
      </c>
    </row>
    <row r="2861" spans="1:9" x14ac:dyDescent="0.35">
      <c r="A2861" t="str">
        <f t="shared" si="44"/>
        <v>afrractivation_hoursS1204071</v>
      </c>
      <c r="C2861" t="s">
        <v>103</v>
      </c>
      <c r="D2861" t="s">
        <v>115</v>
      </c>
      <c r="E2861" t="s">
        <v>110</v>
      </c>
      <c r="F2861">
        <v>8381</v>
      </c>
      <c r="G2861">
        <v>2040</v>
      </c>
      <c r="H2861">
        <v>7</v>
      </c>
      <c r="I2861">
        <v>1</v>
      </c>
    </row>
    <row r="2862" spans="1:9" x14ac:dyDescent="0.35">
      <c r="A2862" t="str">
        <f t="shared" si="44"/>
        <v>networkturpe_power_costS1204171</v>
      </c>
      <c r="C2862" t="s">
        <v>96</v>
      </c>
      <c r="D2862" t="s">
        <v>97</v>
      </c>
      <c r="E2862" t="s">
        <v>110</v>
      </c>
      <c r="F2862">
        <v>6758.3442010840972</v>
      </c>
      <c r="G2862">
        <v>2041</v>
      </c>
      <c r="H2862">
        <v>7</v>
      </c>
      <c r="I2862">
        <v>1</v>
      </c>
    </row>
    <row r="2863" spans="1:9" x14ac:dyDescent="0.35">
      <c r="A2863" t="str">
        <f t="shared" si="44"/>
        <v>networkturpe_energy_costS1204171</v>
      </c>
      <c r="C2863" t="s">
        <v>96</v>
      </c>
      <c r="D2863" t="s">
        <v>98</v>
      </c>
      <c r="E2863" t="s">
        <v>110</v>
      </c>
      <c r="F2863">
        <v>7515.7900575529293</v>
      </c>
      <c r="G2863">
        <v>2041</v>
      </c>
      <c r="H2863">
        <v>7</v>
      </c>
      <c r="I2863">
        <v>1</v>
      </c>
    </row>
    <row r="2864" spans="1:9" x14ac:dyDescent="0.35">
      <c r="A2864" t="str">
        <f t="shared" si="44"/>
        <v>DAcostS1204171</v>
      </c>
      <c r="C2864" t="s">
        <v>99</v>
      </c>
      <c r="D2864" t="s">
        <v>100</v>
      </c>
      <c r="E2864" t="s">
        <v>110</v>
      </c>
      <c r="F2864">
        <v>18828.717078754489</v>
      </c>
      <c r="G2864">
        <v>2041</v>
      </c>
      <c r="H2864">
        <v>7</v>
      </c>
      <c r="I2864">
        <v>1</v>
      </c>
    </row>
    <row r="2865" spans="1:9" x14ac:dyDescent="0.35">
      <c r="A2865" t="str">
        <f t="shared" si="44"/>
        <v>DAincomeS1204171</v>
      </c>
      <c r="C2865" t="s">
        <v>99</v>
      </c>
      <c r="D2865" t="s">
        <v>101</v>
      </c>
      <c r="E2865" t="s">
        <v>110</v>
      </c>
      <c r="F2865">
        <v>41318.513647085798</v>
      </c>
      <c r="G2865">
        <v>2041</v>
      </c>
      <c r="H2865">
        <v>7</v>
      </c>
      <c r="I2865">
        <v>1</v>
      </c>
    </row>
    <row r="2866" spans="1:9" x14ac:dyDescent="0.35">
      <c r="A2866" t="str">
        <f t="shared" si="44"/>
        <v>DAenergy_boughtS1204171</v>
      </c>
      <c r="C2866" t="s">
        <v>99</v>
      </c>
      <c r="D2866" t="s">
        <v>111</v>
      </c>
      <c r="E2866" t="s">
        <v>110</v>
      </c>
      <c r="F2866">
        <v>479.67483613396507</v>
      </c>
      <c r="G2866">
        <v>2041</v>
      </c>
      <c r="H2866">
        <v>7</v>
      </c>
      <c r="I2866">
        <v>1</v>
      </c>
    </row>
    <row r="2867" spans="1:9" x14ac:dyDescent="0.35">
      <c r="A2867" t="str">
        <f t="shared" si="44"/>
        <v>DAenergy_soldS1204171</v>
      </c>
      <c r="C2867" t="s">
        <v>99</v>
      </c>
      <c r="D2867" t="s">
        <v>112</v>
      </c>
      <c r="E2867" t="s">
        <v>110</v>
      </c>
      <c r="F2867">
        <v>379.24233133776352</v>
      </c>
      <c r="G2867">
        <v>2041</v>
      </c>
      <c r="H2867">
        <v>7</v>
      </c>
      <c r="I2867">
        <v>1</v>
      </c>
    </row>
    <row r="2868" spans="1:9" x14ac:dyDescent="0.35">
      <c r="A2868" t="str">
        <f t="shared" si="44"/>
        <v>DAhours_boughtS1204171</v>
      </c>
      <c r="C2868" t="s">
        <v>99</v>
      </c>
      <c r="D2868" t="s">
        <v>113</v>
      </c>
      <c r="E2868" t="s">
        <v>110</v>
      </c>
      <c r="F2868">
        <v>3708</v>
      </c>
      <c r="G2868">
        <v>2041</v>
      </c>
      <c r="H2868">
        <v>7</v>
      </c>
      <c r="I2868">
        <v>1</v>
      </c>
    </row>
    <row r="2869" spans="1:9" x14ac:dyDescent="0.35">
      <c r="A2869" t="str">
        <f t="shared" si="44"/>
        <v>DAhours_soldS1204171</v>
      </c>
      <c r="C2869" t="s">
        <v>99</v>
      </c>
      <c r="D2869" t="s">
        <v>114</v>
      </c>
      <c r="E2869" t="s">
        <v>110</v>
      </c>
      <c r="F2869">
        <v>254</v>
      </c>
      <c r="G2869">
        <v>2041</v>
      </c>
      <c r="H2869">
        <v>7</v>
      </c>
      <c r="I2869">
        <v>1</v>
      </c>
    </row>
    <row r="2870" spans="1:9" x14ac:dyDescent="0.35">
      <c r="A2870" t="str">
        <f t="shared" si="44"/>
        <v>DAco2_emissionS1204171</v>
      </c>
      <c r="B2870" t="s">
        <v>95</v>
      </c>
      <c r="C2870" t="s">
        <v>99</v>
      </c>
      <c r="D2870" t="s">
        <v>204</v>
      </c>
      <c r="E2870" t="s">
        <v>110</v>
      </c>
      <c r="F2870">
        <v>33577.238529377391</v>
      </c>
      <c r="G2870">
        <v>2041</v>
      </c>
      <c r="H2870">
        <v>7</v>
      </c>
      <c r="I2870">
        <v>1</v>
      </c>
    </row>
    <row r="2871" spans="1:9" x14ac:dyDescent="0.35">
      <c r="A2871" t="str">
        <f t="shared" si="44"/>
        <v>fcrincomeS1204171</v>
      </c>
      <c r="B2871" t="s">
        <v>95</v>
      </c>
      <c r="C2871" t="s">
        <v>102</v>
      </c>
      <c r="D2871" t="s">
        <v>101</v>
      </c>
      <c r="E2871" t="s">
        <v>110</v>
      </c>
      <c r="F2871">
        <v>3.4209330840015491</v>
      </c>
      <c r="G2871">
        <v>2041</v>
      </c>
      <c r="H2871">
        <v>7</v>
      </c>
      <c r="I2871">
        <v>1</v>
      </c>
    </row>
    <row r="2872" spans="1:9" x14ac:dyDescent="0.35">
      <c r="A2872" t="str">
        <f t="shared" si="44"/>
        <v>fcractivation_hoursS1204171</v>
      </c>
      <c r="C2872" t="s">
        <v>102</v>
      </c>
      <c r="D2872" t="s">
        <v>115</v>
      </c>
      <c r="E2872" t="s">
        <v>110</v>
      </c>
      <c r="F2872">
        <v>20</v>
      </c>
      <c r="G2872">
        <v>2041</v>
      </c>
      <c r="H2872">
        <v>7</v>
      </c>
      <c r="I2872">
        <v>1</v>
      </c>
    </row>
    <row r="2873" spans="1:9" x14ac:dyDescent="0.35">
      <c r="A2873" t="str">
        <f t="shared" si="44"/>
        <v>afrrincomeS1204171</v>
      </c>
      <c r="C2873" t="s">
        <v>103</v>
      </c>
      <c r="D2873" t="s">
        <v>101</v>
      </c>
      <c r="E2873" t="s">
        <v>110</v>
      </c>
      <c r="F2873">
        <v>92912.508514977453</v>
      </c>
      <c r="G2873">
        <v>2041</v>
      </c>
      <c r="H2873">
        <v>7</v>
      </c>
      <c r="I2873">
        <v>1</v>
      </c>
    </row>
    <row r="2874" spans="1:9" x14ac:dyDescent="0.35">
      <c r="A2874" t="str">
        <f t="shared" si="44"/>
        <v>afrractivation_hoursS1204171</v>
      </c>
      <c r="C2874" t="s">
        <v>103</v>
      </c>
      <c r="D2874" t="s">
        <v>115</v>
      </c>
      <c r="E2874" t="s">
        <v>110</v>
      </c>
      <c r="F2874">
        <v>8183</v>
      </c>
      <c r="G2874">
        <v>2041</v>
      </c>
      <c r="H2874">
        <v>7</v>
      </c>
      <c r="I2874">
        <v>1</v>
      </c>
    </row>
    <row r="2875" spans="1:9" x14ac:dyDescent="0.35">
      <c r="A2875" t="str">
        <f t="shared" si="44"/>
        <v>networkturpe_power_costS1202572</v>
      </c>
      <c r="C2875" t="s">
        <v>96</v>
      </c>
      <c r="D2875" t="s">
        <v>97</v>
      </c>
      <c r="E2875" t="s">
        <v>110</v>
      </c>
      <c r="F2875">
        <v>14213.94664502555</v>
      </c>
      <c r="G2875">
        <v>2025</v>
      </c>
      <c r="H2875">
        <v>7</v>
      </c>
      <c r="I2875">
        <v>2</v>
      </c>
    </row>
    <row r="2876" spans="1:9" x14ac:dyDescent="0.35">
      <c r="A2876" t="str">
        <f t="shared" si="44"/>
        <v>networkturpe_energy_costS1202572</v>
      </c>
      <c r="C2876" t="s">
        <v>96</v>
      </c>
      <c r="D2876" t="s">
        <v>98</v>
      </c>
      <c r="E2876" t="s">
        <v>110</v>
      </c>
      <c r="F2876">
        <v>12386.26161575988</v>
      </c>
      <c r="G2876">
        <v>2025</v>
      </c>
      <c r="H2876">
        <v>7</v>
      </c>
      <c r="I2876">
        <v>2</v>
      </c>
    </row>
    <row r="2877" spans="1:9" x14ac:dyDescent="0.35">
      <c r="A2877" t="str">
        <f t="shared" si="44"/>
        <v>DAcostS1202572</v>
      </c>
      <c r="C2877" t="s">
        <v>99</v>
      </c>
      <c r="D2877" t="s">
        <v>100</v>
      </c>
      <c r="E2877" t="s">
        <v>110</v>
      </c>
      <c r="F2877">
        <v>113267.494447398</v>
      </c>
      <c r="G2877">
        <v>2025</v>
      </c>
      <c r="H2877">
        <v>7</v>
      </c>
      <c r="I2877">
        <v>2</v>
      </c>
    </row>
    <row r="2878" spans="1:9" x14ac:dyDescent="0.35">
      <c r="A2878" t="str">
        <f t="shared" si="44"/>
        <v>DAincomeS1202572</v>
      </c>
      <c r="C2878" t="s">
        <v>99</v>
      </c>
      <c r="D2878" t="s">
        <v>101</v>
      </c>
      <c r="E2878" t="s">
        <v>110</v>
      </c>
      <c r="F2878">
        <v>142670.251245728</v>
      </c>
      <c r="G2878">
        <v>2025</v>
      </c>
      <c r="H2878">
        <v>7</v>
      </c>
      <c r="I2878">
        <v>2</v>
      </c>
    </row>
    <row r="2879" spans="1:9" x14ac:dyDescent="0.35">
      <c r="A2879" t="str">
        <f t="shared" si="44"/>
        <v>DAenergy_boughtS1202572</v>
      </c>
      <c r="C2879" t="s">
        <v>99</v>
      </c>
      <c r="D2879" t="s">
        <v>111</v>
      </c>
      <c r="E2879" t="s">
        <v>110</v>
      </c>
      <c r="F2879">
        <v>793.65181233902786</v>
      </c>
      <c r="G2879">
        <v>2025</v>
      </c>
      <c r="H2879">
        <v>7</v>
      </c>
      <c r="I2879">
        <v>2</v>
      </c>
    </row>
    <row r="2880" spans="1:9" x14ac:dyDescent="0.35">
      <c r="A2880" t="str">
        <f t="shared" si="44"/>
        <v>DAenergy_soldS1202572</v>
      </c>
      <c r="C2880" t="s">
        <v>99</v>
      </c>
      <c r="D2880" t="s">
        <v>112</v>
      </c>
      <c r="E2880" t="s">
        <v>110</v>
      </c>
      <c r="F2880">
        <v>618.77317972496564</v>
      </c>
      <c r="G2880">
        <v>2025</v>
      </c>
      <c r="H2880">
        <v>7</v>
      </c>
      <c r="I2880">
        <v>2</v>
      </c>
    </row>
    <row r="2881" spans="1:9" x14ac:dyDescent="0.35">
      <c r="A2881" t="str">
        <f t="shared" si="44"/>
        <v>DAhours_boughtS1202572</v>
      </c>
      <c r="C2881" t="s">
        <v>99</v>
      </c>
      <c r="D2881" t="s">
        <v>113</v>
      </c>
      <c r="E2881" t="s">
        <v>110</v>
      </c>
      <c r="F2881">
        <v>806</v>
      </c>
      <c r="G2881">
        <v>2025</v>
      </c>
      <c r="H2881">
        <v>7</v>
      </c>
      <c r="I2881">
        <v>2</v>
      </c>
    </row>
    <row r="2882" spans="1:9" x14ac:dyDescent="0.35">
      <c r="A2882" t="str">
        <f t="shared" si="44"/>
        <v>DAhours_soldS1202572</v>
      </c>
      <c r="B2882" t="s">
        <v>95</v>
      </c>
      <c r="C2882" t="s">
        <v>99</v>
      </c>
      <c r="D2882" t="s">
        <v>114</v>
      </c>
      <c r="E2882" t="s">
        <v>110</v>
      </c>
      <c r="F2882">
        <v>210</v>
      </c>
      <c r="G2882">
        <v>2025</v>
      </c>
      <c r="H2882">
        <v>7</v>
      </c>
      <c r="I2882">
        <v>2</v>
      </c>
    </row>
    <row r="2883" spans="1:9" x14ac:dyDescent="0.35">
      <c r="A2883" t="str">
        <f t="shared" ref="A2883:A2946" si="45">C2883&amp;D2883&amp;E2883&amp;G2883&amp;H2883&amp;I2883</f>
        <v>DAco2_emissionS1202572</v>
      </c>
      <c r="B2883" t="s">
        <v>95</v>
      </c>
      <c r="C2883" t="s">
        <v>99</v>
      </c>
      <c r="D2883" t="s">
        <v>204</v>
      </c>
      <c r="E2883" t="s">
        <v>110</v>
      </c>
      <c r="F2883">
        <v>55555.626863731581</v>
      </c>
      <c r="G2883">
        <v>2025</v>
      </c>
      <c r="H2883">
        <v>7</v>
      </c>
      <c r="I2883">
        <v>2</v>
      </c>
    </row>
    <row r="2884" spans="1:9" x14ac:dyDescent="0.35">
      <c r="A2884" t="str">
        <f t="shared" si="45"/>
        <v>fcrincomeS1202572</v>
      </c>
      <c r="C2884" t="s">
        <v>102</v>
      </c>
      <c r="D2884" t="s">
        <v>101</v>
      </c>
      <c r="E2884" t="s">
        <v>110</v>
      </c>
      <c r="F2884">
        <v>0</v>
      </c>
      <c r="G2884">
        <v>2025</v>
      </c>
      <c r="H2884">
        <v>7</v>
      </c>
      <c r="I2884">
        <v>2</v>
      </c>
    </row>
    <row r="2885" spans="1:9" x14ac:dyDescent="0.35">
      <c r="A2885" t="str">
        <f t="shared" si="45"/>
        <v>fcractivation_hoursS1202572</v>
      </c>
      <c r="C2885" t="s">
        <v>102</v>
      </c>
      <c r="D2885" t="s">
        <v>115</v>
      </c>
      <c r="E2885" t="s">
        <v>110</v>
      </c>
      <c r="F2885">
        <v>0</v>
      </c>
      <c r="G2885">
        <v>2025</v>
      </c>
      <c r="H2885">
        <v>7</v>
      </c>
      <c r="I2885">
        <v>2</v>
      </c>
    </row>
    <row r="2886" spans="1:9" x14ac:dyDescent="0.35">
      <c r="A2886" t="str">
        <f t="shared" si="45"/>
        <v>afrrincomeS1202572</v>
      </c>
      <c r="C2886" t="s">
        <v>103</v>
      </c>
      <c r="D2886" t="s">
        <v>101</v>
      </c>
      <c r="E2886" t="s">
        <v>110</v>
      </c>
      <c r="F2886">
        <v>344225.05121900019</v>
      </c>
      <c r="G2886">
        <v>2025</v>
      </c>
      <c r="H2886">
        <v>7</v>
      </c>
      <c r="I2886">
        <v>2</v>
      </c>
    </row>
    <row r="2887" spans="1:9" x14ac:dyDescent="0.35">
      <c r="A2887" t="str">
        <f t="shared" si="45"/>
        <v>afrractivation_hoursS1202572</v>
      </c>
      <c r="C2887" t="s">
        <v>103</v>
      </c>
      <c r="D2887" t="s">
        <v>115</v>
      </c>
      <c r="E2887" t="s">
        <v>110</v>
      </c>
      <c r="F2887">
        <v>8735</v>
      </c>
      <c r="G2887">
        <v>2025</v>
      </c>
      <c r="H2887">
        <v>7</v>
      </c>
      <c r="I2887">
        <v>2</v>
      </c>
    </row>
    <row r="2888" spans="1:9" x14ac:dyDescent="0.35">
      <c r="A2888" t="str">
        <f t="shared" si="45"/>
        <v>networkturpe_power_costS1202672</v>
      </c>
      <c r="C2888" t="s">
        <v>96</v>
      </c>
      <c r="D2888" t="s">
        <v>97</v>
      </c>
      <c r="E2888" t="s">
        <v>110</v>
      </c>
      <c r="F2888">
        <v>12411.071324422899</v>
      </c>
      <c r="G2888">
        <v>2026</v>
      </c>
      <c r="H2888">
        <v>7</v>
      </c>
      <c r="I2888">
        <v>2</v>
      </c>
    </row>
    <row r="2889" spans="1:9" x14ac:dyDescent="0.35">
      <c r="A2889" t="str">
        <f t="shared" si="45"/>
        <v>networkturpe_energy_costS1202672</v>
      </c>
      <c r="C2889" t="s">
        <v>96</v>
      </c>
      <c r="D2889" t="s">
        <v>98</v>
      </c>
      <c r="E2889" t="s">
        <v>110</v>
      </c>
      <c r="F2889">
        <v>7250.141327668367</v>
      </c>
      <c r="G2889">
        <v>2026</v>
      </c>
      <c r="H2889">
        <v>7</v>
      </c>
      <c r="I2889">
        <v>2</v>
      </c>
    </row>
    <row r="2890" spans="1:9" x14ac:dyDescent="0.35">
      <c r="A2890" t="str">
        <f t="shared" si="45"/>
        <v>DAcostS1202672</v>
      </c>
      <c r="C2890" t="s">
        <v>99</v>
      </c>
      <c r="D2890" t="s">
        <v>100</v>
      </c>
      <c r="E2890" t="s">
        <v>110</v>
      </c>
      <c r="F2890">
        <v>61717.870153950738</v>
      </c>
      <c r="G2890">
        <v>2026</v>
      </c>
      <c r="H2890">
        <v>7</v>
      </c>
      <c r="I2890">
        <v>2</v>
      </c>
    </row>
    <row r="2891" spans="1:9" x14ac:dyDescent="0.35">
      <c r="A2891" t="str">
        <f t="shared" si="45"/>
        <v>DAincomeS1202672</v>
      </c>
      <c r="C2891" t="s">
        <v>99</v>
      </c>
      <c r="D2891" t="s">
        <v>101</v>
      </c>
      <c r="E2891" t="s">
        <v>110</v>
      </c>
      <c r="F2891">
        <v>78250.858672852017</v>
      </c>
      <c r="G2891">
        <v>2026</v>
      </c>
      <c r="H2891">
        <v>7</v>
      </c>
      <c r="I2891">
        <v>2</v>
      </c>
    </row>
    <row r="2892" spans="1:9" x14ac:dyDescent="0.35">
      <c r="A2892" t="str">
        <f t="shared" si="45"/>
        <v>DAenergy_boughtS1202672</v>
      </c>
      <c r="C2892" t="s">
        <v>99</v>
      </c>
      <c r="D2892" t="s">
        <v>111</v>
      </c>
      <c r="E2892" t="s">
        <v>110</v>
      </c>
      <c r="F2892">
        <v>493.78232360856123</v>
      </c>
      <c r="G2892">
        <v>2026</v>
      </c>
      <c r="H2892">
        <v>7</v>
      </c>
      <c r="I2892">
        <v>2</v>
      </c>
    </row>
    <row r="2893" spans="1:9" x14ac:dyDescent="0.35">
      <c r="A2893" t="str">
        <f t="shared" si="45"/>
        <v>DAenergy_soldS1202672</v>
      </c>
      <c r="C2893" t="s">
        <v>99</v>
      </c>
      <c r="D2893" t="s">
        <v>112</v>
      </c>
      <c r="E2893" t="s">
        <v>110</v>
      </c>
      <c r="F2893">
        <v>377.6770613631611</v>
      </c>
      <c r="G2893">
        <v>2026</v>
      </c>
      <c r="H2893">
        <v>7</v>
      </c>
      <c r="I2893">
        <v>2</v>
      </c>
    </row>
    <row r="2894" spans="1:9" x14ac:dyDescent="0.35">
      <c r="A2894" t="str">
        <f t="shared" si="45"/>
        <v>DAhours_boughtS1202672</v>
      </c>
      <c r="B2894" t="s">
        <v>95</v>
      </c>
      <c r="C2894" t="s">
        <v>99</v>
      </c>
      <c r="D2894" t="s">
        <v>113</v>
      </c>
      <c r="E2894" t="s">
        <v>110</v>
      </c>
      <c r="F2894">
        <v>737</v>
      </c>
      <c r="G2894">
        <v>2026</v>
      </c>
      <c r="H2894">
        <v>7</v>
      </c>
      <c r="I2894">
        <v>2</v>
      </c>
    </row>
    <row r="2895" spans="1:9" x14ac:dyDescent="0.35">
      <c r="A2895" t="str">
        <f t="shared" si="45"/>
        <v>DAhours_soldS1202672</v>
      </c>
      <c r="B2895" t="s">
        <v>95</v>
      </c>
      <c r="C2895" t="s">
        <v>99</v>
      </c>
      <c r="D2895" t="s">
        <v>114</v>
      </c>
      <c r="E2895" t="s">
        <v>110</v>
      </c>
      <c r="F2895">
        <v>145</v>
      </c>
      <c r="G2895">
        <v>2026</v>
      </c>
      <c r="H2895">
        <v>7</v>
      </c>
      <c r="I2895">
        <v>2</v>
      </c>
    </row>
    <row r="2896" spans="1:9" x14ac:dyDescent="0.35">
      <c r="A2896" t="str">
        <f t="shared" si="45"/>
        <v>DAco2_emissionS1202672</v>
      </c>
      <c r="C2896" t="s">
        <v>99</v>
      </c>
      <c r="D2896" t="s">
        <v>204</v>
      </c>
      <c r="E2896" t="s">
        <v>110</v>
      </c>
      <c r="F2896">
        <v>34564.762652599267</v>
      </c>
      <c r="G2896">
        <v>2026</v>
      </c>
      <c r="H2896">
        <v>7</v>
      </c>
      <c r="I2896">
        <v>2</v>
      </c>
    </row>
    <row r="2897" spans="1:9" x14ac:dyDescent="0.35">
      <c r="A2897" t="str">
        <f t="shared" si="45"/>
        <v>fcrincomeS1202672</v>
      </c>
      <c r="C2897" t="s">
        <v>102</v>
      </c>
      <c r="D2897" t="s">
        <v>101</v>
      </c>
      <c r="E2897" t="s">
        <v>110</v>
      </c>
      <c r="F2897">
        <v>0</v>
      </c>
      <c r="G2897">
        <v>2026</v>
      </c>
      <c r="H2897">
        <v>7</v>
      </c>
      <c r="I2897">
        <v>2</v>
      </c>
    </row>
    <row r="2898" spans="1:9" x14ac:dyDescent="0.35">
      <c r="A2898" t="str">
        <f t="shared" si="45"/>
        <v>fcractivation_hoursS1202672</v>
      </c>
      <c r="C2898" t="s">
        <v>102</v>
      </c>
      <c r="D2898" t="s">
        <v>115</v>
      </c>
      <c r="E2898" t="s">
        <v>110</v>
      </c>
      <c r="F2898">
        <v>0</v>
      </c>
      <c r="G2898">
        <v>2026</v>
      </c>
      <c r="H2898">
        <v>7</v>
      </c>
      <c r="I2898">
        <v>2</v>
      </c>
    </row>
    <row r="2899" spans="1:9" x14ac:dyDescent="0.35">
      <c r="A2899" t="str">
        <f t="shared" si="45"/>
        <v>afrrincomeS1202672</v>
      </c>
      <c r="C2899" t="s">
        <v>103</v>
      </c>
      <c r="D2899" t="s">
        <v>101</v>
      </c>
      <c r="E2899" t="s">
        <v>110</v>
      </c>
      <c r="F2899">
        <v>338168.45921882341</v>
      </c>
      <c r="G2899">
        <v>2026</v>
      </c>
      <c r="H2899">
        <v>7</v>
      </c>
      <c r="I2899">
        <v>2</v>
      </c>
    </row>
    <row r="2900" spans="1:9" x14ac:dyDescent="0.35">
      <c r="A2900" t="str">
        <f t="shared" si="45"/>
        <v>afrractivation_hoursS1202672</v>
      </c>
      <c r="C2900" t="s">
        <v>103</v>
      </c>
      <c r="D2900" t="s">
        <v>115</v>
      </c>
      <c r="E2900" t="s">
        <v>110</v>
      </c>
      <c r="F2900">
        <v>8747</v>
      </c>
      <c r="G2900">
        <v>2026</v>
      </c>
      <c r="H2900">
        <v>7</v>
      </c>
      <c r="I2900">
        <v>2</v>
      </c>
    </row>
    <row r="2901" spans="1:9" x14ac:dyDescent="0.35">
      <c r="A2901" t="str">
        <f t="shared" si="45"/>
        <v>networkturpe_power_costS1202772</v>
      </c>
      <c r="C2901" t="s">
        <v>96</v>
      </c>
      <c r="D2901" t="s">
        <v>97</v>
      </c>
      <c r="E2901" t="s">
        <v>110</v>
      </c>
      <c r="F2901">
        <v>14034.0000241123</v>
      </c>
      <c r="G2901">
        <v>2027</v>
      </c>
      <c r="H2901">
        <v>7</v>
      </c>
      <c r="I2901">
        <v>2</v>
      </c>
    </row>
    <row r="2902" spans="1:9" x14ac:dyDescent="0.35">
      <c r="A2902" t="str">
        <f t="shared" si="45"/>
        <v>networkturpe_energy_costS1202772</v>
      </c>
      <c r="C2902" t="s">
        <v>96</v>
      </c>
      <c r="D2902" t="s">
        <v>98</v>
      </c>
      <c r="E2902" t="s">
        <v>110</v>
      </c>
      <c r="F2902">
        <v>12498.726681078449</v>
      </c>
      <c r="G2902">
        <v>2027</v>
      </c>
      <c r="H2902">
        <v>7</v>
      </c>
      <c r="I2902">
        <v>2</v>
      </c>
    </row>
    <row r="2903" spans="1:9" x14ac:dyDescent="0.35">
      <c r="A2903" t="str">
        <f t="shared" si="45"/>
        <v>DAcostS1202772</v>
      </c>
      <c r="C2903" t="s">
        <v>99</v>
      </c>
      <c r="D2903" t="s">
        <v>100</v>
      </c>
      <c r="E2903" t="s">
        <v>110</v>
      </c>
      <c r="F2903">
        <v>83388.006012925718</v>
      </c>
      <c r="G2903">
        <v>2027</v>
      </c>
      <c r="H2903">
        <v>7</v>
      </c>
      <c r="I2903">
        <v>2</v>
      </c>
    </row>
    <row r="2904" spans="1:9" x14ac:dyDescent="0.35">
      <c r="A2904" t="str">
        <f t="shared" si="45"/>
        <v>DAincomeS1202772</v>
      </c>
      <c r="C2904" t="s">
        <v>99</v>
      </c>
      <c r="D2904" t="s">
        <v>101</v>
      </c>
      <c r="E2904" t="s">
        <v>110</v>
      </c>
      <c r="F2904">
        <v>113785.1140271287</v>
      </c>
      <c r="G2904">
        <v>2027</v>
      </c>
      <c r="H2904">
        <v>7</v>
      </c>
      <c r="I2904">
        <v>2</v>
      </c>
    </row>
    <row r="2905" spans="1:9" x14ac:dyDescent="0.35">
      <c r="A2905" t="str">
        <f t="shared" si="45"/>
        <v>DAenergy_boughtS1202772</v>
      </c>
      <c r="C2905" t="s">
        <v>99</v>
      </c>
      <c r="D2905" t="s">
        <v>111</v>
      </c>
      <c r="E2905" t="s">
        <v>110</v>
      </c>
      <c r="F2905">
        <v>859.83929631259389</v>
      </c>
      <c r="G2905">
        <v>2027</v>
      </c>
      <c r="H2905">
        <v>7</v>
      </c>
      <c r="I2905">
        <v>2</v>
      </c>
    </row>
    <row r="2906" spans="1:9" x14ac:dyDescent="0.35">
      <c r="A2906" t="str">
        <f t="shared" si="45"/>
        <v>DAenergy_soldS1202772</v>
      </c>
      <c r="B2906" t="s">
        <v>95</v>
      </c>
      <c r="C2906" t="s">
        <v>99</v>
      </c>
      <c r="D2906" t="s">
        <v>112</v>
      </c>
      <c r="E2906" t="s">
        <v>110</v>
      </c>
      <c r="F2906">
        <v>672.79476954194843</v>
      </c>
      <c r="G2906">
        <v>2027</v>
      </c>
      <c r="H2906">
        <v>7</v>
      </c>
      <c r="I2906">
        <v>2</v>
      </c>
    </row>
    <row r="2907" spans="1:9" x14ac:dyDescent="0.35">
      <c r="A2907" t="str">
        <f t="shared" si="45"/>
        <v>DAhours_boughtS1202772</v>
      </c>
      <c r="B2907" t="s">
        <v>95</v>
      </c>
      <c r="C2907" t="s">
        <v>99</v>
      </c>
      <c r="D2907" t="s">
        <v>113</v>
      </c>
      <c r="E2907" t="s">
        <v>110</v>
      </c>
      <c r="F2907">
        <v>903</v>
      </c>
      <c r="G2907">
        <v>2027</v>
      </c>
      <c r="H2907">
        <v>7</v>
      </c>
      <c r="I2907">
        <v>2</v>
      </c>
    </row>
    <row r="2908" spans="1:9" x14ac:dyDescent="0.35">
      <c r="A2908" t="str">
        <f t="shared" si="45"/>
        <v>DAhours_soldS1202772</v>
      </c>
      <c r="C2908" t="s">
        <v>99</v>
      </c>
      <c r="D2908" t="s">
        <v>114</v>
      </c>
      <c r="E2908" t="s">
        <v>110</v>
      </c>
      <c r="F2908">
        <v>220</v>
      </c>
      <c r="G2908">
        <v>2027</v>
      </c>
      <c r="H2908">
        <v>7</v>
      </c>
      <c r="I2908">
        <v>2</v>
      </c>
    </row>
    <row r="2909" spans="1:9" x14ac:dyDescent="0.35">
      <c r="A2909" t="str">
        <f t="shared" si="45"/>
        <v>DAco2_emissionS1202772</v>
      </c>
      <c r="C2909" t="s">
        <v>99</v>
      </c>
      <c r="D2909" t="s">
        <v>204</v>
      </c>
      <c r="E2909" t="s">
        <v>110</v>
      </c>
      <c r="F2909">
        <v>60188.750741881682</v>
      </c>
      <c r="G2909">
        <v>2027</v>
      </c>
      <c r="H2909">
        <v>7</v>
      </c>
      <c r="I2909">
        <v>2</v>
      </c>
    </row>
    <row r="2910" spans="1:9" x14ac:dyDescent="0.35">
      <c r="A2910" t="str">
        <f t="shared" si="45"/>
        <v>fcrincomeS1202772</v>
      </c>
      <c r="C2910" t="s">
        <v>102</v>
      </c>
      <c r="D2910" t="s">
        <v>101</v>
      </c>
      <c r="E2910" t="s">
        <v>110</v>
      </c>
      <c r="F2910">
        <v>0</v>
      </c>
      <c r="G2910">
        <v>2027</v>
      </c>
      <c r="H2910">
        <v>7</v>
      </c>
      <c r="I2910">
        <v>2</v>
      </c>
    </row>
    <row r="2911" spans="1:9" x14ac:dyDescent="0.35">
      <c r="A2911" t="str">
        <f t="shared" si="45"/>
        <v>fcractivation_hoursS1202772</v>
      </c>
      <c r="C2911" t="s">
        <v>102</v>
      </c>
      <c r="D2911" t="s">
        <v>115</v>
      </c>
      <c r="E2911" t="s">
        <v>110</v>
      </c>
      <c r="F2911">
        <v>0</v>
      </c>
      <c r="G2911">
        <v>2027</v>
      </c>
      <c r="H2911">
        <v>7</v>
      </c>
      <c r="I2911">
        <v>2</v>
      </c>
    </row>
    <row r="2912" spans="1:9" x14ac:dyDescent="0.35">
      <c r="A2912" t="str">
        <f t="shared" si="45"/>
        <v>afrrincomeS1202772</v>
      </c>
      <c r="C2912" t="s">
        <v>103</v>
      </c>
      <c r="D2912" t="s">
        <v>101</v>
      </c>
      <c r="E2912" t="s">
        <v>110</v>
      </c>
      <c r="F2912">
        <v>291197.49348867172</v>
      </c>
      <c r="G2912">
        <v>2027</v>
      </c>
      <c r="H2912">
        <v>7</v>
      </c>
      <c r="I2912">
        <v>2</v>
      </c>
    </row>
    <row r="2913" spans="1:9" x14ac:dyDescent="0.35">
      <c r="A2913" t="str">
        <f t="shared" si="45"/>
        <v>afrractivation_hoursS1202772</v>
      </c>
      <c r="C2913" t="s">
        <v>103</v>
      </c>
      <c r="D2913" t="s">
        <v>115</v>
      </c>
      <c r="E2913" t="s">
        <v>110</v>
      </c>
      <c r="F2913">
        <v>8718</v>
      </c>
      <c r="G2913">
        <v>2027</v>
      </c>
      <c r="H2913">
        <v>7</v>
      </c>
      <c r="I2913">
        <v>2</v>
      </c>
    </row>
    <row r="2914" spans="1:9" x14ac:dyDescent="0.35">
      <c r="A2914" t="str">
        <f t="shared" si="45"/>
        <v>networkturpe_power_costS1202872</v>
      </c>
      <c r="C2914" t="s">
        <v>96</v>
      </c>
      <c r="D2914" t="s">
        <v>97</v>
      </c>
      <c r="E2914" t="s">
        <v>110</v>
      </c>
      <c r="F2914">
        <v>15227.35703692415</v>
      </c>
      <c r="G2914">
        <v>2028</v>
      </c>
      <c r="H2914">
        <v>7</v>
      </c>
      <c r="I2914">
        <v>2</v>
      </c>
    </row>
    <row r="2915" spans="1:9" x14ac:dyDescent="0.35">
      <c r="A2915" t="str">
        <f t="shared" si="45"/>
        <v>networkturpe_energy_costS1202872</v>
      </c>
      <c r="C2915" t="s">
        <v>96</v>
      </c>
      <c r="D2915" t="s">
        <v>98</v>
      </c>
      <c r="E2915" t="s">
        <v>110</v>
      </c>
      <c r="F2915">
        <v>17264.218981408991</v>
      </c>
      <c r="G2915">
        <v>2028</v>
      </c>
      <c r="H2915">
        <v>7</v>
      </c>
      <c r="I2915">
        <v>2</v>
      </c>
    </row>
    <row r="2916" spans="1:9" x14ac:dyDescent="0.35">
      <c r="A2916" t="str">
        <f t="shared" si="45"/>
        <v>DAcostS1202872</v>
      </c>
      <c r="C2916" t="s">
        <v>99</v>
      </c>
      <c r="D2916" t="s">
        <v>100</v>
      </c>
      <c r="E2916" t="s">
        <v>110</v>
      </c>
      <c r="F2916">
        <v>105187.8415445018</v>
      </c>
      <c r="G2916">
        <v>2028</v>
      </c>
      <c r="H2916">
        <v>7</v>
      </c>
      <c r="I2916">
        <v>2</v>
      </c>
    </row>
    <row r="2917" spans="1:9" x14ac:dyDescent="0.35">
      <c r="A2917" t="str">
        <f t="shared" si="45"/>
        <v>DAincomeS1202872</v>
      </c>
      <c r="C2917" t="s">
        <v>99</v>
      </c>
      <c r="D2917" t="s">
        <v>101</v>
      </c>
      <c r="E2917" t="s">
        <v>110</v>
      </c>
      <c r="F2917">
        <v>147690.09590959299</v>
      </c>
      <c r="G2917">
        <v>2028</v>
      </c>
      <c r="H2917">
        <v>7</v>
      </c>
      <c r="I2917">
        <v>2</v>
      </c>
    </row>
    <row r="2918" spans="1:9" x14ac:dyDescent="0.35">
      <c r="A2918" t="str">
        <f t="shared" si="45"/>
        <v>DAenergy_boughtS1202872</v>
      </c>
      <c r="B2918" t="s">
        <v>95</v>
      </c>
      <c r="C2918" t="s">
        <v>99</v>
      </c>
      <c r="D2918" t="s">
        <v>111</v>
      </c>
      <c r="E2918" t="s">
        <v>110</v>
      </c>
      <c r="F2918">
        <v>1178.215596592675</v>
      </c>
      <c r="G2918">
        <v>2028</v>
      </c>
      <c r="H2918">
        <v>7</v>
      </c>
      <c r="I2918">
        <v>2</v>
      </c>
    </row>
    <row r="2919" spans="1:9" x14ac:dyDescent="0.35">
      <c r="A2919" t="str">
        <f t="shared" si="45"/>
        <v>DAenergy_soldS1202872</v>
      </c>
      <c r="B2919" t="s">
        <v>95</v>
      </c>
      <c r="C2919" t="s">
        <v>99</v>
      </c>
      <c r="D2919" t="s">
        <v>112</v>
      </c>
      <c r="E2919" t="s">
        <v>110</v>
      </c>
      <c r="F2919">
        <v>929.97985737387125</v>
      </c>
      <c r="G2919">
        <v>2028</v>
      </c>
      <c r="H2919">
        <v>7</v>
      </c>
      <c r="I2919">
        <v>2</v>
      </c>
    </row>
    <row r="2920" spans="1:9" x14ac:dyDescent="0.35">
      <c r="A2920" t="str">
        <f t="shared" si="45"/>
        <v>DAhours_boughtS1202872</v>
      </c>
      <c r="C2920" t="s">
        <v>99</v>
      </c>
      <c r="D2920" t="s">
        <v>113</v>
      </c>
      <c r="E2920" t="s">
        <v>110</v>
      </c>
      <c r="F2920">
        <v>1128</v>
      </c>
      <c r="G2920">
        <v>2028</v>
      </c>
      <c r="H2920">
        <v>7</v>
      </c>
      <c r="I2920">
        <v>2</v>
      </c>
    </row>
    <row r="2921" spans="1:9" x14ac:dyDescent="0.35">
      <c r="A2921" t="str">
        <f t="shared" si="45"/>
        <v>DAhours_soldS1202872</v>
      </c>
      <c r="C2921" t="s">
        <v>99</v>
      </c>
      <c r="D2921" t="s">
        <v>114</v>
      </c>
      <c r="E2921" t="s">
        <v>110</v>
      </c>
      <c r="F2921">
        <v>275</v>
      </c>
      <c r="G2921">
        <v>2028</v>
      </c>
      <c r="H2921">
        <v>7</v>
      </c>
      <c r="I2921">
        <v>2</v>
      </c>
    </row>
    <row r="2922" spans="1:9" x14ac:dyDescent="0.35">
      <c r="A2922" t="str">
        <f t="shared" si="45"/>
        <v>DAco2_emissionS1202872</v>
      </c>
      <c r="C2922" t="s">
        <v>99</v>
      </c>
      <c r="D2922" t="s">
        <v>204</v>
      </c>
      <c r="E2922" t="s">
        <v>110</v>
      </c>
      <c r="F2922">
        <v>82475.09176148726</v>
      </c>
      <c r="G2922">
        <v>2028</v>
      </c>
      <c r="H2922">
        <v>7</v>
      </c>
      <c r="I2922">
        <v>2</v>
      </c>
    </row>
    <row r="2923" spans="1:9" x14ac:dyDescent="0.35">
      <c r="A2923" t="str">
        <f t="shared" si="45"/>
        <v>fcrincomeS1202872</v>
      </c>
      <c r="C2923" t="s">
        <v>102</v>
      </c>
      <c r="D2923" t="s">
        <v>101</v>
      </c>
      <c r="E2923" t="s">
        <v>110</v>
      </c>
      <c r="F2923">
        <v>0</v>
      </c>
      <c r="G2923">
        <v>2028</v>
      </c>
      <c r="H2923">
        <v>7</v>
      </c>
      <c r="I2923">
        <v>2</v>
      </c>
    </row>
    <row r="2924" spans="1:9" x14ac:dyDescent="0.35">
      <c r="A2924" t="str">
        <f t="shared" si="45"/>
        <v>fcractivation_hoursS1202872</v>
      </c>
      <c r="C2924" t="s">
        <v>102</v>
      </c>
      <c r="D2924" t="s">
        <v>115</v>
      </c>
      <c r="E2924" t="s">
        <v>110</v>
      </c>
      <c r="F2924">
        <v>0</v>
      </c>
      <c r="G2924">
        <v>2028</v>
      </c>
      <c r="H2924">
        <v>7</v>
      </c>
      <c r="I2924">
        <v>2</v>
      </c>
    </row>
    <row r="2925" spans="1:9" x14ac:dyDescent="0.35">
      <c r="A2925" t="str">
        <f t="shared" si="45"/>
        <v>afrrincomeS1202872</v>
      </c>
      <c r="C2925" t="s">
        <v>103</v>
      </c>
      <c r="D2925" t="s">
        <v>101</v>
      </c>
      <c r="E2925" t="s">
        <v>110</v>
      </c>
      <c r="F2925">
        <v>290799.68689905968</v>
      </c>
      <c r="G2925">
        <v>2028</v>
      </c>
      <c r="H2925">
        <v>7</v>
      </c>
      <c r="I2925">
        <v>2</v>
      </c>
    </row>
    <row r="2926" spans="1:9" x14ac:dyDescent="0.35">
      <c r="A2926" t="str">
        <f t="shared" si="45"/>
        <v>afrractivation_hoursS1202872</v>
      </c>
      <c r="C2926" t="s">
        <v>103</v>
      </c>
      <c r="D2926" t="s">
        <v>115</v>
      </c>
      <c r="E2926" t="s">
        <v>110</v>
      </c>
      <c r="F2926">
        <v>8715</v>
      </c>
      <c r="G2926">
        <v>2028</v>
      </c>
      <c r="H2926">
        <v>7</v>
      </c>
      <c r="I2926">
        <v>2</v>
      </c>
    </row>
    <row r="2927" spans="1:9" x14ac:dyDescent="0.35">
      <c r="A2927" t="str">
        <f t="shared" si="45"/>
        <v>networkturpe_power_costS1202972</v>
      </c>
      <c r="C2927" t="s">
        <v>96</v>
      </c>
      <c r="D2927" t="s">
        <v>97</v>
      </c>
      <c r="E2927" t="s">
        <v>110</v>
      </c>
      <c r="F2927">
        <v>16266.841964082159</v>
      </c>
      <c r="G2927">
        <v>2029</v>
      </c>
      <c r="H2927">
        <v>7</v>
      </c>
      <c r="I2927">
        <v>2</v>
      </c>
    </row>
    <row r="2928" spans="1:9" x14ac:dyDescent="0.35">
      <c r="A2928" t="str">
        <f t="shared" si="45"/>
        <v>networkturpe_energy_costS1202972</v>
      </c>
      <c r="C2928" t="s">
        <v>96</v>
      </c>
      <c r="D2928" t="s">
        <v>98</v>
      </c>
      <c r="E2928" t="s">
        <v>110</v>
      </c>
      <c r="F2928">
        <v>18929.88667096039</v>
      </c>
      <c r="G2928">
        <v>2029</v>
      </c>
      <c r="H2928">
        <v>7</v>
      </c>
      <c r="I2928">
        <v>2</v>
      </c>
    </row>
    <row r="2929" spans="1:9" x14ac:dyDescent="0.35">
      <c r="A2929" t="str">
        <f t="shared" si="45"/>
        <v>DAcostS1202972</v>
      </c>
      <c r="C2929" t="s">
        <v>99</v>
      </c>
      <c r="D2929" t="s">
        <v>100</v>
      </c>
      <c r="E2929" t="s">
        <v>110</v>
      </c>
      <c r="F2929">
        <v>91359.670671321728</v>
      </c>
      <c r="G2929">
        <v>2029</v>
      </c>
      <c r="H2929">
        <v>7</v>
      </c>
      <c r="I2929">
        <v>2</v>
      </c>
    </row>
    <row r="2930" spans="1:9" x14ac:dyDescent="0.35">
      <c r="A2930" t="str">
        <f t="shared" si="45"/>
        <v>DAincomeS1202972</v>
      </c>
      <c r="B2930" t="s">
        <v>95</v>
      </c>
      <c r="C2930" t="s">
        <v>99</v>
      </c>
      <c r="D2930" t="s">
        <v>101</v>
      </c>
      <c r="E2930" t="s">
        <v>110</v>
      </c>
      <c r="F2930">
        <v>140683.79941462589</v>
      </c>
      <c r="G2930">
        <v>2029</v>
      </c>
      <c r="H2930">
        <v>7</v>
      </c>
      <c r="I2930">
        <v>2</v>
      </c>
    </row>
    <row r="2931" spans="1:9" x14ac:dyDescent="0.35">
      <c r="A2931" t="str">
        <f t="shared" si="45"/>
        <v>DAenergy_boughtS1202972</v>
      </c>
      <c r="B2931" t="s">
        <v>95</v>
      </c>
      <c r="C2931" t="s">
        <v>99</v>
      </c>
      <c r="D2931" t="s">
        <v>111</v>
      </c>
      <c r="E2931" t="s">
        <v>110</v>
      </c>
      <c r="F2931">
        <v>1284.0424787461709</v>
      </c>
      <c r="G2931">
        <v>2029</v>
      </c>
      <c r="H2931">
        <v>7</v>
      </c>
      <c r="I2931">
        <v>2</v>
      </c>
    </row>
    <row r="2932" spans="1:9" x14ac:dyDescent="0.35">
      <c r="A2932" t="str">
        <f t="shared" si="45"/>
        <v>DAenergy_soldS1202972</v>
      </c>
      <c r="C2932" t="s">
        <v>99</v>
      </c>
      <c r="D2932" t="s">
        <v>112</v>
      </c>
      <c r="E2932" t="s">
        <v>110</v>
      </c>
      <c r="F2932">
        <v>1015.432824429649</v>
      </c>
      <c r="G2932">
        <v>2029</v>
      </c>
      <c r="H2932">
        <v>7</v>
      </c>
      <c r="I2932">
        <v>2</v>
      </c>
    </row>
    <row r="2933" spans="1:9" x14ac:dyDescent="0.35">
      <c r="A2933" t="str">
        <f t="shared" si="45"/>
        <v>DAhours_boughtS1202972</v>
      </c>
      <c r="C2933" t="s">
        <v>99</v>
      </c>
      <c r="D2933" t="s">
        <v>113</v>
      </c>
      <c r="E2933" t="s">
        <v>110</v>
      </c>
      <c r="F2933">
        <v>1247</v>
      </c>
      <c r="G2933">
        <v>2029</v>
      </c>
      <c r="H2933">
        <v>7</v>
      </c>
      <c r="I2933">
        <v>2</v>
      </c>
    </row>
    <row r="2934" spans="1:9" x14ac:dyDescent="0.35">
      <c r="A2934" t="str">
        <f t="shared" si="45"/>
        <v>DAhours_soldS1202972</v>
      </c>
      <c r="C2934" t="s">
        <v>99</v>
      </c>
      <c r="D2934" t="s">
        <v>114</v>
      </c>
      <c r="E2934" t="s">
        <v>110</v>
      </c>
      <c r="F2934">
        <v>280</v>
      </c>
      <c r="G2934">
        <v>2029</v>
      </c>
      <c r="H2934">
        <v>7</v>
      </c>
      <c r="I2934">
        <v>2</v>
      </c>
    </row>
    <row r="2935" spans="1:9" x14ac:dyDescent="0.35">
      <c r="A2935" t="str">
        <f t="shared" si="45"/>
        <v>DAco2_emissionS1202972</v>
      </c>
      <c r="C2935" t="s">
        <v>99</v>
      </c>
      <c r="D2935" t="s">
        <v>204</v>
      </c>
      <c r="E2935" t="s">
        <v>110</v>
      </c>
      <c r="F2935">
        <v>89882.973512232784</v>
      </c>
      <c r="G2935">
        <v>2029</v>
      </c>
      <c r="H2935">
        <v>7</v>
      </c>
      <c r="I2935">
        <v>2</v>
      </c>
    </row>
    <row r="2936" spans="1:9" x14ac:dyDescent="0.35">
      <c r="A2936" t="str">
        <f t="shared" si="45"/>
        <v>fcrincomeS1202972</v>
      </c>
      <c r="C2936" t="s">
        <v>102</v>
      </c>
      <c r="D2936" t="s">
        <v>101</v>
      </c>
      <c r="E2936" t="s">
        <v>110</v>
      </c>
      <c r="F2936">
        <v>0</v>
      </c>
      <c r="G2936">
        <v>2029</v>
      </c>
      <c r="H2936">
        <v>7</v>
      </c>
      <c r="I2936">
        <v>2</v>
      </c>
    </row>
    <row r="2937" spans="1:9" x14ac:dyDescent="0.35">
      <c r="A2937" t="str">
        <f t="shared" si="45"/>
        <v>fcractivation_hoursS1202972</v>
      </c>
      <c r="C2937" t="s">
        <v>102</v>
      </c>
      <c r="D2937" t="s">
        <v>115</v>
      </c>
      <c r="E2937" t="s">
        <v>110</v>
      </c>
      <c r="F2937">
        <v>0</v>
      </c>
      <c r="G2937">
        <v>2029</v>
      </c>
      <c r="H2937">
        <v>7</v>
      </c>
      <c r="I2937">
        <v>2</v>
      </c>
    </row>
    <row r="2938" spans="1:9" x14ac:dyDescent="0.35">
      <c r="A2938" t="str">
        <f t="shared" si="45"/>
        <v>afrrincomeS1202972</v>
      </c>
      <c r="C2938" t="s">
        <v>103</v>
      </c>
      <c r="D2938" t="s">
        <v>101</v>
      </c>
      <c r="E2938" t="s">
        <v>110</v>
      </c>
      <c r="F2938">
        <v>307901.49061717419</v>
      </c>
      <c r="G2938">
        <v>2029</v>
      </c>
      <c r="H2938">
        <v>7</v>
      </c>
      <c r="I2938">
        <v>2</v>
      </c>
    </row>
    <row r="2939" spans="1:9" x14ac:dyDescent="0.35">
      <c r="A2939" t="str">
        <f t="shared" si="45"/>
        <v>afrractivation_hoursS1202972</v>
      </c>
      <c r="C2939" t="s">
        <v>103</v>
      </c>
      <c r="D2939" t="s">
        <v>115</v>
      </c>
      <c r="E2939" t="s">
        <v>110</v>
      </c>
      <c r="F2939">
        <v>8731</v>
      </c>
      <c r="G2939">
        <v>2029</v>
      </c>
      <c r="H2939">
        <v>7</v>
      </c>
      <c r="I2939">
        <v>2</v>
      </c>
    </row>
    <row r="2940" spans="1:9" x14ac:dyDescent="0.35">
      <c r="A2940" t="str">
        <f t="shared" si="45"/>
        <v>networkturpe_power_costS1203072</v>
      </c>
      <c r="C2940" t="s">
        <v>96</v>
      </c>
      <c r="D2940" t="s">
        <v>97</v>
      </c>
      <c r="E2940" t="s">
        <v>110</v>
      </c>
      <c r="F2940">
        <v>18527.859747470509</v>
      </c>
      <c r="G2940">
        <v>2030</v>
      </c>
      <c r="H2940">
        <v>7</v>
      </c>
      <c r="I2940">
        <v>2</v>
      </c>
    </row>
    <row r="2941" spans="1:9" x14ac:dyDescent="0.35">
      <c r="A2941" t="str">
        <f t="shared" si="45"/>
        <v>networkturpe_energy_costS1203072</v>
      </c>
      <c r="C2941" t="s">
        <v>96</v>
      </c>
      <c r="D2941" t="s">
        <v>98</v>
      </c>
      <c r="E2941" t="s">
        <v>110</v>
      </c>
      <c r="F2941">
        <v>29348.417604429331</v>
      </c>
      <c r="G2941">
        <v>2030</v>
      </c>
      <c r="H2941">
        <v>7</v>
      </c>
      <c r="I2941">
        <v>2</v>
      </c>
    </row>
    <row r="2942" spans="1:9" x14ac:dyDescent="0.35">
      <c r="A2942" t="str">
        <f t="shared" si="45"/>
        <v>DAcostS1203072</v>
      </c>
      <c r="B2942" t="s">
        <v>95</v>
      </c>
      <c r="C2942" t="s">
        <v>99</v>
      </c>
      <c r="D2942" t="s">
        <v>100</v>
      </c>
      <c r="E2942" t="s">
        <v>110</v>
      </c>
      <c r="F2942">
        <v>106837.6759471087</v>
      </c>
      <c r="G2942">
        <v>2030</v>
      </c>
      <c r="H2942">
        <v>7</v>
      </c>
      <c r="I2942">
        <v>2</v>
      </c>
    </row>
    <row r="2943" spans="1:9" x14ac:dyDescent="0.35">
      <c r="A2943" t="str">
        <f t="shared" si="45"/>
        <v>DAincomeS1203072</v>
      </c>
      <c r="B2943" t="s">
        <v>95</v>
      </c>
      <c r="C2943" t="s">
        <v>99</v>
      </c>
      <c r="D2943" t="s">
        <v>101</v>
      </c>
      <c r="E2943" t="s">
        <v>110</v>
      </c>
      <c r="F2943">
        <v>182715.29291513821</v>
      </c>
      <c r="G2943">
        <v>2030</v>
      </c>
      <c r="H2943">
        <v>7</v>
      </c>
      <c r="I2943">
        <v>2</v>
      </c>
    </row>
    <row r="2944" spans="1:9" x14ac:dyDescent="0.35">
      <c r="A2944" t="str">
        <f t="shared" si="45"/>
        <v>DAenergy_boughtS1203072</v>
      </c>
      <c r="C2944" t="s">
        <v>99</v>
      </c>
      <c r="D2944" t="s">
        <v>111</v>
      </c>
      <c r="E2944" t="s">
        <v>110</v>
      </c>
      <c r="F2944">
        <v>1926.430370529343</v>
      </c>
      <c r="G2944">
        <v>2030</v>
      </c>
      <c r="H2944">
        <v>7</v>
      </c>
      <c r="I2944">
        <v>2</v>
      </c>
    </row>
    <row r="2945" spans="1:9" x14ac:dyDescent="0.35">
      <c r="A2945" t="str">
        <f t="shared" si="45"/>
        <v>DAenergy_soldS1203072</v>
      </c>
      <c r="C2945" t="s">
        <v>99</v>
      </c>
      <c r="D2945" t="s">
        <v>112</v>
      </c>
      <c r="E2945" t="s">
        <v>110</v>
      </c>
      <c r="F2945">
        <v>1535.6232932465441</v>
      </c>
      <c r="G2945">
        <v>2030</v>
      </c>
      <c r="H2945">
        <v>7</v>
      </c>
      <c r="I2945">
        <v>2</v>
      </c>
    </row>
    <row r="2946" spans="1:9" x14ac:dyDescent="0.35">
      <c r="A2946" t="str">
        <f t="shared" si="45"/>
        <v>DAhours_boughtS1203072</v>
      </c>
      <c r="C2946" t="s">
        <v>99</v>
      </c>
      <c r="D2946" t="s">
        <v>113</v>
      </c>
      <c r="E2946" t="s">
        <v>110</v>
      </c>
      <c r="F2946">
        <v>1702</v>
      </c>
      <c r="G2946">
        <v>2030</v>
      </c>
      <c r="H2946">
        <v>7</v>
      </c>
      <c r="I2946">
        <v>2</v>
      </c>
    </row>
    <row r="2947" spans="1:9" x14ac:dyDescent="0.35">
      <c r="A2947" t="str">
        <f t="shared" ref="A2947:A3010" si="46">C2947&amp;D2947&amp;E2947&amp;G2947&amp;H2947&amp;I2947</f>
        <v>DAhours_soldS1203072</v>
      </c>
      <c r="C2947" t="s">
        <v>99</v>
      </c>
      <c r="D2947" t="s">
        <v>114</v>
      </c>
      <c r="E2947" t="s">
        <v>110</v>
      </c>
      <c r="F2947">
        <v>404</v>
      </c>
      <c r="G2947">
        <v>2030</v>
      </c>
      <c r="H2947">
        <v>7</v>
      </c>
      <c r="I2947">
        <v>2</v>
      </c>
    </row>
    <row r="2948" spans="1:9" x14ac:dyDescent="0.35">
      <c r="A2948" t="str">
        <f t="shared" si="46"/>
        <v>DAco2_emissionS1203072</v>
      </c>
      <c r="C2948" t="s">
        <v>99</v>
      </c>
      <c r="D2948" t="s">
        <v>204</v>
      </c>
      <c r="E2948" t="s">
        <v>110</v>
      </c>
      <c r="F2948">
        <v>134850.12593705361</v>
      </c>
      <c r="G2948">
        <v>2030</v>
      </c>
      <c r="H2948">
        <v>7</v>
      </c>
      <c r="I2948">
        <v>2</v>
      </c>
    </row>
    <row r="2949" spans="1:9" x14ac:dyDescent="0.35">
      <c r="A2949" t="str">
        <f t="shared" si="46"/>
        <v>fcrincomeS1203072</v>
      </c>
      <c r="C2949" t="s">
        <v>102</v>
      </c>
      <c r="D2949" t="s">
        <v>101</v>
      </c>
      <c r="E2949" t="s">
        <v>110</v>
      </c>
      <c r="F2949">
        <v>3.3808964650812929</v>
      </c>
      <c r="G2949">
        <v>2030</v>
      </c>
      <c r="H2949">
        <v>7</v>
      </c>
      <c r="I2949">
        <v>2</v>
      </c>
    </row>
    <row r="2950" spans="1:9" x14ac:dyDescent="0.35">
      <c r="A2950" t="str">
        <f t="shared" si="46"/>
        <v>fcractivation_hoursS1203072</v>
      </c>
      <c r="C2950" t="s">
        <v>102</v>
      </c>
      <c r="D2950" t="s">
        <v>115</v>
      </c>
      <c r="E2950" t="s">
        <v>110</v>
      </c>
      <c r="F2950">
        <v>12</v>
      </c>
      <c r="G2950">
        <v>2030</v>
      </c>
      <c r="H2950">
        <v>7</v>
      </c>
      <c r="I2950">
        <v>2</v>
      </c>
    </row>
    <row r="2951" spans="1:9" x14ac:dyDescent="0.35">
      <c r="A2951" t="str">
        <f t="shared" si="46"/>
        <v>afrrincomeS1203072</v>
      </c>
      <c r="C2951" t="s">
        <v>103</v>
      </c>
      <c r="D2951" t="s">
        <v>101</v>
      </c>
      <c r="E2951" t="s">
        <v>110</v>
      </c>
      <c r="F2951">
        <v>181911.58858748141</v>
      </c>
      <c r="G2951">
        <v>2030</v>
      </c>
      <c r="H2951">
        <v>7</v>
      </c>
      <c r="I2951">
        <v>2</v>
      </c>
    </row>
    <row r="2952" spans="1:9" x14ac:dyDescent="0.35">
      <c r="A2952" t="str">
        <f t="shared" si="46"/>
        <v>afrractivation_hoursS1203072</v>
      </c>
      <c r="C2952" t="s">
        <v>103</v>
      </c>
      <c r="D2952" t="s">
        <v>115</v>
      </c>
      <c r="E2952" t="s">
        <v>110</v>
      </c>
      <c r="F2952">
        <v>8627</v>
      </c>
      <c r="G2952">
        <v>2030</v>
      </c>
      <c r="H2952">
        <v>7</v>
      </c>
      <c r="I2952">
        <v>2</v>
      </c>
    </row>
    <row r="2953" spans="1:9" x14ac:dyDescent="0.35">
      <c r="A2953" t="str">
        <f t="shared" si="46"/>
        <v>networkturpe_power_costS1203172</v>
      </c>
      <c r="C2953" t="s">
        <v>96</v>
      </c>
      <c r="D2953" t="s">
        <v>97</v>
      </c>
      <c r="E2953" t="s">
        <v>110</v>
      </c>
      <c r="F2953">
        <v>18578.483320990828</v>
      </c>
      <c r="G2953">
        <v>2031</v>
      </c>
      <c r="H2953">
        <v>7</v>
      </c>
      <c r="I2953">
        <v>2</v>
      </c>
    </row>
    <row r="2954" spans="1:9" x14ac:dyDescent="0.35">
      <c r="A2954" t="str">
        <f t="shared" si="46"/>
        <v>networkturpe_energy_costS1203172</v>
      </c>
      <c r="B2954" t="s">
        <v>95</v>
      </c>
      <c r="C2954" t="s">
        <v>96</v>
      </c>
      <c r="D2954" t="s">
        <v>98</v>
      </c>
      <c r="E2954" t="s">
        <v>110</v>
      </c>
      <c r="F2954">
        <v>29077.880548617071</v>
      </c>
      <c r="G2954">
        <v>2031</v>
      </c>
      <c r="H2954">
        <v>7</v>
      </c>
      <c r="I2954">
        <v>2</v>
      </c>
    </row>
    <row r="2955" spans="1:9" x14ac:dyDescent="0.35">
      <c r="A2955" t="str">
        <f t="shared" si="46"/>
        <v>DAcostS1203172</v>
      </c>
      <c r="B2955" t="s">
        <v>95</v>
      </c>
      <c r="C2955" t="s">
        <v>99</v>
      </c>
      <c r="D2955" t="s">
        <v>100</v>
      </c>
      <c r="E2955" t="s">
        <v>110</v>
      </c>
      <c r="F2955">
        <v>89630.86206938549</v>
      </c>
      <c r="G2955">
        <v>2031</v>
      </c>
      <c r="H2955">
        <v>7</v>
      </c>
      <c r="I2955">
        <v>2</v>
      </c>
    </row>
    <row r="2956" spans="1:9" x14ac:dyDescent="0.35">
      <c r="A2956" t="str">
        <f t="shared" si="46"/>
        <v>DAincomeS1203172</v>
      </c>
      <c r="C2956" t="s">
        <v>99</v>
      </c>
      <c r="D2956" t="s">
        <v>101</v>
      </c>
      <c r="E2956" t="s">
        <v>110</v>
      </c>
      <c r="F2956">
        <v>164807.96914405961</v>
      </c>
      <c r="G2956">
        <v>2031</v>
      </c>
      <c r="H2956">
        <v>7</v>
      </c>
      <c r="I2956">
        <v>2</v>
      </c>
    </row>
    <row r="2957" spans="1:9" x14ac:dyDescent="0.35">
      <c r="A2957" t="str">
        <f t="shared" si="46"/>
        <v>DAenergy_boughtS1203172</v>
      </c>
      <c r="C2957" t="s">
        <v>99</v>
      </c>
      <c r="D2957" t="s">
        <v>111</v>
      </c>
      <c r="E2957" t="s">
        <v>110</v>
      </c>
      <c r="F2957">
        <v>1900.5616068941761</v>
      </c>
      <c r="G2957">
        <v>2031</v>
      </c>
      <c r="H2957">
        <v>7</v>
      </c>
      <c r="I2957">
        <v>2</v>
      </c>
    </row>
    <row r="2958" spans="1:9" x14ac:dyDescent="0.35">
      <c r="A2958" t="str">
        <f t="shared" si="46"/>
        <v>DAenergy_soldS1203172</v>
      </c>
      <c r="C2958" t="s">
        <v>99</v>
      </c>
      <c r="D2958" t="s">
        <v>112</v>
      </c>
      <c r="E2958" t="s">
        <v>110</v>
      </c>
      <c r="F2958">
        <v>1515.3984316964841</v>
      </c>
      <c r="G2958">
        <v>2031</v>
      </c>
      <c r="H2958">
        <v>7</v>
      </c>
      <c r="I2958">
        <v>2</v>
      </c>
    </row>
    <row r="2959" spans="1:9" x14ac:dyDescent="0.35">
      <c r="A2959" t="str">
        <f t="shared" si="46"/>
        <v>DAhours_boughtS1203172</v>
      </c>
      <c r="C2959" t="s">
        <v>99</v>
      </c>
      <c r="D2959" t="s">
        <v>113</v>
      </c>
      <c r="E2959" t="s">
        <v>110</v>
      </c>
      <c r="F2959">
        <v>1643</v>
      </c>
      <c r="G2959">
        <v>2031</v>
      </c>
      <c r="H2959">
        <v>7</v>
      </c>
      <c r="I2959">
        <v>2</v>
      </c>
    </row>
    <row r="2960" spans="1:9" x14ac:dyDescent="0.35">
      <c r="A2960" t="str">
        <f t="shared" si="46"/>
        <v>DAhours_soldS1203172</v>
      </c>
      <c r="C2960" t="s">
        <v>99</v>
      </c>
      <c r="D2960" t="s">
        <v>114</v>
      </c>
      <c r="E2960" t="s">
        <v>110</v>
      </c>
      <c r="F2960">
        <v>416</v>
      </c>
      <c r="G2960">
        <v>2031</v>
      </c>
      <c r="H2960">
        <v>7</v>
      </c>
      <c r="I2960">
        <v>2</v>
      </c>
    </row>
    <row r="2961" spans="1:9" x14ac:dyDescent="0.35">
      <c r="A2961" t="str">
        <f t="shared" si="46"/>
        <v>DAco2_emissionS1203172</v>
      </c>
      <c r="C2961" t="s">
        <v>99</v>
      </c>
      <c r="D2961" t="s">
        <v>204</v>
      </c>
      <c r="E2961" t="s">
        <v>110</v>
      </c>
      <c r="F2961">
        <v>133039.31248259009</v>
      </c>
      <c r="G2961">
        <v>2031</v>
      </c>
      <c r="H2961">
        <v>7</v>
      </c>
      <c r="I2961">
        <v>2</v>
      </c>
    </row>
    <row r="2962" spans="1:9" x14ac:dyDescent="0.35">
      <c r="A2962" t="str">
        <f t="shared" si="46"/>
        <v>fcrincomeS1203172</v>
      </c>
      <c r="C2962" t="s">
        <v>102</v>
      </c>
      <c r="D2962" t="s">
        <v>101</v>
      </c>
      <c r="E2962" t="s">
        <v>110</v>
      </c>
      <c r="F2962">
        <v>0.25391308511205118</v>
      </c>
      <c r="G2962">
        <v>2031</v>
      </c>
      <c r="H2962">
        <v>7</v>
      </c>
      <c r="I2962">
        <v>2</v>
      </c>
    </row>
    <row r="2963" spans="1:9" x14ac:dyDescent="0.35">
      <c r="A2963" t="str">
        <f t="shared" si="46"/>
        <v>fcractivation_hoursS1203172</v>
      </c>
      <c r="C2963" t="s">
        <v>102</v>
      </c>
      <c r="D2963" t="s">
        <v>115</v>
      </c>
      <c r="E2963" t="s">
        <v>110</v>
      </c>
      <c r="F2963">
        <v>4</v>
      </c>
      <c r="G2963">
        <v>2031</v>
      </c>
      <c r="H2963">
        <v>7</v>
      </c>
      <c r="I2963">
        <v>2</v>
      </c>
    </row>
    <row r="2964" spans="1:9" x14ac:dyDescent="0.35">
      <c r="A2964" t="str">
        <f t="shared" si="46"/>
        <v>afrrincomeS1203172</v>
      </c>
      <c r="C2964" t="s">
        <v>103</v>
      </c>
      <c r="D2964" t="s">
        <v>101</v>
      </c>
      <c r="E2964" t="s">
        <v>110</v>
      </c>
      <c r="F2964">
        <v>183047.68649560129</v>
      </c>
      <c r="G2964">
        <v>2031</v>
      </c>
      <c r="H2964">
        <v>7</v>
      </c>
      <c r="I2964">
        <v>2</v>
      </c>
    </row>
    <row r="2965" spans="1:9" x14ac:dyDescent="0.35">
      <c r="A2965" t="str">
        <f t="shared" si="46"/>
        <v>afrractivation_hoursS1203172</v>
      </c>
      <c r="C2965" t="s">
        <v>103</v>
      </c>
      <c r="D2965" t="s">
        <v>115</v>
      </c>
      <c r="E2965" t="s">
        <v>110</v>
      </c>
      <c r="F2965">
        <v>8597</v>
      </c>
      <c r="G2965">
        <v>2031</v>
      </c>
      <c r="H2965">
        <v>7</v>
      </c>
      <c r="I2965">
        <v>2</v>
      </c>
    </row>
    <row r="2966" spans="1:9" x14ac:dyDescent="0.35">
      <c r="A2966" t="str">
        <f t="shared" si="46"/>
        <v>networkturpe_power_costS1203272</v>
      </c>
      <c r="B2966" t="s">
        <v>95</v>
      </c>
      <c r="C2966" t="s">
        <v>96</v>
      </c>
      <c r="D2966" t="s">
        <v>97</v>
      </c>
      <c r="E2966" t="s">
        <v>110</v>
      </c>
      <c r="F2966">
        <v>17266.341746822061</v>
      </c>
      <c r="G2966">
        <v>2032</v>
      </c>
      <c r="H2966">
        <v>7</v>
      </c>
      <c r="I2966">
        <v>2</v>
      </c>
    </row>
    <row r="2967" spans="1:9" x14ac:dyDescent="0.35">
      <c r="A2967" t="str">
        <f t="shared" si="46"/>
        <v>networkturpe_energy_costS1203272</v>
      </c>
      <c r="B2967" t="s">
        <v>95</v>
      </c>
      <c r="C2967" t="s">
        <v>96</v>
      </c>
      <c r="D2967" t="s">
        <v>98</v>
      </c>
      <c r="E2967" t="s">
        <v>110</v>
      </c>
      <c r="F2967">
        <v>26243.954612349451</v>
      </c>
      <c r="G2967">
        <v>2032</v>
      </c>
      <c r="H2967">
        <v>7</v>
      </c>
      <c r="I2967">
        <v>2</v>
      </c>
    </row>
    <row r="2968" spans="1:9" x14ac:dyDescent="0.35">
      <c r="A2968" t="str">
        <f t="shared" si="46"/>
        <v>DAcostS1203272</v>
      </c>
      <c r="C2968" t="s">
        <v>99</v>
      </c>
      <c r="D2968" t="s">
        <v>100</v>
      </c>
      <c r="E2968" t="s">
        <v>110</v>
      </c>
      <c r="F2968">
        <v>85112.832766990847</v>
      </c>
      <c r="G2968">
        <v>2032</v>
      </c>
      <c r="H2968">
        <v>7</v>
      </c>
      <c r="I2968">
        <v>2</v>
      </c>
    </row>
    <row r="2969" spans="1:9" x14ac:dyDescent="0.35">
      <c r="A2969" t="str">
        <f t="shared" si="46"/>
        <v>DAincomeS1203272</v>
      </c>
      <c r="C2969" t="s">
        <v>99</v>
      </c>
      <c r="D2969" t="s">
        <v>101</v>
      </c>
      <c r="E2969" t="s">
        <v>110</v>
      </c>
      <c r="F2969">
        <v>159030.74926877269</v>
      </c>
      <c r="G2969">
        <v>2032</v>
      </c>
      <c r="H2969">
        <v>7</v>
      </c>
      <c r="I2969">
        <v>2</v>
      </c>
    </row>
    <row r="2970" spans="1:9" x14ac:dyDescent="0.35">
      <c r="A2970" t="str">
        <f t="shared" si="46"/>
        <v>DAenergy_boughtS1203272</v>
      </c>
      <c r="C2970" t="s">
        <v>99</v>
      </c>
      <c r="D2970" t="s">
        <v>111</v>
      </c>
      <c r="E2970" t="s">
        <v>110</v>
      </c>
      <c r="F2970">
        <v>1813.9883997272509</v>
      </c>
      <c r="G2970">
        <v>2032</v>
      </c>
      <c r="H2970">
        <v>7</v>
      </c>
      <c r="I2970">
        <v>2</v>
      </c>
    </row>
    <row r="2971" spans="1:9" x14ac:dyDescent="0.35">
      <c r="A2971" t="str">
        <f t="shared" si="46"/>
        <v>DAenergy_soldS1203272</v>
      </c>
      <c r="C2971" t="s">
        <v>99</v>
      </c>
      <c r="D2971" t="s">
        <v>112</v>
      </c>
      <c r="E2971" t="s">
        <v>110</v>
      </c>
      <c r="F2971">
        <v>1446.312934418142</v>
      </c>
      <c r="G2971">
        <v>2032</v>
      </c>
      <c r="H2971">
        <v>7</v>
      </c>
      <c r="I2971">
        <v>2</v>
      </c>
    </row>
    <row r="2972" spans="1:9" x14ac:dyDescent="0.35">
      <c r="A2972" t="str">
        <f t="shared" si="46"/>
        <v>DAhours_boughtS1203272</v>
      </c>
      <c r="C2972" t="s">
        <v>99</v>
      </c>
      <c r="D2972" t="s">
        <v>113</v>
      </c>
      <c r="E2972" t="s">
        <v>110</v>
      </c>
      <c r="F2972">
        <v>1752</v>
      </c>
      <c r="G2972">
        <v>2032</v>
      </c>
      <c r="H2972">
        <v>7</v>
      </c>
      <c r="I2972">
        <v>2</v>
      </c>
    </row>
    <row r="2973" spans="1:9" x14ac:dyDescent="0.35">
      <c r="A2973" t="str">
        <f t="shared" si="46"/>
        <v>DAhours_soldS1203272</v>
      </c>
      <c r="C2973" t="s">
        <v>99</v>
      </c>
      <c r="D2973" t="s">
        <v>114</v>
      </c>
      <c r="E2973" t="s">
        <v>110</v>
      </c>
      <c r="F2973">
        <v>418</v>
      </c>
      <c r="G2973">
        <v>2032</v>
      </c>
      <c r="H2973">
        <v>7</v>
      </c>
      <c r="I2973">
        <v>2</v>
      </c>
    </row>
    <row r="2974" spans="1:9" x14ac:dyDescent="0.35">
      <c r="A2974" t="str">
        <f t="shared" si="46"/>
        <v>DAco2_emissionS1203272</v>
      </c>
      <c r="C2974" t="s">
        <v>99</v>
      </c>
      <c r="D2974" t="s">
        <v>204</v>
      </c>
      <c r="E2974" t="s">
        <v>110</v>
      </c>
      <c r="F2974">
        <v>126979.187980908</v>
      </c>
      <c r="G2974">
        <v>2032</v>
      </c>
      <c r="H2974">
        <v>7</v>
      </c>
      <c r="I2974">
        <v>2</v>
      </c>
    </row>
    <row r="2975" spans="1:9" x14ac:dyDescent="0.35">
      <c r="A2975" t="str">
        <f t="shared" si="46"/>
        <v>fcrincomeS1203272</v>
      </c>
      <c r="C2975" t="s">
        <v>102</v>
      </c>
      <c r="D2975" t="s">
        <v>101</v>
      </c>
      <c r="E2975" t="s">
        <v>110</v>
      </c>
      <c r="F2975">
        <v>23.587005296146721</v>
      </c>
      <c r="G2975">
        <v>2032</v>
      </c>
      <c r="H2975">
        <v>7</v>
      </c>
      <c r="I2975">
        <v>2</v>
      </c>
    </row>
    <row r="2976" spans="1:9" x14ac:dyDescent="0.35">
      <c r="A2976" t="str">
        <f t="shared" si="46"/>
        <v>fcractivation_hoursS1203272</v>
      </c>
      <c r="C2976" t="s">
        <v>102</v>
      </c>
      <c r="D2976" t="s">
        <v>115</v>
      </c>
      <c r="E2976" t="s">
        <v>110</v>
      </c>
      <c r="F2976">
        <v>16</v>
      </c>
      <c r="G2976">
        <v>2032</v>
      </c>
      <c r="H2976">
        <v>7</v>
      </c>
      <c r="I2976">
        <v>2</v>
      </c>
    </row>
    <row r="2977" spans="1:9" x14ac:dyDescent="0.35">
      <c r="A2977" t="str">
        <f t="shared" si="46"/>
        <v>afrrincomeS1203272</v>
      </c>
      <c r="C2977" t="s">
        <v>103</v>
      </c>
      <c r="D2977" t="s">
        <v>101</v>
      </c>
      <c r="E2977" t="s">
        <v>110</v>
      </c>
      <c r="F2977">
        <v>181555.9342625392</v>
      </c>
      <c r="G2977">
        <v>2032</v>
      </c>
      <c r="H2977">
        <v>7</v>
      </c>
      <c r="I2977">
        <v>2</v>
      </c>
    </row>
    <row r="2978" spans="1:9" x14ac:dyDescent="0.35">
      <c r="A2978" t="str">
        <f t="shared" si="46"/>
        <v>afrractivation_hoursS1203272</v>
      </c>
      <c r="B2978" t="s">
        <v>95</v>
      </c>
      <c r="C2978" t="s">
        <v>103</v>
      </c>
      <c r="D2978" t="s">
        <v>115</v>
      </c>
      <c r="E2978" t="s">
        <v>110</v>
      </c>
      <c r="F2978">
        <v>8532</v>
      </c>
      <c r="G2978">
        <v>2032</v>
      </c>
      <c r="H2978">
        <v>7</v>
      </c>
      <c r="I2978">
        <v>2</v>
      </c>
    </row>
    <row r="2979" spans="1:9" x14ac:dyDescent="0.35">
      <c r="A2979" t="str">
        <f t="shared" si="46"/>
        <v>networkturpe_power_costS1203372</v>
      </c>
      <c r="B2979" t="s">
        <v>95</v>
      </c>
      <c r="C2979" t="s">
        <v>96</v>
      </c>
      <c r="D2979" t="s">
        <v>97</v>
      </c>
      <c r="E2979" t="s">
        <v>110</v>
      </c>
      <c r="F2979">
        <v>16103.75171360173</v>
      </c>
      <c r="G2979">
        <v>2033</v>
      </c>
      <c r="H2979">
        <v>7</v>
      </c>
      <c r="I2979">
        <v>2</v>
      </c>
    </row>
    <row r="2980" spans="1:9" x14ac:dyDescent="0.35">
      <c r="A2980" t="str">
        <f t="shared" si="46"/>
        <v>networkturpe_energy_costS1203372</v>
      </c>
      <c r="C2980" t="s">
        <v>96</v>
      </c>
      <c r="D2980" t="s">
        <v>98</v>
      </c>
      <c r="E2980" t="s">
        <v>110</v>
      </c>
      <c r="F2980">
        <v>25019.292150979942</v>
      </c>
      <c r="G2980">
        <v>2033</v>
      </c>
      <c r="H2980">
        <v>7</v>
      </c>
      <c r="I2980">
        <v>2</v>
      </c>
    </row>
    <row r="2981" spans="1:9" x14ac:dyDescent="0.35">
      <c r="A2981" t="str">
        <f t="shared" si="46"/>
        <v>DAcostS1203372</v>
      </c>
      <c r="C2981" t="s">
        <v>99</v>
      </c>
      <c r="D2981" t="s">
        <v>100</v>
      </c>
      <c r="E2981" t="s">
        <v>110</v>
      </c>
      <c r="F2981">
        <v>78679.406353447659</v>
      </c>
      <c r="G2981">
        <v>2033</v>
      </c>
      <c r="H2981">
        <v>7</v>
      </c>
      <c r="I2981">
        <v>2</v>
      </c>
    </row>
    <row r="2982" spans="1:9" x14ac:dyDescent="0.35">
      <c r="A2982" t="str">
        <f t="shared" si="46"/>
        <v>DAincomeS1203372</v>
      </c>
      <c r="C2982" t="s">
        <v>99</v>
      </c>
      <c r="D2982" t="s">
        <v>101</v>
      </c>
      <c r="E2982" t="s">
        <v>110</v>
      </c>
      <c r="F2982">
        <v>146745.57510087741</v>
      </c>
      <c r="G2982">
        <v>2033</v>
      </c>
      <c r="H2982">
        <v>7</v>
      </c>
      <c r="I2982">
        <v>2</v>
      </c>
    </row>
    <row r="2983" spans="1:9" x14ac:dyDescent="0.35">
      <c r="A2983" t="str">
        <f t="shared" si="46"/>
        <v>DAenergy_boughtS1203372</v>
      </c>
      <c r="C2983" t="s">
        <v>99</v>
      </c>
      <c r="D2983" t="s">
        <v>111</v>
      </c>
      <c r="E2983" t="s">
        <v>110</v>
      </c>
      <c r="F2983">
        <v>1695.930687839186</v>
      </c>
      <c r="G2983">
        <v>2033</v>
      </c>
      <c r="H2983">
        <v>7</v>
      </c>
      <c r="I2983">
        <v>2</v>
      </c>
    </row>
    <row r="2984" spans="1:9" x14ac:dyDescent="0.35">
      <c r="A2984" t="str">
        <f t="shared" si="46"/>
        <v>DAenergy_soldS1203372</v>
      </c>
      <c r="C2984" t="s">
        <v>99</v>
      </c>
      <c r="D2984" t="s">
        <v>112</v>
      </c>
      <c r="E2984" t="s">
        <v>110</v>
      </c>
      <c r="F2984">
        <v>1351.231620620611</v>
      </c>
      <c r="G2984">
        <v>2033</v>
      </c>
      <c r="H2984">
        <v>7</v>
      </c>
      <c r="I2984">
        <v>2</v>
      </c>
    </row>
    <row r="2985" spans="1:9" x14ac:dyDescent="0.35">
      <c r="A2985" t="str">
        <f t="shared" si="46"/>
        <v>DAhours_boughtS1203372</v>
      </c>
      <c r="C2985" t="s">
        <v>99</v>
      </c>
      <c r="D2985" t="s">
        <v>113</v>
      </c>
      <c r="E2985" t="s">
        <v>110</v>
      </c>
      <c r="F2985">
        <v>1740</v>
      </c>
      <c r="G2985">
        <v>2033</v>
      </c>
      <c r="H2985">
        <v>7</v>
      </c>
      <c r="I2985">
        <v>2</v>
      </c>
    </row>
    <row r="2986" spans="1:9" x14ac:dyDescent="0.35">
      <c r="A2986" t="str">
        <f t="shared" si="46"/>
        <v>DAhours_soldS1203372</v>
      </c>
      <c r="C2986" t="s">
        <v>99</v>
      </c>
      <c r="D2986" t="s">
        <v>114</v>
      </c>
      <c r="E2986" t="s">
        <v>110</v>
      </c>
      <c r="F2986">
        <v>408</v>
      </c>
      <c r="G2986">
        <v>2033</v>
      </c>
      <c r="H2986">
        <v>7</v>
      </c>
      <c r="I2986">
        <v>2</v>
      </c>
    </row>
    <row r="2987" spans="1:9" x14ac:dyDescent="0.35">
      <c r="A2987" t="str">
        <f t="shared" si="46"/>
        <v>DAco2_emissionS1203372</v>
      </c>
      <c r="C2987" t="s">
        <v>99</v>
      </c>
      <c r="D2987" t="s">
        <v>204</v>
      </c>
      <c r="E2987" t="s">
        <v>110</v>
      </c>
      <c r="F2987">
        <v>118715.1481487428</v>
      </c>
      <c r="G2987">
        <v>2033</v>
      </c>
      <c r="H2987">
        <v>7</v>
      </c>
      <c r="I2987">
        <v>2</v>
      </c>
    </row>
    <row r="2988" spans="1:9" x14ac:dyDescent="0.35">
      <c r="A2988" t="str">
        <f t="shared" si="46"/>
        <v>fcrincomeS1203372</v>
      </c>
      <c r="C2988" t="s">
        <v>102</v>
      </c>
      <c r="D2988" t="s">
        <v>101</v>
      </c>
      <c r="E2988" t="s">
        <v>110</v>
      </c>
      <c r="F2988">
        <v>13.53890177455891</v>
      </c>
      <c r="G2988">
        <v>2033</v>
      </c>
      <c r="H2988">
        <v>7</v>
      </c>
      <c r="I2988">
        <v>2</v>
      </c>
    </row>
    <row r="2989" spans="1:9" x14ac:dyDescent="0.35">
      <c r="A2989" t="str">
        <f t="shared" si="46"/>
        <v>fcractivation_hoursS1203372</v>
      </c>
      <c r="C2989" t="s">
        <v>102</v>
      </c>
      <c r="D2989" t="s">
        <v>115</v>
      </c>
      <c r="E2989" t="s">
        <v>110</v>
      </c>
      <c r="F2989">
        <v>12</v>
      </c>
      <c r="G2989">
        <v>2033</v>
      </c>
      <c r="H2989">
        <v>7</v>
      </c>
      <c r="I2989">
        <v>2</v>
      </c>
    </row>
    <row r="2990" spans="1:9" x14ac:dyDescent="0.35">
      <c r="A2990" t="str">
        <f t="shared" si="46"/>
        <v>afrrincomeS1203372</v>
      </c>
      <c r="B2990" t="s">
        <v>95</v>
      </c>
      <c r="C2990" t="s">
        <v>103</v>
      </c>
      <c r="D2990" t="s">
        <v>101</v>
      </c>
      <c r="E2990" t="s">
        <v>110</v>
      </c>
      <c r="F2990">
        <v>187239.4122714198</v>
      </c>
      <c r="G2990">
        <v>2033</v>
      </c>
      <c r="H2990">
        <v>7</v>
      </c>
      <c r="I2990">
        <v>2</v>
      </c>
    </row>
    <row r="2991" spans="1:9" x14ac:dyDescent="0.35">
      <c r="A2991" t="str">
        <f t="shared" si="46"/>
        <v>afrractivation_hoursS1203372</v>
      </c>
      <c r="B2991" t="s">
        <v>95</v>
      </c>
      <c r="C2991" t="s">
        <v>103</v>
      </c>
      <c r="D2991" t="s">
        <v>115</v>
      </c>
      <c r="E2991" t="s">
        <v>110</v>
      </c>
      <c r="F2991">
        <v>8561</v>
      </c>
      <c r="G2991">
        <v>2033</v>
      </c>
      <c r="H2991">
        <v>7</v>
      </c>
      <c r="I2991">
        <v>2</v>
      </c>
    </row>
    <row r="2992" spans="1:9" x14ac:dyDescent="0.35">
      <c r="A2992" t="str">
        <f t="shared" si="46"/>
        <v>networkturpe_power_costS1203472</v>
      </c>
      <c r="C2992" t="s">
        <v>96</v>
      </c>
      <c r="D2992" t="s">
        <v>97</v>
      </c>
      <c r="E2992" t="s">
        <v>110</v>
      </c>
      <c r="F2992">
        <v>17010.709878872301</v>
      </c>
      <c r="G2992">
        <v>2034</v>
      </c>
      <c r="H2992">
        <v>7</v>
      </c>
      <c r="I2992">
        <v>2</v>
      </c>
    </row>
    <row r="2993" spans="1:9" x14ac:dyDescent="0.35">
      <c r="A2993" t="str">
        <f t="shared" si="46"/>
        <v>networkturpe_energy_costS1203472</v>
      </c>
      <c r="C2993" t="s">
        <v>96</v>
      </c>
      <c r="D2993" t="s">
        <v>98</v>
      </c>
      <c r="E2993" t="s">
        <v>110</v>
      </c>
      <c r="F2993">
        <v>26632.659277941439</v>
      </c>
      <c r="G2993">
        <v>2034</v>
      </c>
      <c r="H2993">
        <v>7</v>
      </c>
      <c r="I2993">
        <v>2</v>
      </c>
    </row>
    <row r="2994" spans="1:9" x14ac:dyDescent="0.35">
      <c r="A2994" t="str">
        <f t="shared" si="46"/>
        <v>DAcostS1203472</v>
      </c>
      <c r="C2994" t="s">
        <v>99</v>
      </c>
      <c r="D2994" t="s">
        <v>100</v>
      </c>
      <c r="E2994" t="s">
        <v>110</v>
      </c>
      <c r="F2994">
        <v>80792.174342447601</v>
      </c>
      <c r="G2994">
        <v>2034</v>
      </c>
      <c r="H2994">
        <v>7</v>
      </c>
      <c r="I2994">
        <v>2</v>
      </c>
    </row>
    <row r="2995" spans="1:9" x14ac:dyDescent="0.35">
      <c r="A2995" t="str">
        <f t="shared" si="46"/>
        <v>DAincomeS1203472</v>
      </c>
      <c r="C2995" t="s">
        <v>99</v>
      </c>
      <c r="D2995" t="s">
        <v>101</v>
      </c>
      <c r="E2995" t="s">
        <v>110</v>
      </c>
      <c r="F2995">
        <v>151804.71665983551</v>
      </c>
      <c r="G2995">
        <v>2034</v>
      </c>
      <c r="H2995">
        <v>7</v>
      </c>
      <c r="I2995">
        <v>2</v>
      </c>
    </row>
    <row r="2996" spans="1:9" x14ac:dyDescent="0.35">
      <c r="A2996" t="str">
        <f t="shared" si="46"/>
        <v>DAenergy_boughtS1203472</v>
      </c>
      <c r="C2996" t="s">
        <v>99</v>
      </c>
      <c r="D2996" t="s">
        <v>111</v>
      </c>
      <c r="E2996" t="s">
        <v>110</v>
      </c>
      <c r="F2996">
        <v>1728.86509845469</v>
      </c>
      <c r="G2996">
        <v>2034</v>
      </c>
      <c r="H2996">
        <v>7</v>
      </c>
      <c r="I2996">
        <v>2</v>
      </c>
    </row>
    <row r="2997" spans="1:9" x14ac:dyDescent="0.35">
      <c r="A2997" t="str">
        <f t="shared" si="46"/>
        <v>DAenergy_soldS1203472</v>
      </c>
      <c r="C2997" t="s">
        <v>99</v>
      </c>
      <c r="D2997" t="s">
        <v>112</v>
      </c>
      <c r="E2997" t="s">
        <v>110</v>
      </c>
      <c r="F2997">
        <v>1378.4545901795329</v>
      </c>
      <c r="G2997">
        <v>2034</v>
      </c>
      <c r="H2997">
        <v>7</v>
      </c>
      <c r="I2997">
        <v>2</v>
      </c>
    </row>
    <row r="2998" spans="1:9" x14ac:dyDescent="0.35">
      <c r="A2998" t="str">
        <f t="shared" si="46"/>
        <v>DAhours_boughtS1203472</v>
      </c>
      <c r="C2998" t="s">
        <v>99</v>
      </c>
      <c r="D2998" t="s">
        <v>113</v>
      </c>
      <c r="E2998" t="s">
        <v>110</v>
      </c>
      <c r="F2998">
        <v>1800</v>
      </c>
      <c r="G2998">
        <v>2034</v>
      </c>
      <c r="H2998">
        <v>7</v>
      </c>
      <c r="I2998">
        <v>2</v>
      </c>
    </row>
    <row r="2999" spans="1:9" x14ac:dyDescent="0.35">
      <c r="A2999" t="str">
        <f t="shared" si="46"/>
        <v>DAhours_soldS1203472</v>
      </c>
      <c r="C2999" t="s">
        <v>99</v>
      </c>
      <c r="D2999" t="s">
        <v>114</v>
      </c>
      <c r="E2999" t="s">
        <v>110</v>
      </c>
      <c r="F2999">
        <v>418</v>
      </c>
      <c r="G2999">
        <v>2034</v>
      </c>
      <c r="H2999">
        <v>7</v>
      </c>
      <c r="I2999">
        <v>2</v>
      </c>
    </row>
    <row r="3000" spans="1:9" x14ac:dyDescent="0.35">
      <c r="A3000" t="str">
        <f t="shared" si="46"/>
        <v>DAco2_emissionS1203472</v>
      </c>
      <c r="C3000" t="s">
        <v>99</v>
      </c>
      <c r="D3000" t="s">
        <v>204</v>
      </c>
      <c r="E3000" t="s">
        <v>110</v>
      </c>
      <c r="F3000">
        <v>121020.5568918276</v>
      </c>
      <c r="G3000">
        <v>2034</v>
      </c>
      <c r="H3000">
        <v>7</v>
      </c>
      <c r="I3000">
        <v>2</v>
      </c>
    </row>
    <row r="3001" spans="1:9" x14ac:dyDescent="0.35">
      <c r="A3001" t="str">
        <f t="shared" si="46"/>
        <v>fcrincomeS1203472</v>
      </c>
      <c r="C3001" t="s">
        <v>102</v>
      </c>
      <c r="D3001" t="s">
        <v>101</v>
      </c>
      <c r="E3001" t="s">
        <v>110</v>
      </c>
      <c r="F3001">
        <v>2.1212044484589421</v>
      </c>
      <c r="G3001">
        <v>2034</v>
      </c>
      <c r="H3001">
        <v>7</v>
      </c>
      <c r="I3001">
        <v>2</v>
      </c>
    </row>
    <row r="3002" spans="1:9" x14ac:dyDescent="0.35">
      <c r="A3002" t="str">
        <f t="shared" si="46"/>
        <v>fcractivation_hoursS1203472</v>
      </c>
      <c r="B3002" t="s">
        <v>95</v>
      </c>
      <c r="C3002" t="s">
        <v>102</v>
      </c>
      <c r="D3002" t="s">
        <v>115</v>
      </c>
      <c r="E3002" t="s">
        <v>110</v>
      </c>
      <c r="F3002">
        <v>4</v>
      </c>
      <c r="G3002">
        <v>2034</v>
      </c>
      <c r="H3002">
        <v>7</v>
      </c>
      <c r="I3002">
        <v>2</v>
      </c>
    </row>
    <row r="3003" spans="1:9" x14ac:dyDescent="0.35">
      <c r="A3003" t="str">
        <f t="shared" si="46"/>
        <v>afrrincomeS1203472</v>
      </c>
      <c r="B3003" t="s">
        <v>95</v>
      </c>
      <c r="C3003" t="s">
        <v>103</v>
      </c>
      <c r="D3003" t="s">
        <v>101</v>
      </c>
      <c r="E3003" t="s">
        <v>110</v>
      </c>
      <c r="F3003">
        <v>197314.46541089049</v>
      </c>
      <c r="G3003">
        <v>2034</v>
      </c>
      <c r="H3003">
        <v>7</v>
      </c>
      <c r="I3003">
        <v>2</v>
      </c>
    </row>
    <row r="3004" spans="1:9" x14ac:dyDescent="0.35">
      <c r="A3004" t="str">
        <f t="shared" si="46"/>
        <v>afrractivation_hoursS1203472</v>
      </c>
      <c r="C3004" t="s">
        <v>103</v>
      </c>
      <c r="D3004" t="s">
        <v>115</v>
      </c>
      <c r="E3004" t="s">
        <v>110</v>
      </c>
      <c r="F3004">
        <v>8575</v>
      </c>
      <c r="G3004">
        <v>2034</v>
      </c>
      <c r="H3004">
        <v>7</v>
      </c>
      <c r="I3004">
        <v>2</v>
      </c>
    </row>
    <row r="3005" spans="1:9" x14ac:dyDescent="0.35">
      <c r="A3005" t="str">
        <f t="shared" si="46"/>
        <v>networkturpe_power_costS1203572</v>
      </c>
      <c r="C3005" t="s">
        <v>96</v>
      </c>
      <c r="D3005" t="s">
        <v>97</v>
      </c>
      <c r="E3005" t="s">
        <v>110</v>
      </c>
      <c r="F3005">
        <v>16537.8152242303</v>
      </c>
      <c r="G3005">
        <v>2035</v>
      </c>
      <c r="H3005">
        <v>7</v>
      </c>
      <c r="I3005">
        <v>2</v>
      </c>
    </row>
    <row r="3006" spans="1:9" x14ac:dyDescent="0.35">
      <c r="A3006" t="str">
        <f t="shared" si="46"/>
        <v>networkturpe_energy_costS1203572</v>
      </c>
      <c r="C3006" t="s">
        <v>96</v>
      </c>
      <c r="D3006" t="s">
        <v>98</v>
      </c>
      <c r="E3006" t="s">
        <v>110</v>
      </c>
      <c r="F3006">
        <v>25542.189760816309</v>
      </c>
      <c r="G3006">
        <v>2035</v>
      </c>
      <c r="H3006">
        <v>7</v>
      </c>
      <c r="I3006">
        <v>2</v>
      </c>
    </row>
    <row r="3007" spans="1:9" x14ac:dyDescent="0.35">
      <c r="A3007" t="str">
        <f t="shared" si="46"/>
        <v>DAcostS1203572</v>
      </c>
      <c r="C3007" t="s">
        <v>99</v>
      </c>
      <c r="D3007" t="s">
        <v>100</v>
      </c>
      <c r="E3007" t="s">
        <v>110</v>
      </c>
      <c r="F3007">
        <v>73834.702334727815</v>
      </c>
      <c r="G3007">
        <v>2035</v>
      </c>
      <c r="H3007">
        <v>7</v>
      </c>
      <c r="I3007">
        <v>2</v>
      </c>
    </row>
    <row r="3008" spans="1:9" x14ac:dyDescent="0.35">
      <c r="A3008" t="str">
        <f t="shared" si="46"/>
        <v>DAincomeS1203572</v>
      </c>
      <c r="C3008" t="s">
        <v>99</v>
      </c>
      <c r="D3008" t="s">
        <v>101</v>
      </c>
      <c r="E3008" t="s">
        <v>110</v>
      </c>
      <c r="F3008">
        <v>141336.19886524559</v>
      </c>
      <c r="G3008">
        <v>2035</v>
      </c>
      <c r="H3008">
        <v>7</v>
      </c>
      <c r="I3008">
        <v>2</v>
      </c>
    </row>
    <row r="3009" spans="1:9" x14ac:dyDescent="0.35">
      <c r="A3009" t="str">
        <f t="shared" si="46"/>
        <v>DAenergy_boughtS1203572</v>
      </c>
      <c r="C3009" t="s">
        <v>99</v>
      </c>
      <c r="D3009" t="s">
        <v>111</v>
      </c>
      <c r="E3009" t="s">
        <v>110</v>
      </c>
      <c r="F3009">
        <v>1655.724396446936</v>
      </c>
      <c r="G3009">
        <v>2035</v>
      </c>
      <c r="H3009">
        <v>7</v>
      </c>
      <c r="I3009">
        <v>2</v>
      </c>
    </row>
    <row r="3010" spans="1:9" x14ac:dyDescent="0.35">
      <c r="A3010" t="str">
        <f t="shared" si="46"/>
        <v>DAenergy_soldS1203572</v>
      </c>
      <c r="C3010" t="s">
        <v>99</v>
      </c>
      <c r="D3010" t="s">
        <v>112</v>
      </c>
      <c r="E3010" t="s">
        <v>110</v>
      </c>
      <c r="F3010">
        <v>1319.817101656656</v>
      </c>
      <c r="G3010">
        <v>2035</v>
      </c>
      <c r="H3010">
        <v>7</v>
      </c>
      <c r="I3010">
        <v>2</v>
      </c>
    </row>
    <row r="3011" spans="1:9" x14ac:dyDescent="0.35">
      <c r="A3011" t="str">
        <f t="shared" ref="A3011:A3074" si="47">C3011&amp;D3011&amp;E3011&amp;G3011&amp;H3011&amp;I3011</f>
        <v>DAhours_boughtS1203572</v>
      </c>
      <c r="C3011" t="s">
        <v>99</v>
      </c>
      <c r="D3011" t="s">
        <v>113</v>
      </c>
      <c r="E3011" t="s">
        <v>110</v>
      </c>
      <c r="F3011">
        <v>1830</v>
      </c>
      <c r="G3011">
        <v>2035</v>
      </c>
      <c r="H3011">
        <v>7</v>
      </c>
      <c r="I3011">
        <v>2</v>
      </c>
    </row>
    <row r="3012" spans="1:9" x14ac:dyDescent="0.35">
      <c r="A3012" t="str">
        <f t="shared" si="47"/>
        <v>DAhours_soldS1203572</v>
      </c>
      <c r="C3012" t="s">
        <v>99</v>
      </c>
      <c r="D3012" t="s">
        <v>114</v>
      </c>
      <c r="E3012" t="s">
        <v>110</v>
      </c>
      <c r="F3012">
        <v>424</v>
      </c>
      <c r="G3012">
        <v>2035</v>
      </c>
      <c r="H3012">
        <v>7</v>
      </c>
      <c r="I3012">
        <v>2</v>
      </c>
    </row>
    <row r="3013" spans="1:9" x14ac:dyDescent="0.35">
      <c r="A3013" t="str">
        <f t="shared" si="47"/>
        <v>DAco2_emissionS1203572</v>
      </c>
      <c r="C3013" t="s">
        <v>99</v>
      </c>
      <c r="D3013" t="s">
        <v>204</v>
      </c>
      <c r="E3013" t="s">
        <v>110</v>
      </c>
      <c r="F3013">
        <v>115900.70775128499</v>
      </c>
      <c r="G3013">
        <v>2035</v>
      </c>
      <c r="H3013">
        <v>7</v>
      </c>
      <c r="I3013">
        <v>2</v>
      </c>
    </row>
    <row r="3014" spans="1:9" x14ac:dyDescent="0.35">
      <c r="A3014" t="str">
        <f t="shared" si="47"/>
        <v>fcrincomeS1203572</v>
      </c>
      <c r="B3014" t="s">
        <v>95</v>
      </c>
      <c r="C3014" t="s">
        <v>102</v>
      </c>
      <c r="D3014" t="s">
        <v>101</v>
      </c>
      <c r="E3014" t="s">
        <v>110</v>
      </c>
      <c r="F3014">
        <v>0</v>
      </c>
      <c r="G3014">
        <v>2035</v>
      </c>
      <c r="H3014">
        <v>7</v>
      </c>
      <c r="I3014">
        <v>2</v>
      </c>
    </row>
    <row r="3015" spans="1:9" x14ac:dyDescent="0.35">
      <c r="A3015" t="str">
        <f t="shared" si="47"/>
        <v>fcractivation_hoursS1203572</v>
      </c>
      <c r="B3015" t="s">
        <v>95</v>
      </c>
      <c r="C3015" t="s">
        <v>102</v>
      </c>
      <c r="D3015" t="s">
        <v>115</v>
      </c>
      <c r="E3015" t="s">
        <v>110</v>
      </c>
      <c r="F3015">
        <v>0</v>
      </c>
      <c r="G3015">
        <v>2035</v>
      </c>
      <c r="H3015">
        <v>7</v>
      </c>
      <c r="I3015">
        <v>2</v>
      </c>
    </row>
    <row r="3016" spans="1:9" x14ac:dyDescent="0.35">
      <c r="A3016" t="str">
        <f t="shared" si="47"/>
        <v>afrrincomeS1203572</v>
      </c>
      <c r="C3016" t="s">
        <v>103</v>
      </c>
      <c r="D3016" t="s">
        <v>101</v>
      </c>
      <c r="E3016" t="s">
        <v>110</v>
      </c>
      <c r="F3016">
        <v>196186.53227053699</v>
      </c>
      <c r="G3016">
        <v>2035</v>
      </c>
      <c r="H3016">
        <v>7</v>
      </c>
      <c r="I3016">
        <v>2</v>
      </c>
    </row>
    <row r="3017" spans="1:9" x14ac:dyDescent="0.35">
      <c r="A3017" t="str">
        <f t="shared" si="47"/>
        <v>afrractivation_hoursS1203572</v>
      </c>
      <c r="C3017" t="s">
        <v>103</v>
      </c>
      <c r="D3017" t="s">
        <v>115</v>
      </c>
      <c r="E3017" t="s">
        <v>110</v>
      </c>
      <c r="F3017">
        <v>8597</v>
      </c>
      <c r="G3017">
        <v>2035</v>
      </c>
      <c r="H3017">
        <v>7</v>
      </c>
      <c r="I3017">
        <v>2</v>
      </c>
    </row>
    <row r="3018" spans="1:9" x14ac:dyDescent="0.35">
      <c r="A3018" t="str">
        <f t="shared" si="47"/>
        <v>networkturpe_power_costS1203672</v>
      </c>
      <c r="C3018" t="s">
        <v>96</v>
      </c>
      <c r="D3018" t="s">
        <v>97</v>
      </c>
      <c r="E3018" t="s">
        <v>110</v>
      </c>
      <c r="F3018">
        <v>15833.49774100678</v>
      </c>
      <c r="G3018">
        <v>2036</v>
      </c>
      <c r="H3018">
        <v>7</v>
      </c>
      <c r="I3018">
        <v>2</v>
      </c>
    </row>
    <row r="3019" spans="1:9" x14ac:dyDescent="0.35">
      <c r="A3019" t="str">
        <f t="shared" si="47"/>
        <v>networkturpe_energy_costS1203672</v>
      </c>
      <c r="C3019" t="s">
        <v>96</v>
      </c>
      <c r="D3019" t="s">
        <v>98</v>
      </c>
      <c r="E3019" t="s">
        <v>110</v>
      </c>
      <c r="F3019">
        <v>24728.528886490651</v>
      </c>
      <c r="G3019">
        <v>2036</v>
      </c>
      <c r="H3019">
        <v>7</v>
      </c>
      <c r="I3019">
        <v>2</v>
      </c>
    </row>
    <row r="3020" spans="1:9" x14ac:dyDescent="0.35">
      <c r="A3020" t="str">
        <f t="shared" si="47"/>
        <v>DAcostS1203672</v>
      </c>
      <c r="C3020" t="s">
        <v>99</v>
      </c>
      <c r="D3020" t="s">
        <v>100</v>
      </c>
      <c r="E3020" t="s">
        <v>110</v>
      </c>
      <c r="F3020">
        <v>73041.974693610842</v>
      </c>
      <c r="G3020">
        <v>2036</v>
      </c>
      <c r="H3020">
        <v>7</v>
      </c>
      <c r="I3020">
        <v>2</v>
      </c>
    </row>
    <row r="3021" spans="1:9" x14ac:dyDescent="0.35">
      <c r="A3021" t="str">
        <f t="shared" si="47"/>
        <v>DAincomeS1203672</v>
      </c>
      <c r="C3021" t="s">
        <v>99</v>
      </c>
      <c r="D3021" t="s">
        <v>101</v>
      </c>
      <c r="E3021" t="s">
        <v>110</v>
      </c>
      <c r="F3021">
        <v>140018.1950200845</v>
      </c>
      <c r="G3021">
        <v>2036</v>
      </c>
      <c r="H3021">
        <v>7</v>
      </c>
      <c r="I3021">
        <v>2</v>
      </c>
    </row>
    <row r="3022" spans="1:9" x14ac:dyDescent="0.35">
      <c r="A3022" t="str">
        <f t="shared" si="47"/>
        <v>DAenergy_boughtS1203672</v>
      </c>
      <c r="C3022" t="s">
        <v>99</v>
      </c>
      <c r="D3022" t="s">
        <v>111</v>
      </c>
      <c r="E3022" t="s">
        <v>110</v>
      </c>
      <c r="F3022">
        <v>1598.0564758565999</v>
      </c>
      <c r="G3022">
        <v>2036</v>
      </c>
      <c r="H3022">
        <v>7</v>
      </c>
      <c r="I3022">
        <v>2</v>
      </c>
    </row>
    <row r="3023" spans="1:9" x14ac:dyDescent="0.35">
      <c r="A3023" t="str">
        <f t="shared" si="47"/>
        <v>DAenergy_soldS1203672</v>
      </c>
      <c r="C3023" t="s">
        <v>99</v>
      </c>
      <c r="D3023" t="s">
        <v>112</v>
      </c>
      <c r="E3023" t="s">
        <v>110</v>
      </c>
      <c r="F3023">
        <v>1273.8532884325</v>
      </c>
      <c r="G3023">
        <v>2036</v>
      </c>
      <c r="H3023">
        <v>7</v>
      </c>
      <c r="I3023">
        <v>2</v>
      </c>
    </row>
    <row r="3024" spans="1:9" x14ac:dyDescent="0.35">
      <c r="A3024" t="str">
        <f t="shared" si="47"/>
        <v>DAhours_boughtS1203672</v>
      </c>
      <c r="C3024" t="s">
        <v>99</v>
      </c>
      <c r="D3024" t="s">
        <v>113</v>
      </c>
      <c r="E3024" t="s">
        <v>110</v>
      </c>
      <c r="F3024">
        <v>1783</v>
      </c>
      <c r="G3024">
        <v>2036</v>
      </c>
      <c r="H3024">
        <v>7</v>
      </c>
      <c r="I3024">
        <v>2</v>
      </c>
    </row>
    <row r="3025" spans="1:9" x14ac:dyDescent="0.35">
      <c r="A3025" t="str">
        <f t="shared" si="47"/>
        <v>DAhours_soldS1203672</v>
      </c>
      <c r="C3025" t="s">
        <v>99</v>
      </c>
      <c r="D3025" t="s">
        <v>114</v>
      </c>
      <c r="E3025" t="s">
        <v>110</v>
      </c>
      <c r="F3025">
        <v>441</v>
      </c>
      <c r="G3025">
        <v>2036</v>
      </c>
      <c r="H3025">
        <v>7</v>
      </c>
      <c r="I3025">
        <v>2</v>
      </c>
    </row>
    <row r="3026" spans="1:9" x14ac:dyDescent="0.35">
      <c r="A3026" t="str">
        <f t="shared" si="47"/>
        <v>DAco2_emissionS1203672</v>
      </c>
      <c r="B3026" t="s">
        <v>95</v>
      </c>
      <c r="C3026" t="s">
        <v>99</v>
      </c>
      <c r="D3026" t="s">
        <v>204</v>
      </c>
      <c r="E3026" t="s">
        <v>110</v>
      </c>
      <c r="F3026">
        <v>111863.9533099595</v>
      </c>
      <c r="G3026">
        <v>2036</v>
      </c>
      <c r="H3026">
        <v>7</v>
      </c>
      <c r="I3026">
        <v>2</v>
      </c>
    </row>
    <row r="3027" spans="1:9" x14ac:dyDescent="0.35">
      <c r="A3027" t="str">
        <f t="shared" si="47"/>
        <v>fcrincomeS1203672</v>
      </c>
      <c r="B3027" t="s">
        <v>95</v>
      </c>
      <c r="C3027" t="s">
        <v>102</v>
      </c>
      <c r="D3027" t="s">
        <v>101</v>
      </c>
      <c r="E3027" t="s">
        <v>110</v>
      </c>
      <c r="F3027">
        <v>4.9612954697920886</v>
      </c>
      <c r="G3027">
        <v>2036</v>
      </c>
      <c r="H3027">
        <v>7</v>
      </c>
      <c r="I3027">
        <v>2</v>
      </c>
    </row>
    <row r="3028" spans="1:9" x14ac:dyDescent="0.35">
      <c r="A3028" t="str">
        <f t="shared" si="47"/>
        <v>fcractivation_hoursS1203672</v>
      </c>
      <c r="C3028" t="s">
        <v>102</v>
      </c>
      <c r="D3028" t="s">
        <v>115</v>
      </c>
      <c r="E3028" t="s">
        <v>110</v>
      </c>
      <c r="F3028">
        <v>4</v>
      </c>
      <c r="G3028">
        <v>2036</v>
      </c>
      <c r="H3028">
        <v>7</v>
      </c>
      <c r="I3028">
        <v>2</v>
      </c>
    </row>
    <row r="3029" spans="1:9" x14ac:dyDescent="0.35">
      <c r="A3029" t="str">
        <f t="shared" si="47"/>
        <v>afrrincomeS1203672</v>
      </c>
      <c r="C3029" t="s">
        <v>103</v>
      </c>
      <c r="D3029" t="s">
        <v>101</v>
      </c>
      <c r="E3029" t="s">
        <v>110</v>
      </c>
      <c r="F3029">
        <v>186358.1805856601</v>
      </c>
      <c r="G3029">
        <v>2036</v>
      </c>
      <c r="H3029">
        <v>7</v>
      </c>
      <c r="I3029">
        <v>2</v>
      </c>
    </row>
    <row r="3030" spans="1:9" x14ac:dyDescent="0.35">
      <c r="A3030" t="str">
        <f t="shared" si="47"/>
        <v>afrractivation_hoursS1203672</v>
      </c>
      <c r="C3030" t="s">
        <v>103</v>
      </c>
      <c r="D3030" t="s">
        <v>115</v>
      </c>
      <c r="E3030" t="s">
        <v>110</v>
      </c>
      <c r="F3030">
        <v>8540</v>
      </c>
      <c r="G3030">
        <v>2036</v>
      </c>
      <c r="H3030">
        <v>7</v>
      </c>
      <c r="I3030">
        <v>2</v>
      </c>
    </row>
    <row r="3031" spans="1:9" x14ac:dyDescent="0.35">
      <c r="A3031" t="str">
        <f t="shared" si="47"/>
        <v>networkturpe_power_costS1203772</v>
      </c>
      <c r="C3031" t="s">
        <v>96</v>
      </c>
      <c r="D3031" t="s">
        <v>97</v>
      </c>
      <c r="E3031" t="s">
        <v>110</v>
      </c>
      <c r="F3031">
        <v>14756.741539391811</v>
      </c>
      <c r="G3031">
        <v>2037</v>
      </c>
      <c r="H3031">
        <v>7</v>
      </c>
      <c r="I3031">
        <v>2</v>
      </c>
    </row>
    <row r="3032" spans="1:9" x14ac:dyDescent="0.35">
      <c r="A3032" t="str">
        <f t="shared" si="47"/>
        <v>networkturpe_energy_costS1203772</v>
      </c>
      <c r="C3032" t="s">
        <v>96</v>
      </c>
      <c r="D3032" t="s">
        <v>98</v>
      </c>
      <c r="E3032" t="s">
        <v>110</v>
      </c>
      <c r="F3032">
        <v>22027.02440947554</v>
      </c>
      <c r="G3032">
        <v>2037</v>
      </c>
      <c r="H3032">
        <v>7</v>
      </c>
      <c r="I3032">
        <v>2</v>
      </c>
    </row>
    <row r="3033" spans="1:9" x14ac:dyDescent="0.35">
      <c r="A3033" t="str">
        <f t="shared" si="47"/>
        <v>DAcostS1203772</v>
      </c>
      <c r="C3033" t="s">
        <v>99</v>
      </c>
      <c r="D3033" t="s">
        <v>100</v>
      </c>
      <c r="E3033" t="s">
        <v>110</v>
      </c>
      <c r="F3033">
        <v>62081.124856141229</v>
      </c>
      <c r="G3033">
        <v>2037</v>
      </c>
      <c r="H3033">
        <v>7</v>
      </c>
      <c r="I3033">
        <v>2</v>
      </c>
    </row>
    <row r="3034" spans="1:9" x14ac:dyDescent="0.35">
      <c r="A3034" t="str">
        <f t="shared" si="47"/>
        <v>DAincomeS1203772</v>
      </c>
      <c r="C3034" t="s">
        <v>99</v>
      </c>
      <c r="D3034" t="s">
        <v>101</v>
      </c>
      <c r="E3034" t="s">
        <v>110</v>
      </c>
      <c r="F3034">
        <v>121594.703417517</v>
      </c>
      <c r="G3034">
        <v>2037</v>
      </c>
      <c r="H3034">
        <v>7</v>
      </c>
      <c r="I3034">
        <v>2</v>
      </c>
    </row>
    <row r="3035" spans="1:9" x14ac:dyDescent="0.35">
      <c r="A3035" t="str">
        <f t="shared" si="47"/>
        <v>DAenergy_boughtS1203772</v>
      </c>
      <c r="C3035" t="s">
        <v>99</v>
      </c>
      <c r="D3035" t="s">
        <v>111</v>
      </c>
      <c r="E3035" t="s">
        <v>110</v>
      </c>
      <c r="F3035">
        <v>1419.0387495877819</v>
      </c>
      <c r="G3035">
        <v>2037</v>
      </c>
      <c r="H3035">
        <v>7</v>
      </c>
      <c r="I3035">
        <v>2</v>
      </c>
    </row>
    <row r="3036" spans="1:9" x14ac:dyDescent="0.35">
      <c r="A3036" t="str">
        <f t="shared" si="47"/>
        <v>DAenergy_soldS1203772</v>
      </c>
      <c r="C3036" t="s">
        <v>99</v>
      </c>
      <c r="D3036" t="s">
        <v>112</v>
      </c>
      <c r="E3036" t="s">
        <v>110</v>
      </c>
      <c r="F3036">
        <v>1129.118886358071</v>
      </c>
      <c r="G3036">
        <v>2037</v>
      </c>
      <c r="H3036">
        <v>7</v>
      </c>
      <c r="I3036">
        <v>2</v>
      </c>
    </row>
    <row r="3037" spans="1:9" x14ac:dyDescent="0.35">
      <c r="A3037" t="str">
        <f t="shared" si="47"/>
        <v>DAhours_boughtS1203772</v>
      </c>
      <c r="C3037" t="s">
        <v>99</v>
      </c>
      <c r="D3037" t="s">
        <v>113</v>
      </c>
      <c r="E3037" t="s">
        <v>110</v>
      </c>
      <c r="F3037">
        <v>1813</v>
      </c>
      <c r="G3037">
        <v>2037</v>
      </c>
      <c r="H3037">
        <v>7</v>
      </c>
      <c r="I3037">
        <v>2</v>
      </c>
    </row>
    <row r="3038" spans="1:9" x14ac:dyDescent="0.35">
      <c r="A3038" t="str">
        <f t="shared" si="47"/>
        <v>DAhours_soldS1203772</v>
      </c>
      <c r="B3038" t="s">
        <v>95</v>
      </c>
      <c r="C3038" t="s">
        <v>99</v>
      </c>
      <c r="D3038" t="s">
        <v>114</v>
      </c>
      <c r="E3038" t="s">
        <v>110</v>
      </c>
      <c r="F3038">
        <v>412</v>
      </c>
      <c r="G3038">
        <v>2037</v>
      </c>
      <c r="H3038">
        <v>7</v>
      </c>
      <c r="I3038">
        <v>2</v>
      </c>
    </row>
    <row r="3039" spans="1:9" x14ac:dyDescent="0.35">
      <c r="A3039" t="str">
        <f t="shared" si="47"/>
        <v>DAco2_emissionS1203772</v>
      </c>
      <c r="B3039" t="s">
        <v>95</v>
      </c>
      <c r="C3039" t="s">
        <v>99</v>
      </c>
      <c r="D3039" t="s">
        <v>204</v>
      </c>
      <c r="E3039" t="s">
        <v>110</v>
      </c>
      <c r="F3039">
        <v>99332.712471144463</v>
      </c>
      <c r="G3039">
        <v>2037</v>
      </c>
      <c r="H3039">
        <v>7</v>
      </c>
      <c r="I3039">
        <v>2</v>
      </c>
    </row>
    <row r="3040" spans="1:9" x14ac:dyDescent="0.35">
      <c r="A3040" t="str">
        <f t="shared" si="47"/>
        <v>fcrincomeS1203772</v>
      </c>
      <c r="C3040" t="s">
        <v>102</v>
      </c>
      <c r="D3040" t="s">
        <v>101</v>
      </c>
      <c r="E3040" t="s">
        <v>110</v>
      </c>
      <c r="F3040">
        <v>4.2752321393979971</v>
      </c>
      <c r="G3040">
        <v>2037</v>
      </c>
      <c r="H3040">
        <v>7</v>
      </c>
      <c r="I3040">
        <v>2</v>
      </c>
    </row>
    <row r="3041" spans="1:9" x14ac:dyDescent="0.35">
      <c r="A3041" t="str">
        <f t="shared" si="47"/>
        <v>fcractivation_hoursS1203772</v>
      </c>
      <c r="C3041" t="s">
        <v>102</v>
      </c>
      <c r="D3041" t="s">
        <v>115</v>
      </c>
      <c r="E3041" t="s">
        <v>110</v>
      </c>
      <c r="F3041">
        <v>8</v>
      </c>
      <c r="G3041">
        <v>2037</v>
      </c>
      <c r="H3041">
        <v>7</v>
      </c>
      <c r="I3041">
        <v>2</v>
      </c>
    </row>
    <row r="3042" spans="1:9" x14ac:dyDescent="0.35">
      <c r="A3042" t="str">
        <f t="shared" si="47"/>
        <v>afrrincomeS1203772</v>
      </c>
      <c r="C3042" t="s">
        <v>103</v>
      </c>
      <c r="D3042" t="s">
        <v>101</v>
      </c>
      <c r="E3042" t="s">
        <v>110</v>
      </c>
      <c r="F3042">
        <v>193211.72307714741</v>
      </c>
      <c r="G3042">
        <v>2037</v>
      </c>
      <c r="H3042">
        <v>7</v>
      </c>
      <c r="I3042">
        <v>2</v>
      </c>
    </row>
    <row r="3043" spans="1:9" x14ac:dyDescent="0.35">
      <c r="A3043" t="str">
        <f t="shared" si="47"/>
        <v>afrractivation_hoursS1203772</v>
      </c>
      <c r="C3043" t="s">
        <v>103</v>
      </c>
      <c r="D3043" t="s">
        <v>115</v>
      </c>
      <c r="E3043" t="s">
        <v>110</v>
      </c>
      <c r="F3043">
        <v>8597</v>
      </c>
      <c r="G3043">
        <v>2037</v>
      </c>
      <c r="H3043">
        <v>7</v>
      </c>
      <c r="I3043">
        <v>2</v>
      </c>
    </row>
    <row r="3044" spans="1:9" x14ac:dyDescent="0.35">
      <c r="A3044" t="str">
        <f t="shared" si="47"/>
        <v>networkturpe_power_costS1203872</v>
      </c>
      <c r="C3044" t="s">
        <v>96</v>
      </c>
      <c r="D3044" t="s">
        <v>97</v>
      </c>
      <c r="E3044" t="s">
        <v>110</v>
      </c>
      <c r="F3044">
        <v>14812.025048984389</v>
      </c>
      <c r="G3044">
        <v>2038</v>
      </c>
      <c r="H3044">
        <v>7</v>
      </c>
      <c r="I3044">
        <v>2</v>
      </c>
    </row>
    <row r="3045" spans="1:9" x14ac:dyDescent="0.35">
      <c r="A3045" t="str">
        <f t="shared" si="47"/>
        <v>networkturpe_energy_costS1203872</v>
      </c>
      <c r="C3045" t="s">
        <v>96</v>
      </c>
      <c r="D3045" t="s">
        <v>98</v>
      </c>
      <c r="E3045" t="s">
        <v>110</v>
      </c>
      <c r="F3045">
        <v>23228.603820330449</v>
      </c>
      <c r="G3045">
        <v>2038</v>
      </c>
      <c r="H3045">
        <v>7</v>
      </c>
      <c r="I3045">
        <v>2</v>
      </c>
    </row>
    <row r="3046" spans="1:9" x14ac:dyDescent="0.35">
      <c r="A3046" t="str">
        <f t="shared" si="47"/>
        <v>DAcostS1203872</v>
      </c>
      <c r="C3046" t="s">
        <v>99</v>
      </c>
      <c r="D3046" t="s">
        <v>100</v>
      </c>
      <c r="E3046" t="s">
        <v>110</v>
      </c>
      <c r="F3046">
        <v>61307.130711956182</v>
      </c>
      <c r="G3046">
        <v>2038</v>
      </c>
      <c r="H3046">
        <v>7</v>
      </c>
      <c r="I3046">
        <v>2</v>
      </c>
    </row>
    <row r="3047" spans="1:9" x14ac:dyDescent="0.35">
      <c r="A3047" t="str">
        <f t="shared" si="47"/>
        <v>DAincomeS1203872</v>
      </c>
      <c r="C3047" t="s">
        <v>99</v>
      </c>
      <c r="D3047" t="s">
        <v>101</v>
      </c>
      <c r="E3047" t="s">
        <v>110</v>
      </c>
      <c r="F3047">
        <v>126435.3100546511</v>
      </c>
      <c r="G3047">
        <v>2038</v>
      </c>
      <c r="H3047">
        <v>7</v>
      </c>
      <c r="I3047">
        <v>2</v>
      </c>
    </row>
    <row r="3048" spans="1:9" x14ac:dyDescent="0.35">
      <c r="A3048" t="str">
        <f t="shared" si="47"/>
        <v>DAenergy_boughtS1203872</v>
      </c>
      <c r="C3048" t="s">
        <v>99</v>
      </c>
      <c r="D3048" t="s">
        <v>111</v>
      </c>
      <c r="E3048" t="s">
        <v>110</v>
      </c>
      <c r="F3048">
        <v>1472.794960030463</v>
      </c>
      <c r="G3048">
        <v>2038</v>
      </c>
      <c r="H3048">
        <v>7</v>
      </c>
      <c r="I3048">
        <v>2</v>
      </c>
    </row>
    <row r="3049" spans="1:9" x14ac:dyDescent="0.35">
      <c r="A3049" t="str">
        <f t="shared" si="47"/>
        <v>DAenergy_soldS1203872</v>
      </c>
      <c r="C3049" t="s">
        <v>99</v>
      </c>
      <c r="D3049" t="s">
        <v>112</v>
      </c>
      <c r="E3049" t="s">
        <v>110</v>
      </c>
      <c r="F3049">
        <v>1173.1498332348931</v>
      </c>
      <c r="G3049">
        <v>2038</v>
      </c>
      <c r="H3049">
        <v>7</v>
      </c>
      <c r="I3049">
        <v>2</v>
      </c>
    </row>
    <row r="3050" spans="1:9" x14ac:dyDescent="0.35">
      <c r="A3050" t="str">
        <f t="shared" si="47"/>
        <v>DAhours_boughtS1203872</v>
      </c>
      <c r="B3050" t="s">
        <v>95</v>
      </c>
      <c r="C3050" t="s">
        <v>99</v>
      </c>
      <c r="D3050" t="s">
        <v>113</v>
      </c>
      <c r="E3050" t="s">
        <v>110</v>
      </c>
      <c r="F3050">
        <v>1920</v>
      </c>
      <c r="G3050">
        <v>2038</v>
      </c>
      <c r="H3050">
        <v>7</v>
      </c>
      <c r="I3050">
        <v>2</v>
      </c>
    </row>
    <row r="3051" spans="1:9" x14ac:dyDescent="0.35">
      <c r="A3051" t="str">
        <f t="shared" si="47"/>
        <v>DAhours_soldS1203872</v>
      </c>
      <c r="B3051" t="s">
        <v>95</v>
      </c>
      <c r="C3051" t="s">
        <v>99</v>
      </c>
      <c r="D3051" t="s">
        <v>114</v>
      </c>
      <c r="E3051" t="s">
        <v>110</v>
      </c>
      <c r="F3051">
        <v>424</v>
      </c>
      <c r="G3051">
        <v>2038</v>
      </c>
      <c r="H3051">
        <v>7</v>
      </c>
      <c r="I3051">
        <v>2</v>
      </c>
    </row>
    <row r="3052" spans="1:9" x14ac:dyDescent="0.35">
      <c r="A3052" t="str">
        <f t="shared" si="47"/>
        <v>DAco2_emissionS1203872</v>
      </c>
      <c r="C3052" t="s">
        <v>99</v>
      </c>
      <c r="D3052" t="s">
        <v>204</v>
      </c>
      <c r="E3052" t="s">
        <v>110</v>
      </c>
      <c r="F3052">
        <v>103095.64720213129</v>
      </c>
      <c r="G3052">
        <v>2038</v>
      </c>
      <c r="H3052">
        <v>7</v>
      </c>
      <c r="I3052">
        <v>2</v>
      </c>
    </row>
    <row r="3053" spans="1:9" x14ac:dyDescent="0.35">
      <c r="A3053" t="str">
        <f t="shared" si="47"/>
        <v>fcrincomeS1203872</v>
      </c>
      <c r="C3053" t="s">
        <v>102</v>
      </c>
      <c r="D3053" t="s">
        <v>101</v>
      </c>
      <c r="E3053" t="s">
        <v>110</v>
      </c>
      <c r="F3053">
        <v>0</v>
      </c>
      <c r="G3053">
        <v>2038</v>
      </c>
      <c r="H3053">
        <v>7</v>
      </c>
      <c r="I3053">
        <v>2</v>
      </c>
    </row>
    <row r="3054" spans="1:9" x14ac:dyDescent="0.35">
      <c r="A3054" t="str">
        <f t="shared" si="47"/>
        <v>fcractivation_hoursS1203872</v>
      </c>
      <c r="C3054" t="s">
        <v>102</v>
      </c>
      <c r="D3054" t="s">
        <v>115</v>
      </c>
      <c r="E3054" t="s">
        <v>110</v>
      </c>
      <c r="F3054">
        <v>0</v>
      </c>
      <c r="G3054">
        <v>2038</v>
      </c>
      <c r="H3054">
        <v>7</v>
      </c>
      <c r="I3054">
        <v>2</v>
      </c>
    </row>
    <row r="3055" spans="1:9" x14ac:dyDescent="0.35">
      <c r="A3055" t="str">
        <f t="shared" si="47"/>
        <v>afrrincomeS1203872</v>
      </c>
      <c r="C3055" t="s">
        <v>103</v>
      </c>
      <c r="D3055" t="s">
        <v>101</v>
      </c>
      <c r="E3055" t="s">
        <v>110</v>
      </c>
      <c r="F3055">
        <v>193575.25703495581</v>
      </c>
      <c r="G3055">
        <v>2038</v>
      </c>
      <c r="H3055">
        <v>7</v>
      </c>
      <c r="I3055">
        <v>2</v>
      </c>
    </row>
    <row r="3056" spans="1:9" x14ac:dyDescent="0.35">
      <c r="A3056" t="str">
        <f t="shared" si="47"/>
        <v>afrractivation_hoursS1203872</v>
      </c>
      <c r="C3056" t="s">
        <v>103</v>
      </c>
      <c r="D3056" t="s">
        <v>115</v>
      </c>
      <c r="E3056" t="s">
        <v>110</v>
      </c>
      <c r="F3056">
        <v>8546</v>
      </c>
      <c r="G3056">
        <v>2038</v>
      </c>
      <c r="H3056">
        <v>7</v>
      </c>
      <c r="I3056">
        <v>2</v>
      </c>
    </row>
    <row r="3057" spans="1:9" x14ac:dyDescent="0.35">
      <c r="A3057" t="str">
        <f t="shared" si="47"/>
        <v>networkturpe_power_costS1203972</v>
      </c>
      <c r="C3057" t="s">
        <v>96</v>
      </c>
      <c r="D3057" t="s">
        <v>97</v>
      </c>
      <c r="E3057" t="s">
        <v>110</v>
      </c>
      <c r="F3057">
        <v>13709.303895822601</v>
      </c>
      <c r="G3057">
        <v>2039</v>
      </c>
      <c r="H3057">
        <v>7</v>
      </c>
      <c r="I3057">
        <v>2</v>
      </c>
    </row>
    <row r="3058" spans="1:9" x14ac:dyDescent="0.35">
      <c r="A3058" t="str">
        <f t="shared" si="47"/>
        <v>networkturpe_energy_costS1203972</v>
      </c>
      <c r="C3058" t="s">
        <v>96</v>
      </c>
      <c r="D3058" t="s">
        <v>98</v>
      </c>
      <c r="E3058" t="s">
        <v>110</v>
      </c>
      <c r="F3058">
        <v>19094.087017270718</v>
      </c>
      <c r="G3058">
        <v>2039</v>
      </c>
      <c r="H3058">
        <v>7</v>
      </c>
      <c r="I3058">
        <v>2</v>
      </c>
    </row>
    <row r="3059" spans="1:9" x14ac:dyDescent="0.35">
      <c r="A3059" t="str">
        <f t="shared" si="47"/>
        <v>DAcostS1203972</v>
      </c>
      <c r="C3059" t="s">
        <v>99</v>
      </c>
      <c r="D3059" t="s">
        <v>100</v>
      </c>
      <c r="E3059" t="s">
        <v>110</v>
      </c>
      <c r="F3059">
        <v>50198.222903986672</v>
      </c>
      <c r="G3059">
        <v>2039</v>
      </c>
      <c r="H3059">
        <v>7</v>
      </c>
      <c r="I3059">
        <v>2</v>
      </c>
    </row>
    <row r="3060" spans="1:9" x14ac:dyDescent="0.35">
      <c r="A3060" t="str">
        <f t="shared" si="47"/>
        <v>DAincomeS1203972</v>
      </c>
      <c r="C3060" t="s">
        <v>99</v>
      </c>
      <c r="D3060" t="s">
        <v>101</v>
      </c>
      <c r="E3060" t="s">
        <v>110</v>
      </c>
      <c r="F3060">
        <v>104898.2347673374</v>
      </c>
      <c r="G3060">
        <v>2039</v>
      </c>
      <c r="H3060">
        <v>7</v>
      </c>
      <c r="I3060">
        <v>2</v>
      </c>
    </row>
    <row r="3061" spans="1:9" x14ac:dyDescent="0.35">
      <c r="A3061" t="str">
        <f t="shared" si="47"/>
        <v>DAenergy_boughtS1203972</v>
      </c>
      <c r="C3061" t="s">
        <v>99</v>
      </c>
      <c r="D3061" t="s">
        <v>111</v>
      </c>
      <c r="E3061" t="s">
        <v>110</v>
      </c>
      <c r="F3061">
        <v>1234.847561062249</v>
      </c>
      <c r="G3061">
        <v>2039</v>
      </c>
      <c r="H3061">
        <v>7</v>
      </c>
      <c r="I3061">
        <v>2</v>
      </c>
    </row>
    <row r="3062" spans="1:9" x14ac:dyDescent="0.35">
      <c r="A3062" t="str">
        <f t="shared" si="47"/>
        <v>DAenergy_soldS1203972</v>
      </c>
      <c r="B3062" t="s">
        <v>95</v>
      </c>
      <c r="C3062" t="s">
        <v>99</v>
      </c>
      <c r="D3062" t="s">
        <v>112</v>
      </c>
      <c r="E3062" t="s">
        <v>110</v>
      </c>
      <c r="F3062">
        <v>980.97541023441534</v>
      </c>
      <c r="G3062">
        <v>2039</v>
      </c>
      <c r="H3062">
        <v>7</v>
      </c>
      <c r="I3062">
        <v>2</v>
      </c>
    </row>
    <row r="3063" spans="1:9" x14ac:dyDescent="0.35">
      <c r="A3063" t="str">
        <f t="shared" si="47"/>
        <v>DAhours_boughtS1203972</v>
      </c>
      <c r="B3063" t="s">
        <v>95</v>
      </c>
      <c r="C3063" t="s">
        <v>99</v>
      </c>
      <c r="D3063" t="s">
        <v>113</v>
      </c>
      <c r="E3063" t="s">
        <v>110</v>
      </c>
      <c r="F3063">
        <v>1856</v>
      </c>
      <c r="G3063">
        <v>2039</v>
      </c>
      <c r="H3063">
        <v>7</v>
      </c>
      <c r="I3063">
        <v>2</v>
      </c>
    </row>
    <row r="3064" spans="1:9" x14ac:dyDescent="0.35">
      <c r="A3064" t="str">
        <f t="shared" si="47"/>
        <v>DAhours_soldS1203972</v>
      </c>
      <c r="C3064" t="s">
        <v>99</v>
      </c>
      <c r="D3064" t="s">
        <v>114</v>
      </c>
      <c r="E3064" t="s">
        <v>110</v>
      </c>
      <c r="F3064">
        <v>387</v>
      </c>
      <c r="G3064">
        <v>2039</v>
      </c>
      <c r="H3064">
        <v>7</v>
      </c>
      <c r="I3064">
        <v>2</v>
      </c>
    </row>
    <row r="3065" spans="1:9" x14ac:dyDescent="0.35">
      <c r="A3065" t="str">
        <f t="shared" si="47"/>
        <v>DAco2_emissionS1203972</v>
      </c>
      <c r="C3065" t="s">
        <v>99</v>
      </c>
      <c r="D3065" t="s">
        <v>204</v>
      </c>
      <c r="E3065" t="s">
        <v>110</v>
      </c>
      <c r="F3065">
        <v>86439.3292743575</v>
      </c>
      <c r="G3065">
        <v>2039</v>
      </c>
      <c r="H3065">
        <v>7</v>
      </c>
      <c r="I3065">
        <v>2</v>
      </c>
    </row>
    <row r="3066" spans="1:9" x14ac:dyDescent="0.35">
      <c r="A3066" t="str">
        <f t="shared" si="47"/>
        <v>fcrincomeS1203972</v>
      </c>
      <c r="C3066" t="s">
        <v>102</v>
      </c>
      <c r="D3066" t="s">
        <v>101</v>
      </c>
      <c r="E3066" t="s">
        <v>110</v>
      </c>
      <c r="F3066">
        <v>4.1303920767748759</v>
      </c>
      <c r="G3066">
        <v>2039</v>
      </c>
      <c r="H3066">
        <v>7</v>
      </c>
      <c r="I3066">
        <v>2</v>
      </c>
    </row>
    <row r="3067" spans="1:9" x14ac:dyDescent="0.35">
      <c r="A3067" t="str">
        <f t="shared" si="47"/>
        <v>fcractivation_hoursS1203972</v>
      </c>
      <c r="C3067" t="s">
        <v>102</v>
      </c>
      <c r="D3067" t="s">
        <v>115</v>
      </c>
      <c r="E3067" t="s">
        <v>110</v>
      </c>
      <c r="F3067">
        <v>4</v>
      </c>
      <c r="G3067">
        <v>2039</v>
      </c>
      <c r="H3067">
        <v>7</v>
      </c>
      <c r="I3067">
        <v>2</v>
      </c>
    </row>
    <row r="3068" spans="1:9" x14ac:dyDescent="0.35">
      <c r="A3068" t="str">
        <f t="shared" si="47"/>
        <v>afrrincomeS1203972</v>
      </c>
      <c r="C3068" t="s">
        <v>103</v>
      </c>
      <c r="D3068" t="s">
        <v>101</v>
      </c>
      <c r="E3068" t="s">
        <v>110</v>
      </c>
      <c r="F3068">
        <v>200926.38196839319</v>
      </c>
      <c r="G3068">
        <v>2039</v>
      </c>
      <c r="H3068">
        <v>7</v>
      </c>
      <c r="I3068">
        <v>2</v>
      </c>
    </row>
    <row r="3069" spans="1:9" x14ac:dyDescent="0.35">
      <c r="A3069" t="str">
        <f t="shared" si="47"/>
        <v>afrractivation_hoursS1203972</v>
      </c>
      <c r="C3069" t="s">
        <v>103</v>
      </c>
      <c r="D3069" t="s">
        <v>115</v>
      </c>
      <c r="E3069" t="s">
        <v>110</v>
      </c>
      <c r="F3069">
        <v>8568</v>
      </c>
      <c r="G3069">
        <v>2039</v>
      </c>
      <c r="H3069">
        <v>7</v>
      </c>
      <c r="I3069">
        <v>2</v>
      </c>
    </row>
    <row r="3070" spans="1:9" x14ac:dyDescent="0.35">
      <c r="A3070" t="str">
        <f t="shared" si="47"/>
        <v>networkturpe_power_costS1204072</v>
      </c>
      <c r="C3070" t="s">
        <v>96</v>
      </c>
      <c r="D3070" t="s">
        <v>97</v>
      </c>
      <c r="E3070" t="s">
        <v>110</v>
      </c>
      <c r="F3070">
        <v>13208.15894641245</v>
      </c>
      <c r="G3070">
        <v>2040</v>
      </c>
      <c r="H3070">
        <v>7</v>
      </c>
      <c r="I3070">
        <v>2</v>
      </c>
    </row>
    <row r="3071" spans="1:9" x14ac:dyDescent="0.35">
      <c r="A3071" t="str">
        <f t="shared" si="47"/>
        <v>networkturpe_energy_costS1204072</v>
      </c>
      <c r="C3071" t="s">
        <v>96</v>
      </c>
      <c r="D3071" t="s">
        <v>98</v>
      </c>
      <c r="E3071" t="s">
        <v>110</v>
      </c>
      <c r="F3071">
        <v>23980.965491815139</v>
      </c>
      <c r="G3071">
        <v>2040</v>
      </c>
      <c r="H3071">
        <v>7</v>
      </c>
      <c r="I3071">
        <v>2</v>
      </c>
    </row>
    <row r="3072" spans="1:9" x14ac:dyDescent="0.35">
      <c r="A3072" t="str">
        <f t="shared" si="47"/>
        <v>DAcostS1204072</v>
      </c>
      <c r="C3072" t="s">
        <v>99</v>
      </c>
      <c r="D3072" t="s">
        <v>100</v>
      </c>
      <c r="E3072" t="s">
        <v>110</v>
      </c>
      <c r="F3072">
        <v>57511.501369745558</v>
      </c>
      <c r="G3072">
        <v>2040</v>
      </c>
      <c r="H3072">
        <v>7</v>
      </c>
      <c r="I3072">
        <v>2</v>
      </c>
    </row>
    <row r="3073" spans="1:9" x14ac:dyDescent="0.35">
      <c r="A3073" t="str">
        <f t="shared" si="47"/>
        <v>DAincomeS1204072</v>
      </c>
      <c r="C3073" t="s">
        <v>99</v>
      </c>
      <c r="D3073" t="s">
        <v>101</v>
      </c>
      <c r="E3073" t="s">
        <v>110</v>
      </c>
      <c r="F3073">
        <v>126083.56045805709</v>
      </c>
      <c r="G3073">
        <v>2040</v>
      </c>
      <c r="H3073">
        <v>7</v>
      </c>
      <c r="I3073">
        <v>2</v>
      </c>
    </row>
    <row r="3074" spans="1:9" x14ac:dyDescent="0.35">
      <c r="A3074" t="str">
        <f t="shared" si="47"/>
        <v>DAenergy_boughtS1204072</v>
      </c>
      <c r="B3074" t="s">
        <v>95</v>
      </c>
      <c r="C3074" t="s">
        <v>99</v>
      </c>
      <c r="D3074" t="s">
        <v>111</v>
      </c>
      <c r="E3074" t="s">
        <v>110</v>
      </c>
      <c r="F3074">
        <v>1475.193809759927</v>
      </c>
      <c r="G3074">
        <v>2040</v>
      </c>
      <c r="H3074">
        <v>7</v>
      </c>
      <c r="I3074">
        <v>2</v>
      </c>
    </row>
    <row r="3075" spans="1:9" x14ac:dyDescent="0.35">
      <c r="A3075" t="str">
        <f t="shared" ref="A3075:A3138" si="48">C3075&amp;D3075&amp;E3075&amp;G3075&amp;H3075&amp;I3075</f>
        <v>DAenergy_soldS1204072</v>
      </c>
      <c r="B3075" t="s">
        <v>95</v>
      </c>
      <c r="C3075" t="s">
        <v>99</v>
      </c>
      <c r="D3075" t="s">
        <v>112</v>
      </c>
      <c r="E3075" t="s">
        <v>110</v>
      </c>
      <c r="F3075">
        <v>1175.9971394236379</v>
      </c>
      <c r="G3075">
        <v>2040</v>
      </c>
      <c r="H3075">
        <v>7</v>
      </c>
      <c r="I3075">
        <v>2</v>
      </c>
    </row>
    <row r="3076" spans="1:9" x14ac:dyDescent="0.35">
      <c r="A3076" t="str">
        <f t="shared" si="48"/>
        <v>DAhours_boughtS1204072</v>
      </c>
      <c r="C3076" t="s">
        <v>99</v>
      </c>
      <c r="D3076" t="s">
        <v>113</v>
      </c>
      <c r="E3076" t="s">
        <v>110</v>
      </c>
      <c r="F3076">
        <v>1991</v>
      </c>
      <c r="G3076">
        <v>2040</v>
      </c>
      <c r="H3076">
        <v>7</v>
      </c>
      <c r="I3076">
        <v>2</v>
      </c>
    </row>
    <row r="3077" spans="1:9" x14ac:dyDescent="0.35">
      <c r="A3077" t="str">
        <f t="shared" si="48"/>
        <v>DAhours_soldS1204072</v>
      </c>
      <c r="C3077" t="s">
        <v>99</v>
      </c>
      <c r="D3077" t="s">
        <v>114</v>
      </c>
      <c r="E3077" t="s">
        <v>110</v>
      </c>
      <c r="F3077">
        <v>432</v>
      </c>
      <c r="G3077">
        <v>2040</v>
      </c>
      <c r="H3077">
        <v>7</v>
      </c>
      <c r="I3077">
        <v>2</v>
      </c>
    </row>
    <row r="3078" spans="1:9" x14ac:dyDescent="0.35">
      <c r="A3078" t="str">
        <f t="shared" si="48"/>
        <v>DAco2_emissionS1204072</v>
      </c>
      <c r="C3078" t="s">
        <v>99</v>
      </c>
      <c r="D3078" t="s">
        <v>204</v>
      </c>
      <c r="E3078" t="s">
        <v>110</v>
      </c>
      <c r="F3078">
        <v>103263.56668319429</v>
      </c>
      <c r="G3078">
        <v>2040</v>
      </c>
      <c r="H3078">
        <v>7</v>
      </c>
      <c r="I3078">
        <v>2</v>
      </c>
    </row>
    <row r="3079" spans="1:9" x14ac:dyDescent="0.35">
      <c r="A3079" t="str">
        <f t="shared" si="48"/>
        <v>fcrincomeS1204072</v>
      </c>
      <c r="C3079" t="s">
        <v>102</v>
      </c>
      <c r="D3079" t="s">
        <v>101</v>
      </c>
      <c r="E3079" t="s">
        <v>110</v>
      </c>
      <c r="F3079">
        <v>28.803119672314558</v>
      </c>
      <c r="G3079">
        <v>2040</v>
      </c>
      <c r="H3079">
        <v>7</v>
      </c>
      <c r="I3079">
        <v>2</v>
      </c>
    </row>
    <row r="3080" spans="1:9" x14ac:dyDescent="0.35">
      <c r="A3080" t="str">
        <f t="shared" si="48"/>
        <v>fcractivation_hoursS1204072</v>
      </c>
      <c r="C3080" t="s">
        <v>102</v>
      </c>
      <c r="D3080" t="s">
        <v>115</v>
      </c>
      <c r="E3080" t="s">
        <v>110</v>
      </c>
      <c r="F3080">
        <v>20</v>
      </c>
      <c r="G3080">
        <v>2040</v>
      </c>
      <c r="H3080">
        <v>7</v>
      </c>
      <c r="I3080">
        <v>2</v>
      </c>
    </row>
    <row r="3081" spans="1:9" x14ac:dyDescent="0.35">
      <c r="A3081" t="str">
        <f t="shared" si="48"/>
        <v>afrrincomeS1204072</v>
      </c>
      <c r="C3081" t="s">
        <v>103</v>
      </c>
      <c r="D3081" t="s">
        <v>101</v>
      </c>
      <c r="E3081" t="s">
        <v>110</v>
      </c>
      <c r="F3081">
        <v>144517.10517574399</v>
      </c>
      <c r="G3081">
        <v>2040</v>
      </c>
      <c r="H3081">
        <v>7</v>
      </c>
      <c r="I3081">
        <v>2</v>
      </c>
    </row>
    <row r="3082" spans="1:9" x14ac:dyDescent="0.35">
      <c r="A3082" t="str">
        <f t="shared" si="48"/>
        <v>afrractivation_hoursS1204072</v>
      </c>
      <c r="C3082" t="s">
        <v>103</v>
      </c>
      <c r="D3082" t="s">
        <v>115</v>
      </c>
      <c r="E3082" t="s">
        <v>110</v>
      </c>
      <c r="F3082">
        <v>8335</v>
      </c>
      <c r="G3082">
        <v>2040</v>
      </c>
      <c r="H3082">
        <v>7</v>
      </c>
      <c r="I3082">
        <v>2</v>
      </c>
    </row>
    <row r="3083" spans="1:9" x14ac:dyDescent="0.35">
      <c r="A3083" t="str">
        <f t="shared" si="48"/>
        <v>networkturpe_power_costS1204172</v>
      </c>
      <c r="C3083" t="s">
        <v>96</v>
      </c>
      <c r="D3083" t="s">
        <v>97</v>
      </c>
      <c r="E3083" t="s">
        <v>110</v>
      </c>
      <c r="F3083">
        <v>13478.057820823111</v>
      </c>
      <c r="G3083">
        <v>2041</v>
      </c>
      <c r="H3083">
        <v>7</v>
      </c>
      <c r="I3083">
        <v>2</v>
      </c>
    </row>
    <row r="3084" spans="1:9" x14ac:dyDescent="0.35">
      <c r="A3084" t="str">
        <f t="shared" si="48"/>
        <v>networkturpe_energy_costS1204172</v>
      </c>
      <c r="C3084" t="s">
        <v>96</v>
      </c>
      <c r="D3084" t="s">
        <v>98</v>
      </c>
      <c r="E3084" t="s">
        <v>110</v>
      </c>
      <c r="F3084">
        <v>26502.189902552709</v>
      </c>
      <c r="G3084">
        <v>2041</v>
      </c>
      <c r="H3084">
        <v>7</v>
      </c>
      <c r="I3084">
        <v>2</v>
      </c>
    </row>
    <row r="3085" spans="1:9" x14ac:dyDescent="0.35">
      <c r="A3085" t="str">
        <f t="shared" si="48"/>
        <v>DAcostS1204172</v>
      </c>
      <c r="C3085" t="s">
        <v>99</v>
      </c>
      <c r="D3085" t="s">
        <v>100</v>
      </c>
      <c r="E3085" t="s">
        <v>110</v>
      </c>
      <c r="F3085">
        <v>62919.340908382837</v>
      </c>
      <c r="G3085">
        <v>2041</v>
      </c>
      <c r="H3085">
        <v>7</v>
      </c>
      <c r="I3085">
        <v>2</v>
      </c>
    </row>
    <row r="3086" spans="1:9" x14ac:dyDescent="0.35">
      <c r="A3086" t="str">
        <f t="shared" si="48"/>
        <v>DAincomeS1204172</v>
      </c>
      <c r="B3086" t="s">
        <v>95</v>
      </c>
      <c r="C3086" t="s">
        <v>99</v>
      </c>
      <c r="D3086" t="s">
        <v>101</v>
      </c>
      <c r="E3086" t="s">
        <v>110</v>
      </c>
      <c r="F3086">
        <v>136704.82230784759</v>
      </c>
      <c r="G3086">
        <v>2041</v>
      </c>
      <c r="H3086">
        <v>7</v>
      </c>
      <c r="I3086">
        <v>2</v>
      </c>
    </row>
    <row r="3087" spans="1:9" x14ac:dyDescent="0.35">
      <c r="A3087" t="str">
        <f t="shared" si="48"/>
        <v>DAenergy_boughtS1204172</v>
      </c>
      <c r="B3087" t="s">
        <v>95</v>
      </c>
      <c r="C3087" t="s">
        <v>99</v>
      </c>
      <c r="D3087" t="s">
        <v>111</v>
      </c>
      <c r="E3087" t="s">
        <v>110</v>
      </c>
      <c r="F3087">
        <v>1606.096234418</v>
      </c>
      <c r="G3087">
        <v>2041</v>
      </c>
      <c r="H3087">
        <v>7</v>
      </c>
      <c r="I3087">
        <v>2</v>
      </c>
    </row>
    <row r="3088" spans="1:9" x14ac:dyDescent="0.35">
      <c r="A3088" t="str">
        <f t="shared" si="48"/>
        <v>DAenergy_soldS1204172</v>
      </c>
      <c r="C3088" t="s">
        <v>99</v>
      </c>
      <c r="D3088" t="s">
        <v>112</v>
      </c>
      <c r="E3088" t="s">
        <v>110</v>
      </c>
      <c r="F3088">
        <v>1282.4848731246409</v>
      </c>
      <c r="G3088">
        <v>2041</v>
      </c>
      <c r="H3088">
        <v>7</v>
      </c>
      <c r="I3088">
        <v>2</v>
      </c>
    </row>
    <row r="3089" spans="1:9" x14ac:dyDescent="0.35">
      <c r="A3089" t="str">
        <f t="shared" si="48"/>
        <v>DAhours_boughtS1204172</v>
      </c>
      <c r="C3089" t="s">
        <v>99</v>
      </c>
      <c r="D3089" t="s">
        <v>113</v>
      </c>
      <c r="E3089" t="s">
        <v>110</v>
      </c>
      <c r="F3089">
        <v>1864</v>
      </c>
      <c r="G3089">
        <v>2041</v>
      </c>
      <c r="H3089">
        <v>7</v>
      </c>
      <c r="I3089">
        <v>2</v>
      </c>
    </row>
    <row r="3090" spans="1:9" x14ac:dyDescent="0.35">
      <c r="A3090" t="str">
        <f t="shared" si="48"/>
        <v>DAhours_soldS1204172</v>
      </c>
      <c r="C3090" t="s">
        <v>99</v>
      </c>
      <c r="D3090" t="s">
        <v>114</v>
      </c>
      <c r="E3090" t="s">
        <v>110</v>
      </c>
      <c r="F3090">
        <v>463</v>
      </c>
      <c r="G3090">
        <v>2041</v>
      </c>
      <c r="H3090">
        <v>7</v>
      </c>
      <c r="I3090">
        <v>2</v>
      </c>
    </row>
    <row r="3091" spans="1:9" x14ac:dyDescent="0.35">
      <c r="A3091" t="str">
        <f t="shared" si="48"/>
        <v>DAco2_emissionS1204172</v>
      </c>
      <c r="C3091" t="s">
        <v>99</v>
      </c>
      <c r="D3091" t="s">
        <v>204</v>
      </c>
      <c r="E3091" t="s">
        <v>110</v>
      </c>
      <c r="F3091">
        <v>112426.7364092597</v>
      </c>
      <c r="G3091">
        <v>2041</v>
      </c>
      <c r="H3091">
        <v>7</v>
      </c>
      <c r="I3091">
        <v>2</v>
      </c>
    </row>
    <row r="3092" spans="1:9" x14ac:dyDescent="0.35">
      <c r="A3092" t="str">
        <f t="shared" si="48"/>
        <v>fcrincomeS1204172</v>
      </c>
      <c r="C3092" t="s">
        <v>102</v>
      </c>
      <c r="D3092" t="s">
        <v>101</v>
      </c>
      <c r="E3092" t="s">
        <v>110</v>
      </c>
      <c r="F3092">
        <v>35.489271358433832</v>
      </c>
      <c r="G3092">
        <v>2041</v>
      </c>
      <c r="H3092">
        <v>7</v>
      </c>
      <c r="I3092">
        <v>2</v>
      </c>
    </row>
    <row r="3093" spans="1:9" x14ac:dyDescent="0.35">
      <c r="A3093" t="str">
        <f t="shared" si="48"/>
        <v>fcractivation_hoursS1204172</v>
      </c>
      <c r="C3093" t="s">
        <v>102</v>
      </c>
      <c r="D3093" t="s">
        <v>115</v>
      </c>
      <c r="E3093" t="s">
        <v>110</v>
      </c>
      <c r="F3093">
        <v>28</v>
      </c>
      <c r="G3093">
        <v>2041</v>
      </c>
      <c r="H3093">
        <v>7</v>
      </c>
      <c r="I3093">
        <v>2</v>
      </c>
    </row>
    <row r="3094" spans="1:9" x14ac:dyDescent="0.35">
      <c r="A3094" t="str">
        <f t="shared" si="48"/>
        <v>afrrincomeS1204172</v>
      </c>
      <c r="C3094" t="s">
        <v>103</v>
      </c>
      <c r="D3094" t="s">
        <v>101</v>
      </c>
      <c r="E3094" t="s">
        <v>110</v>
      </c>
      <c r="F3094">
        <v>134075.42840188829</v>
      </c>
      <c r="G3094">
        <v>2041</v>
      </c>
      <c r="H3094">
        <v>7</v>
      </c>
      <c r="I3094">
        <v>2</v>
      </c>
    </row>
    <row r="3095" spans="1:9" x14ac:dyDescent="0.35">
      <c r="A3095" t="str">
        <f t="shared" si="48"/>
        <v>afrractivation_hoursS1204172</v>
      </c>
      <c r="C3095" t="s">
        <v>103</v>
      </c>
      <c r="D3095" t="s">
        <v>115</v>
      </c>
      <c r="E3095" t="s">
        <v>110</v>
      </c>
      <c r="F3095">
        <v>8132</v>
      </c>
      <c r="G3095">
        <v>2041</v>
      </c>
      <c r="H3095">
        <v>7</v>
      </c>
      <c r="I3095">
        <v>2</v>
      </c>
    </row>
    <row r="3096" spans="1:9" x14ac:dyDescent="0.35">
      <c r="A3096" t="str">
        <f t="shared" si="48"/>
        <v>networkturpe_power_costS1202581</v>
      </c>
      <c r="C3096" t="s">
        <v>96</v>
      </c>
      <c r="D3096" t="s">
        <v>97</v>
      </c>
      <c r="E3096" t="s">
        <v>110</v>
      </c>
      <c r="F3096">
        <v>10708.57023928241</v>
      </c>
      <c r="G3096">
        <v>2025</v>
      </c>
      <c r="H3096">
        <v>8</v>
      </c>
      <c r="I3096">
        <v>1</v>
      </c>
    </row>
    <row r="3097" spans="1:9" x14ac:dyDescent="0.35">
      <c r="A3097" t="str">
        <f t="shared" si="48"/>
        <v>networkturpe_energy_costS1202581</v>
      </c>
      <c r="C3097" t="s">
        <v>96</v>
      </c>
      <c r="D3097" t="s">
        <v>98</v>
      </c>
      <c r="E3097" t="s">
        <v>110</v>
      </c>
      <c r="F3097">
        <v>365.39901133069799</v>
      </c>
      <c r="G3097">
        <v>2025</v>
      </c>
      <c r="H3097">
        <v>8</v>
      </c>
      <c r="I3097">
        <v>1</v>
      </c>
    </row>
    <row r="3098" spans="1:9" x14ac:dyDescent="0.35">
      <c r="A3098" t="str">
        <f t="shared" si="48"/>
        <v>DAcostS1202581</v>
      </c>
      <c r="B3098" t="s">
        <v>95</v>
      </c>
      <c r="C3098" t="s">
        <v>99</v>
      </c>
      <c r="D3098" t="s">
        <v>100</v>
      </c>
      <c r="E3098" t="s">
        <v>110</v>
      </c>
      <c r="F3098">
        <v>3364.2951035488741</v>
      </c>
      <c r="G3098">
        <v>2025</v>
      </c>
      <c r="H3098">
        <v>8</v>
      </c>
      <c r="I3098">
        <v>1</v>
      </c>
    </row>
    <row r="3099" spans="1:9" x14ac:dyDescent="0.35">
      <c r="A3099" t="str">
        <f t="shared" si="48"/>
        <v>DAincomeS1202581</v>
      </c>
      <c r="B3099" t="s">
        <v>95</v>
      </c>
      <c r="C3099" t="s">
        <v>99</v>
      </c>
      <c r="D3099" t="s">
        <v>101</v>
      </c>
      <c r="E3099" t="s">
        <v>110</v>
      </c>
      <c r="F3099">
        <v>0</v>
      </c>
      <c r="G3099">
        <v>2025</v>
      </c>
      <c r="H3099">
        <v>8</v>
      </c>
      <c r="I3099">
        <v>1</v>
      </c>
    </row>
    <row r="3100" spans="1:9" x14ac:dyDescent="0.35">
      <c r="A3100" t="str">
        <f t="shared" si="48"/>
        <v>DAenergy_boughtS1202581</v>
      </c>
      <c r="C3100" t="s">
        <v>99</v>
      </c>
      <c r="D3100" t="s">
        <v>111</v>
      </c>
      <c r="E3100" t="s">
        <v>110</v>
      </c>
      <c r="F3100">
        <v>19.4666289959073</v>
      </c>
      <c r="G3100">
        <v>2025</v>
      </c>
      <c r="H3100">
        <v>8</v>
      </c>
      <c r="I3100">
        <v>1</v>
      </c>
    </row>
    <row r="3101" spans="1:9" x14ac:dyDescent="0.35">
      <c r="A3101" t="str">
        <f t="shared" si="48"/>
        <v>DAenergy_soldS1202581</v>
      </c>
      <c r="C3101" t="s">
        <v>99</v>
      </c>
      <c r="D3101" t="s">
        <v>112</v>
      </c>
      <c r="E3101" t="s">
        <v>110</v>
      </c>
      <c r="F3101">
        <v>0</v>
      </c>
      <c r="G3101">
        <v>2025</v>
      </c>
      <c r="H3101">
        <v>8</v>
      </c>
      <c r="I3101">
        <v>1</v>
      </c>
    </row>
    <row r="3102" spans="1:9" x14ac:dyDescent="0.35">
      <c r="A3102" t="str">
        <f t="shared" si="48"/>
        <v>DAhours_boughtS1202581</v>
      </c>
      <c r="C3102" t="s">
        <v>99</v>
      </c>
      <c r="D3102" t="s">
        <v>113</v>
      </c>
      <c r="E3102" t="s">
        <v>110</v>
      </c>
      <c r="F3102">
        <v>5702</v>
      </c>
      <c r="G3102">
        <v>2025</v>
      </c>
      <c r="H3102">
        <v>8</v>
      </c>
      <c r="I3102">
        <v>1</v>
      </c>
    </row>
    <row r="3103" spans="1:9" x14ac:dyDescent="0.35">
      <c r="A3103" t="str">
        <f t="shared" si="48"/>
        <v>DAhours_soldS1202581</v>
      </c>
      <c r="C3103" t="s">
        <v>99</v>
      </c>
      <c r="D3103" t="s">
        <v>114</v>
      </c>
      <c r="E3103" t="s">
        <v>110</v>
      </c>
      <c r="F3103">
        <v>0</v>
      </c>
      <c r="G3103">
        <v>2025</v>
      </c>
      <c r="H3103">
        <v>8</v>
      </c>
      <c r="I3103">
        <v>1</v>
      </c>
    </row>
    <row r="3104" spans="1:9" x14ac:dyDescent="0.35">
      <c r="A3104" t="str">
        <f t="shared" si="48"/>
        <v>DAco2_emissionS1202581</v>
      </c>
      <c r="C3104" t="s">
        <v>99</v>
      </c>
      <c r="D3104" t="s">
        <v>204</v>
      </c>
      <c r="E3104" t="s">
        <v>110</v>
      </c>
      <c r="F3104">
        <v>1362.664029713505</v>
      </c>
      <c r="G3104">
        <v>2025</v>
      </c>
      <c r="H3104">
        <v>8</v>
      </c>
      <c r="I3104">
        <v>1</v>
      </c>
    </row>
    <row r="3105" spans="1:9" x14ac:dyDescent="0.35">
      <c r="A3105" t="str">
        <f t="shared" si="48"/>
        <v>fcrincomeS1202581</v>
      </c>
      <c r="C3105" t="s">
        <v>102</v>
      </c>
      <c r="D3105" t="s">
        <v>101</v>
      </c>
      <c r="E3105" t="s">
        <v>110</v>
      </c>
      <c r="F3105">
        <v>0</v>
      </c>
      <c r="G3105">
        <v>2025</v>
      </c>
      <c r="H3105">
        <v>8</v>
      </c>
      <c r="I3105">
        <v>1</v>
      </c>
    </row>
    <row r="3106" spans="1:9" x14ac:dyDescent="0.35">
      <c r="A3106" t="str">
        <f t="shared" si="48"/>
        <v>fcractivation_hoursS1202581</v>
      </c>
      <c r="C3106" t="s">
        <v>102</v>
      </c>
      <c r="D3106" t="s">
        <v>115</v>
      </c>
      <c r="E3106" t="s">
        <v>110</v>
      </c>
      <c r="F3106">
        <v>0</v>
      </c>
      <c r="G3106">
        <v>2025</v>
      </c>
      <c r="H3106">
        <v>8</v>
      </c>
      <c r="I3106">
        <v>1</v>
      </c>
    </row>
    <row r="3107" spans="1:9" x14ac:dyDescent="0.35">
      <c r="A3107" t="str">
        <f t="shared" si="48"/>
        <v>afrrincomeS1202581</v>
      </c>
      <c r="C3107" t="s">
        <v>103</v>
      </c>
      <c r="D3107" t="s">
        <v>101</v>
      </c>
      <c r="E3107" t="s">
        <v>110</v>
      </c>
      <c r="F3107">
        <v>400850.06307174102</v>
      </c>
      <c r="G3107">
        <v>2025</v>
      </c>
      <c r="H3107">
        <v>8</v>
      </c>
      <c r="I3107">
        <v>1</v>
      </c>
    </row>
    <row r="3108" spans="1:9" x14ac:dyDescent="0.35">
      <c r="A3108" t="str">
        <f t="shared" si="48"/>
        <v>afrractivation_hoursS1202581</v>
      </c>
      <c r="C3108" t="s">
        <v>103</v>
      </c>
      <c r="D3108" t="s">
        <v>115</v>
      </c>
      <c r="E3108" t="s">
        <v>110</v>
      </c>
      <c r="F3108">
        <v>8760</v>
      </c>
      <c r="G3108">
        <v>2025</v>
      </c>
      <c r="H3108">
        <v>8</v>
      </c>
      <c r="I3108">
        <v>1</v>
      </c>
    </row>
    <row r="3109" spans="1:9" x14ac:dyDescent="0.35">
      <c r="A3109" t="str">
        <f t="shared" si="48"/>
        <v>networkturpe_power_costS1202681</v>
      </c>
      <c r="C3109" t="s">
        <v>96</v>
      </c>
      <c r="D3109" t="s">
        <v>97</v>
      </c>
      <c r="E3109" t="s">
        <v>110</v>
      </c>
      <c r="F3109">
        <v>10438.11204000808</v>
      </c>
      <c r="G3109">
        <v>2026</v>
      </c>
      <c r="H3109">
        <v>8</v>
      </c>
      <c r="I3109">
        <v>1</v>
      </c>
    </row>
    <row r="3110" spans="1:9" x14ac:dyDescent="0.35">
      <c r="A3110" t="str">
        <f t="shared" si="48"/>
        <v>networkturpe_energy_costS1202681</v>
      </c>
      <c r="B3110" t="s">
        <v>95</v>
      </c>
      <c r="C3110" t="s">
        <v>96</v>
      </c>
      <c r="D3110" t="s">
        <v>98</v>
      </c>
      <c r="E3110" t="s">
        <v>110</v>
      </c>
      <c r="F3110">
        <v>355.83694866384161</v>
      </c>
      <c r="G3110">
        <v>2026</v>
      </c>
      <c r="H3110">
        <v>8</v>
      </c>
      <c r="I3110">
        <v>1</v>
      </c>
    </row>
    <row r="3111" spans="1:9" x14ac:dyDescent="0.35">
      <c r="A3111" t="str">
        <f t="shared" si="48"/>
        <v>DAcostS1202681</v>
      </c>
      <c r="B3111" t="s">
        <v>95</v>
      </c>
      <c r="C3111" t="s">
        <v>99</v>
      </c>
      <c r="D3111" t="s">
        <v>100</v>
      </c>
      <c r="E3111" t="s">
        <v>110</v>
      </c>
      <c r="F3111">
        <v>2996.3099379840842</v>
      </c>
      <c r="G3111">
        <v>2026</v>
      </c>
      <c r="H3111">
        <v>8</v>
      </c>
      <c r="I3111">
        <v>1</v>
      </c>
    </row>
    <row r="3112" spans="1:9" x14ac:dyDescent="0.35">
      <c r="A3112" t="str">
        <f t="shared" si="48"/>
        <v>DAincomeS1202681</v>
      </c>
      <c r="C3112" t="s">
        <v>99</v>
      </c>
      <c r="D3112" t="s">
        <v>101</v>
      </c>
      <c r="E3112" t="s">
        <v>110</v>
      </c>
      <c r="F3112">
        <v>0</v>
      </c>
      <c r="G3112">
        <v>2026</v>
      </c>
      <c r="H3112">
        <v>8</v>
      </c>
      <c r="I3112">
        <v>1</v>
      </c>
    </row>
    <row r="3113" spans="1:9" x14ac:dyDescent="0.35">
      <c r="A3113" t="str">
        <f t="shared" si="48"/>
        <v>DAenergy_boughtS1202681</v>
      </c>
      <c r="C3113" t="s">
        <v>99</v>
      </c>
      <c r="D3113" t="s">
        <v>111</v>
      </c>
      <c r="E3113" t="s">
        <v>110</v>
      </c>
      <c r="F3113">
        <v>18.979634547716682</v>
      </c>
      <c r="G3113">
        <v>2026</v>
      </c>
      <c r="H3113">
        <v>8</v>
      </c>
      <c r="I3113">
        <v>1</v>
      </c>
    </row>
    <row r="3114" spans="1:9" x14ac:dyDescent="0.35">
      <c r="A3114" t="str">
        <f t="shared" si="48"/>
        <v>DAenergy_soldS1202681</v>
      </c>
      <c r="C3114" t="s">
        <v>99</v>
      </c>
      <c r="D3114" t="s">
        <v>112</v>
      </c>
      <c r="E3114" t="s">
        <v>110</v>
      </c>
      <c r="F3114">
        <v>0</v>
      </c>
      <c r="G3114">
        <v>2026</v>
      </c>
      <c r="H3114">
        <v>8</v>
      </c>
      <c r="I3114">
        <v>1</v>
      </c>
    </row>
    <row r="3115" spans="1:9" x14ac:dyDescent="0.35">
      <c r="A3115" t="str">
        <f t="shared" si="48"/>
        <v>DAhours_boughtS1202681</v>
      </c>
      <c r="C3115" t="s">
        <v>99</v>
      </c>
      <c r="D3115" t="s">
        <v>113</v>
      </c>
      <c r="E3115" t="s">
        <v>110</v>
      </c>
      <c r="F3115">
        <v>6140</v>
      </c>
      <c r="G3115">
        <v>2026</v>
      </c>
      <c r="H3115">
        <v>8</v>
      </c>
      <c r="I3115">
        <v>1</v>
      </c>
    </row>
    <row r="3116" spans="1:9" x14ac:dyDescent="0.35">
      <c r="A3116" t="str">
        <f t="shared" si="48"/>
        <v>DAhours_soldS1202681</v>
      </c>
      <c r="C3116" t="s">
        <v>99</v>
      </c>
      <c r="D3116" t="s">
        <v>114</v>
      </c>
      <c r="E3116" t="s">
        <v>110</v>
      </c>
      <c r="F3116">
        <v>0</v>
      </c>
      <c r="G3116">
        <v>2026</v>
      </c>
      <c r="H3116">
        <v>8</v>
      </c>
      <c r="I3116">
        <v>1</v>
      </c>
    </row>
    <row r="3117" spans="1:9" x14ac:dyDescent="0.35">
      <c r="A3117" t="str">
        <f t="shared" si="48"/>
        <v>DAco2_emissionS1202681</v>
      </c>
      <c r="C3117" t="s">
        <v>99</v>
      </c>
      <c r="D3117" t="s">
        <v>204</v>
      </c>
      <c r="E3117" t="s">
        <v>110</v>
      </c>
      <c r="F3117">
        <v>1328.574418340165</v>
      </c>
      <c r="G3117">
        <v>2026</v>
      </c>
      <c r="H3117">
        <v>8</v>
      </c>
      <c r="I3117">
        <v>1</v>
      </c>
    </row>
    <row r="3118" spans="1:9" x14ac:dyDescent="0.35">
      <c r="A3118" t="str">
        <f t="shared" si="48"/>
        <v>fcrincomeS1202681</v>
      </c>
      <c r="C3118" t="s">
        <v>102</v>
      </c>
      <c r="D3118" t="s">
        <v>101</v>
      </c>
      <c r="E3118" t="s">
        <v>110</v>
      </c>
      <c r="F3118">
        <v>0</v>
      </c>
      <c r="G3118">
        <v>2026</v>
      </c>
      <c r="H3118">
        <v>8</v>
      </c>
      <c r="I3118">
        <v>1</v>
      </c>
    </row>
    <row r="3119" spans="1:9" x14ac:dyDescent="0.35">
      <c r="A3119" t="str">
        <f t="shared" si="48"/>
        <v>fcractivation_hoursS1202681</v>
      </c>
      <c r="C3119" t="s">
        <v>102</v>
      </c>
      <c r="D3119" t="s">
        <v>115</v>
      </c>
      <c r="E3119" t="s">
        <v>110</v>
      </c>
      <c r="F3119">
        <v>0</v>
      </c>
      <c r="G3119">
        <v>2026</v>
      </c>
      <c r="H3119">
        <v>8</v>
      </c>
      <c r="I3119">
        <v>1</v>
      </c>
    </row>
    <row r="3120" spans="1:9" x14ac:dyDescent="0.35">
      <c r="A3120" t="str">
        <f t="shared" si="48"/>
        <v>afrrincomeS1202681</v>
      </c>
      <c r="C3120" t="s">
        <v>103</v>
      </c>
      <c r="D3120" t="s">
        <v>101</v>
      </c>
      <c r="E3120" t="s">
        <v>110</v>
      </c>
      <c r="F3120">
        <v>380603.96156450087</v>
      </c>
      <c r="G3120">
        <v>2026</v>
      </c>
      <c r="H3120">
        <v>8</v>
      </c>
      <c r="I3120">
        <v>1</v>
      </c>
    </row>
    <row r="3121" spans="1:9" x14ac:dyDescent="0.35">
      <c r="A3121" t="str">
        <f t="shared" si="48"/>
        <v>afrractivation_hoursS1202681</v>
      </c>
      <c r="C3121" t="s">
        <v>103</v>
      </c>
      <c r="D3121" t="s">
        <v>115</v>
      </c>
      <c r="E3121" t="s">
        <v>110</v>
      </c>
      <c r="F3121">
        <v>8760</v>
      </c>
      <c r="G3121">
        <v>2026</v>
      </c>
      <c r="H3121">
        <v>8</v>
      </c>
      <c r="I3121">
        <v>1</v>
      </c>
    </row>
    <row r="3122" spans="1:9" x14ac:dyDescent="0.35">
      <c r="A3122" t="str">
        <f t="shared" si="48"/>
        <v>networkturpe_power_costS1202781</v>
      </c>
      <c r="B3122" t="s">
        <v>95</v>
      </c>
      <c r="C3122" t="s">
        <v>96</v>
      </c>
      <c r="D3122" t="s">
        <v>97</v>
      </c>
      <c r="E3122" t="s">
        <v>110</v>
      </c>
      <c r="F3122">
        <v>10181.636689263079</v>
      </c>
      <c r="G3122">
        <v>2027</v>
      </c>
      <c r="H3122">
        <v>8</v>
      </c>
      <c r="I3122">
        <v>1</v>
      </c>
    </row>
    <row r="3123" spans="1:9" x14ac:dyDescent="0.35">
      <c r="A3123" t="str">
        <f t="shared" si="48"/>
        <v>networkturpe_energy_costS1202781</v>
      </c>
      <c r="B3123" t="s">
        <v>95</v>
      </c>
      <c r="C3123" t="s">
        <v>96</v>
      </c>
      <c r="D3123" t="s">
        <v>98</v>
      </c>
      <c r="E3123" t="s">
        <v>110</v>
      </c>
      <c r="F3123">
        <v>344.36661695989761</v>
      </c>
      <c r="G3123">
        <v>2027</v>
      </c>
      <c r="H3123">
        <v>8</v>
      </c>
      <c r="I3123">
        <v>1</v>
      </c>
    </row>
    <row r="3124" spans="1:9" x14ac:dyDescent="0.35">
      <c r="A3124" t="str">
        <f t="shared" si="48"/>
        <v>DAcostS1202781</v>
      </c>
      <c r="C3124" t="s">
        <v>99</v>
      </c>
      <c r="D3124" t="s">
        <v>100</v>
      </c>
      <c r="E3124" t="s">
        <v>110</v>
      </c>
      <c r="F3124">
        <v>2229.3103268090658</v>
      </c>
      <c r="G3124">
        <v>2027</v>
      </c>
      <c r="H3124">
        <v>8</v>
      </c>
      <c r="I3124">
        <v>1</v>
      </c>
    </row>
    <row r="3125" spans="1:9" x14ac:dyDescent="0.35">
      <c r="A3125" t="str">
        <f t="shared" si="48"/>
        <v>DAincomeS1202781</v>
      </c>
      <c r="C3125" t="s">
        <v>99</v>
      </c>
      <c r="D3125" t="s">
        <v>101</v>
      </c>
      <c r="E3125" t="s">
        <v>110</v>
      </c>
      <c r="F3125">
        <v>0</v>
      </c>
      <c r="G3125">
        <v>2027</v>
      </c>
      <c r="H3125">
        <v>8</v>
      </c>
      <c r="I3125">
        <v>1</v>
      </c>
    </row>
    <row r="3126" spans="1:9" x14ac:dyDescent="0.35">
      <c r="A3126" t="str">
        <f t="shared" si="48"/>
        <v>DAenergy_boughtS1202781</v>
      </c>
      <c r="C3126" t="s">
        <v>99</v>
      </c>
      <c r="D3126" t="s">
        <v>111</v>
      </c>
      <c r="E3126" t="s">
        <v>110</v>
      </c>
      <c r="F3126">
        <v>18.504596549750339</v>
      </c>
      <c r="G3126">
        <v>2027</v>
      </c>
      <c r="H3126">
        <v>8</v>
      </c>
      <c r="I3126">
        <v>1</v>
      </c>
    </row>
    <row r="3127" spans="1:9" x14ac:dyDescent="0.35">
      <c r="A3127" t="str">
        <f t="shared" si="48"/>
        <v>DAenergy_soldS1202781</v>
      </c>
      <c r="C3127" t="s">
        <v>99</v>
      </c>
      <c r="D3127" t="s">
        <v>112</v>
      </c>
      <c r="E3127" t="s">
        <v>110</v>
      </c>
      <c r="F3127">
        <v>0</v>
      </c>
      <c r="G3127">
        <v>2027</v>
      </c>
      <c r="H3127">
        <v>8</v>
      </c>
      <c r="I3127">
        <v>1</v>
      </c>
    </row>
    <row r="3128" spans="1:9" x14ac:dyDescent="0.35">
      <c r="A3128" t="str">
        <f t="shared" si="48"/>
        <v>DAhours_boughtS1202781</v>
      </c>
      <c r="C3128" t="s">
        <v>99</v>
      </c>
      <c r="D3128" t="s">
        <v>113</v>
      </c>
      <c r="E3128" t="s">
        <v>110</v>
      </c>
      <c r="F3128">
        <v>5432</v>
      </c>
      <c r="G3128">
        <v>2027</v>
      </c>
      <c r="H3128">
        <v>8</v>
      </c>
      <c r="I3128">
        <v>1</v>
      </c>
    </row>
    <row r="3129" spans="1:9" x14ac:dyDescent="0.35">
      <c r="A3129" t="str">
        <f t="shared" si="48"/>
        <v>DAhours_soldS1202781</v>
      </c>
      <c r="C3129" t="s">
        <v>99</v>
      </c>
      <c r="D3129" t="s">
        <v>114</v>
      </c>
      <c r="E3129" t="s">
        <v>110</v>
      </c>
      <c r="F3129">
        <v>0</v>
      </c>
      <c r="G3129">
        <v>2027</v>
      </c>
      <c r="H3129">
        <v>8</v>
      </c>
      <c r="I3129">
        <v>1</v>
      </c>
    </row>
    <row r="3130" spans="1:9" x14ac:dyDescent="0.35">
      <c r="A3130" t="str">
        <f t="shared" si="48"/>
        <v>DAco2_emissionS1202781</v>
      </c>
      <c r="C3130" t="s">
        <v>99</v>
      </c>
      <c r="D3130" t="s">
        <v>204</v>
      </c>
      <c r="E3130" t="s">
        <v>110</v>
      </c>
      <c r="F3130">
        <v>1295.3217584824349</v>
      </c>
      <c r="G3130">
        <v>2027</v>
      </c>
      <c r="H3130">
        <v>8</v>
      </c>
      <c r="I3130">
        <v>1</v>
      </c>
    </row>
    <row r="3131" spans="1:9" x14ac:dyDescent="0.35">
      <c r="A3131" t="str">
        <f t="shared" si="48"/>
        <v>fcrincomeS1202781</v>
      </c>
      <c r="C3131" t="s">
        <v>102</v>
      </c>
      <c r="D3131" t="s">
        <v>101</v>
      </c>
      <c r="E3131" t="s">
        <v>110</v>
      </c>
      <c r="F3131">
        <v>0</v>
      </c>
      <c r="G3131">
        <v>2027</v>
      </c>
      <c r="H3131">
        <v>8</v>
      </c>
      <c r="I3131">
        <v>1</v>
      </c>
    </row>
    <row r="3132" spans="1:9" x14ac:dyDescent="0.35">
      <c r="A3132" t="str">
        <f t="shared" si="48"/>
        <v>fcractivation_hoursS1202781</v>
      </c>
      <c r="C3132" t="s">
        <v>102</v>
      </c>
      <c r="D3132" t="s">
        <v>115</v>
      </c>
      <c r="E3132" t="s">
        <v>110</v>
      </c>
      <c r="F3132">
        <v>0</v>
      </c>
      <c r="G3132">
        <v>2027</v>
      </c>
      <c r="H3132">
        <v>8</v>
      </c>
      <c r="I3132">
        <v>1</v>
      </c>
    </row>
    <row r="3133" spans="1:9" x14ac:dyDescent="0.35">
      <c r="A3133" t="str">
        <f t="shared" si="48"/>
        <v>afrrincomeS1202781</v>
      </c>
      <c r="C3133" t="s">
        <v>103</v>
      </c>
      <c r="D3133" t="s">
        <v>101</v>
      </c>
      <c r="E3133" t="s">
        <v>110</v>
      </c>
      <c r="F3133">
        <v>324090.77174212231</v>
      </c>
      <c r="G3133">
        <v>2027</v>
      </c>
      <c r="H3133">
        <v>8</v>
      </c>
      <c r="I3133">
        <v>1</v>
      </c>
    </row>
    <row r="3134" spans="1:9" x14ac:dyDescent="0.35">
      <c r="A3134" t="str">
        <f t="shared" si="48"/>
        <v>afrractivation_hoursS1202781</v>
      </c>
      <c r="B3134" t="s">
        <v>95</v>
      </c>
      <c r="C3134" t="s">
        <v>103</v>
      </c>
      <c r="D3134" t="s">
        <v>115</v>
      </c>
      <c r="E3134" t="s">
        <v>110</v>
      </c>
      <c r="F3134">
        <v>8760</v>
      </c>
      <c r="G3134">
        <v>2027</v>
      </c>
      <c r="H3134">
        <v>8</v>
      </c>
      <c r="I3134">
        <v>1</v>
      </c>
    </row>
    <row r="3135" spans="1:9" x14ac:dyDescent="0.35">
      <c r="A3135" t="str">
        <f t="shared" si="48"/>
        <v>networkturpe_power_costS1202881</v>
      </c>
      <c r="B3135" t="s">
        <v>95</v>
      </c>
      <c r="C3135" t="s">
        <v>96</v>
      </c>
      <c r="D3135" t="s">
        <v>97</v>
      </c>
      <c r="E3135" t="s">
        <v>110</v>
      </c>
      <c r="F3135">
        <v>9927.9473767938052</v>
      </c>
      <c r="G3135">
        <v>2028</v>
      </c>
      <c r="H3135">
        <v>8</v>
      </c>
      <c r="I3135">
        <v>1</v>
      </c>
    </row>
    <row r="3136" spans="1:9" x14ac:dyDescent="0.35">
      <c r="A3136" t="str">
        <f t="shared" si="48"/>
        <v>networkturpe_energy_costS1202881</v>
      </c>
      <c r="C3136" t="s">
        <v>96</v>
      </c>
      <c r="D3136" t="s">
        <v>98</v>
      </c>
      <c r="E3136" t="s">
        <v>110</v>
      </c>
      <c r="F3136">
        <v>336.31731195527158</v>
      </c>
      <c r="G3136">
        <v>2028</v>
      </c>
      <c r="H3136">
        <v>8</v>
      </c>
      <c r="I3136">
        <v>1</v>
      </c>
    </row>
    <row r="3137" spans="1:9" x14ac:dyDescent="0.35">
      <c r="A3137" t="str">
        <f t="shared" si="48"/>
        <v>DAcostS1202881</v>
      </c>
      <c r="C3137" t="s">
        <v>99</v>
      </c>
      <c r="D3137" t="s">
        <v>100</v>
      </c>
      <c r="E3137" t="s">
        <v>110</v>
      </c>
      <c r="F3137">
        <v>1986.220333679018</v>
      </c>
      <c r="G3137">
        <v>2028</v>
      </c>
      <c r="H3137">
        <v>8</v>
      </c>
      <c r="I3137">
        <v>1</v>
      </c>
    </row>
    <row r="3138" spans="1:9" x14ac:dyDescent="0.35">
      <c r="A3138" t="str">
        <f t="shared" si="48"/>
        <v>DAincomeS1202881</v>
      </c>
      <c r="C3138" t="s">
        <v>99</v>
      </c>
      <c r="D3138" t="s">
        <v>101</v>
      </c>
      <c r="E3138" t="s">
        <v>110</v>
      </c>
      <c r="F3138">
        <v>0</v>
      </c>
      <c r="G3138">
        <v>2028</v>
      </c>
      <c r="H3138">
        <v>8</v>
      </c>
      <c r="I3138">
        <v>1</v>
      </c>
    </row>
    <row r="3139" spans="1:9" x14ac:dyDescent="0.35">
      <c r="A3139" t="str">
        <f t="shared" ref="A3139:A3202" si="49">C3139&amp;D3139&amp;E3139&amp;G3139&amp;H3139&amp;I3139</f>
        <v>DAenergy_boughtS1202881</v>
      </c>
      <c r="C3139" t="s">
        <v>99</v>
      </c>
      <c r="D3139" t="s">
        <v>111</v>
      </c>
      <c r="E3139" t="s">
        <v>110</v>
      </c>
      <c r="F3139">
        <v>18.041708333734089</v>
      </c>
      <c r="G3139">
        <v>2028</v>
      </c>
      <c r="H3139">
        <v>8</v>
      </c>
      <c r="I3139">
        <v>1</v>
      </c>
    </row>
    <row r="3140" spans="1:9" x14ac:dyDescent="0.35">
      <c r="A3140" t="str">
        <f t="shared" si="49"/>
        <v>DAenergy_soldS1202881</v>
      </c>
      <c r="C3140" t="s">
        <v>99</v>
      </c>
      <c r="D3140" t="s">
        <v>112</v>
      </c>
      <c r="E3140" t="s">
        <v>110</v>
      </c>
      <c r="F3140">
        <v>0</v>
      </c>
      <c r="G3140">
        <v>2028</v>
      </c>
      <c r="H3140">
        <v>8</v>
      </c>
      <c r="I3140">
        <v>1</v>
      </c>
    </row>
    <row r="3141" spans="1:9" x14ac:dyDescent="0.35">
      <c r="A3141" t="str">
        <f t="shared" si="49"/>
        <v>DAhours_boughtS1202881</v>
      </c>
      <c r="C3141" t="s">
        <v>99</v>
      </c>
      <c r="D3141" t="s">
        <v>113</v>
      </c>
      <c r="E3141" t="s">
        <v>110</v>
      </c>
      <c r="F3141">
        <v>5374</v>
      </c>
      <c r="G3141">
        <v>2028</v>
      </c>
      <c r="H3141">
        <v>8</v>
      </c>
      <c r="I3141">
        <v>1</v>
      </c>
    </row>
    <row r="3142" spans="1:9" x14ac:dyDescent="0.35">
      <c r="A3142" t="str">
        <f t="shared" si="49"/>
        <v>DAhours_soldS1202881</v>
      </c>
      <c r="C3142" t="s">
        <v>99</v>
      </c>
      <c r="D3142" t="s">
        <v>114</v>
      </c>
      <c r="E3142" t="s">
        <v>110</v>
      </c>
      <c r="F3142">
        <v>0</v>
      </c>
      <c r="G3142">
        <v>2028</v>
      </c>
      <c r="H3142">
        <v>8</v>
      </c>
      <c r="I3142">
        <v>1</v>
      </c>
    </row>
    <row r="3143" spans="1:9" x14ac:dyDescent="0.35">
      <c r="A3143" t="str">
        <f t="shared" si="49"/>
        <v>DAco2_emissionS1202881</v>
      </c>
      <c r="C3143" t="s">
        <v>99</v>
      </c>
      <c r="D3143" t="s">
        <v>204</v>
      </c>
      <c r="E3143" t="s">
        <v>110</v>
      </c>
      <c r="F3143">
        <v>1262.9195833613981</v>
      </c>
      <c r="G3143">
        <v>2028</v>
      </c>
      <c r="H3143">
        <v>8</v>
      </c>
      <c r="I3143">
        <v>1</v>
      </c>
    </row>
    <row r="3144" spans="1:9" x14ac:dyDescent="0.35">
      <c r="A3144" t="str">
        <f t="shared" si="49"/>
        <v>fcrincomeS1202881</v>
      </c>
      <c r="C3144" t="s">
        <v>102</v>
      </c>
      <c r="D3144" t="s">
        <v>101</v>
      </c>
      <c r="E3144" t="s">
        <v>110</v>
      </c>
      <c r="F3144">
        <v>0</v>
      </c>
      <c r="G3144">
        <v>2028</v>
      </c>
      <c r="H3144">
        <v>8</v>
      </c>
      <c r="I3144">
        <v>1</v>
      </c>
    </row>
    <row r="3145" spans="1:9" x14ac:dyDescent="0.35">
      <c r="A3145" t="str">
        <f t="shared" si="49"/>
        <v>fcractivation_hoursS1202881</v>
      </c>
      <c r="C3145" t="s">
        <v>102</v>
      </c>
      <c r="D3145" t="s">
        <v>115</v>
      </c>
      <c r="E3145" t="s">
        <v>110</v>
      </c>
      <c r="F3145">
        <v>0</v>
      </c>
      <c r="G3145">
        <v>2028</v>
      </c>
      <c r="H3145">
        <v>8</v>
      </c>
      <c r="I3145">
        <v>1</v>
      </c>
    </row>
    <row r="3146" spans="1:9" x14ac:dyDescent="0.35">
      <c r="A3146" t="str">
        <f t="shared" si="49"/>
        <v>afrrincomeS1202881</v>
      </c>
      <c r="B3146" t="s">
        <v>95</v>
      </c>
      <c r="C3146" t="s">
        <v>103</v>
      </c>
      <c r="D3146" t="s">
        <v>101</v>
      </c>
      <c r="E3146" t="s">
        <v>110</v>
      </c>
      <c r="F3146">
        <v>319089.55866141769</v>
      </c>
      <c r="G3146">
        <v>2028</v>
      </c>
      <c r="H3146">
        <v>8</v>
      </c>
      <c r="I3146">
        <v>1</v>
      </c>
    </row>
    <row r="3147" spans="1:9" x14ac:dyDescent="0.35">
      <c r="A3147" t="str">
        <f t="shared" si="49"/>
        <v>afrractivation_hoursS1202881</v>
      </c>
      <c r="B3147" t="s">
        <v>95</v>
      </c>
      <c r="C3147" t="s">
        <v>103</v>
      </c>
      <c r="D3147" t="s">
        <v>115</v>
      </c>
      <c r="E3147" t="s">
        <v>110</v>
      </c>
      <c r="F3147">
        <v>8760</v>
      </c>
      <c r="G3147">
        <v>2028</v>
      </c>
      <c r="H3147">
        <v>8</v>
      </c>
      <c r="I3147">
        <v>1</v>
      </c>
    </row>
    <row r="3148" spans="1:9" x14ac:dyDescent="0.35">
      <c r="A3148" t="str">
        <f t="shared" si="49"/>
        <v>networkturpe_power_costS1202981</v>
      </c>
      <c r="C3148" t="s">
        <v>96</v>
      </c>
      <c r="D3148" t="s">
        <v>97</v>
      </c>
      <c r="E3148" t="s">
        <v>110</v>
      </c>
      <c r="F3148">
        <v>9675.6051494245803</v>
      </c>
      <c r="G3148">
        <v>2029</v>
      </c>
      <c r="H3148">
        <v>8</v>
      </c>
      <c r="I3148">
        <v>1</v>
      </c>
    </row>
    <row r="3149" spans="1:9" x14ac:dyDescent="0.35">
      <c r="A3149" t="str">
        <f t="shared" si="49"/>
        <v>networkturpe_energy_costS1202981</v>
      </c>
      <c r="C3149" t="s">
        <v>96</v>
      </c>
      <c r="D3149" t="s">
        <v>98</v>
      </c>
      <c r="E3149" t="s">
        <v>110</v>
      </c>
      <c r="F3149">
        <v>366.93938552040493</v>
      </c>
      <c r="G3149">
        <v>2029</v>
      </c>
      <c r="H3149">
        <v>8</v>
      </c>
      <c r="I3149">
        <v>1</v>
      </c>
    </row>
    <row r="3150" spans="1:9" x14ac:dyDescent="0.35">
      <c r="A3150" t="str">
        <f t="shared" si="49"/>
        <v>DAcostS1202981</v>
      </c>
      <c r="C3150" t="s">
        <v>99</v>
      </c>
      <c r="D3150" t="s">
        <v>100</v>
      </c>
      <c r="E3150" t="s">
        <v>110</v>
      </c>
      <c r="F3150">
        <v>1811.9535709146</v>
      </c>
      <c r="G3150">
        <v>2029</v>
      </c>
      <c r="H3150">
        <v>8</v>
      </c>
      <c r="I3150">
        <v>1</v>
      </c>
    </row>
    <row r="3151" spans="1:9" x14ac:dyDescent="0.35">
      <c r="A3151" t="str">
        <f t="shared" si="49"/>
        <v>DAincomeS1202981</v>
      </c>
      <c r="C3151" t="s">
        <v>99</v>
      </c>
      <c r="D3151" t="s">
        <v>101</v>
      </c>
      <c r="E3151" t="s">
        <v>110</v>
      </c>
      <c r="F3151">
        <v>376.38991834041178</v>
      </c>
      <c r="G3151">
        <v>2029</v>
      </c>
      <c r="H3151">
        <v>8</v>
      </c>
      <c r="I3151">
        <v>1</v>
      </c>
    </row>
    <row r="3152" spans="1:9" x14ac:dyDescent="0.35">
      <c r="A3152" t="str">
        <f t="shared" si="49"/>
        <v>DAenergy_boughtS1202981</v>
      </c>
      <c r="C3152" t="s">
        <v>99</v>
      </c>
      <c r="D3152" t="s">
        <v>111</v>
      </c>
      <c r="E3152" t="s">
        <v>110</v>
      </c>
      <c r="F3152">
        <v>21.21134269764217</v>
      </c>
      <c r="G3152">
        <v>2029</v>
      </c>
      <c r="H3152">
        <v>8</v>
      </c>
      <c r="I3152">
        <v>1</v>
      </c>
    </row>
    <row r="3153" spans="1:9" x14ac:dyDescent="0.35">
      <c r="A3153" t="str">
        <f t="shared" si="49"/>
        <v>DAenergy_soldS1202981</v>
      </c>
      <c r="C3153" t="s">
        <v>99</v>
      </c>
      <c r="D3153" t="s">
        <v>112</v>
      </c>
      <c r="E3153" t="s">
        <v>110</v>
      </c>
      <c r="F3153">
        <v>2.9360922733480659</v>
      </c>
      <c r="G3153">
        <v>2029</v>
      </c>
      <c r="H3153">
        <v>8</v>
      </c>
      <c r="I3153">
        <v>1</v>
      </c>
    </row>
    <row r="3154" spans="1:9" x14ac:dyDescent="0.35">
      <c r="A3154" t="str">
        <f t="shared" si="49"/>
        <v>DAhours_boughtS1202981</v>
      </c>
      <c r="C3154" t="s">
        <v>99</v>
      </c>
      <c r="D3154" t="s">
        <v>113</v>
      </c>
      <c r="E3154" t="s">
        <v>110</v>
      </c>
      <c r="F3154">
        <v>5908</v>
      </c>
      <c r="G3154">
        <v>2029</v>
      </c>
      <c r="H3154">
        <v>8</v>
      </c>
      <c r="I3154">
        <v>1</v>
      </c>
    </row>
    <row r="3155" spans="1:9" x14ac:dyDescent="0.35">
      <c r="A3155" t="str">
        <f t="shared" si="49"/>
        <v>DAhours_soldS1202981</v>
      </c>
      <c r="C3155" t="s">
        <v>99</v>
      </c>
      <c r="D3155" t="s">
        <v>114</v>
      </c>
      <c r="E3155" t="s">
        <v>110</v>
      </c>
      <c r="F3155">
        <v>2</v>
      </c>
      <c r="G3155">
        <v>2029</v>
      </c>
      <c r="H3155">
        <v>8</v>
      </c>
      <c r="I3155">
        <v>1</v>
      </c>
    </row>
    <row r="3156" spans="1:9" x14ac:dyDescent="0.35">
      <c r="A3156" t="str">
        <f t="shared" si="49"/>
        <v>DAco2_emissionS1202981</v>
      </c>
      <c r="C3156" t="s">
        <v>99</v>
      </c>
      <c r="D3156" t="s">
        <v>204</v>
      </c>
      <c r="E3156" t="s">
        <v>110</v>
      </c>
      <c r="F3156">
        <v>1484.7939888352239</v>
      </c>
      <c r="G3156">
        <v>2029</v>
      </c>
      <c r="H3156">
        <v>8</v>
      </c>
      <c r="I3156">
        <v>1</v>
      </c>
    </row>
    <row r="3157" spans="1:9" x14ac:dyDescent="0.35">
      <c r="A3157" t="str">
        <f t="shared" si="49"/>
        <v>fcrincomeS1202981</v>
      </c>
      <c r="C3157" t="s">
        <v>102</v>
      </c>
      <c r="D3157" t="s">
        <v>101</v>
      </c>
      <c r="E3157" t="s">
        <v>110</v>
      </c>
      <c r="F3157">
        <v>0</v>
      </c>
      <c r="G3157">
        <v>2029</v>
      </c>
      <c r="H3157">
        <v>8</v>
      </c>
      <c r="I3157">
        <v>1</v>
      </c>
    </row>
    <row r="3158" spans="1:9" x14ac:dyDescent="0.35">
      <c r="A3158" t="str">
        <f t="shared" si="49"/>
        <v>fcractivation_hoursS1202981</v>
      </c>
      <c r="B3158" t="s">
        <v>95</v>
      </c>
      <c r="C3158" t="s">
        <v>102</v>
      </c>
      <c r="D3158" t="s">
        <v>115</v>
      </c>
      <c r="E3158" t="s">
        <v>110</v>
      </c>
      <c r="F3158">
        <v>0</v>
      </c>
      <c r="G3158">
        <v>2029</v>
      </c>
      <c r="H3158">
        <v>8</v>
      </c>
      <c r="I3158">
        <v>1</v>
      </c>
    </row>
    <row r="3159" spans="1:9" x14ac:dyDescent="0.35">
      <c r="A3159" t="str">
        <f t="shared" si="49"/>
        <v>afrrincomeS1202981</v>
      </c>
      <c r="B3159" t="s">
        <v>95</v>
      </c>
      <c r="C3159" t="s">
        <v>103</v>
      </c>
      <c r="D3159" t="s">
        <v>101</v>
      </c>
      <c r="E3159" t="s">
        <v>110</v>
      </c>
      <c r="F3159">
        <v>330142.44565309002</v>
      </c>
      <c r="G3159">
        <v>2029</v>
      </c>
      <c r="H3159">
        <v>8</v>
      </c>
      <c r="I3159">
        <v>1</v>
      </c>
    </row>
    <row r="3160" spans="1:9" x14ac:dyDescent="0.35">
      <c r="A3160" t="str">
        <f t="shared" si="49"/>
        <v>afrractivation_hoursS1202981</v>
      </c>
      <c r="C3160" t="s">
        <v>103</v>
      </c>
      <c r="D3160" t="s">
        <v>115</v>
      </c>
      <c r="E3160" t="s">
        <v>110</v>
      </c>
      <c r="F3160">
        <v>8758</v>
      </c>
      <c r="G3160">
        <v>2029</v>
      </c>
      <c r="H3160">
        <v>8</v>
      </c>
      <c r="I3160">
        <v>1</v>
      </c>
    </row>
    <row r="3161" spans="1:9" x14ac:dyDescent="0.35">
      <c r="A3161" t="str">
        <f t="shared" si="49"/>
        <v>networkturpe_power_costS1203081</v>
      </c>
      <c r="C3161" t="s">
        <v>96</v>
      </c>
      <c r="D3161" t="s">
        <v>97</v>
      </c>
      <c r="E3161" t="s">
        <v>110</v>
      </c>
      <c r="F3161">
        <v>9444.0604536836654</v>
      </c>
      <c r="G3161">
        <v>2030</v>
      </c>
      <c r="H3161">
        <v>8</v>
      </c>
      <c r="I3161">
        <v>1</v>
      </c>
    </row>
    <row r="3162" spans="1:9" x14ac:dyDescent="0.35">
      <c r="A3162" t="str">
        <f t="shared" si="49"/>
        <v>networkturpe_energy_costS1203081</v>
      </c>
      <c r="C3162" t="s">
        <v>96</v>
      </c>
      <c r="D3162" t="s">
        <v>98</v>
      </c>
      <c r="E3162" t="s">
        <v>110</v>
      </c>
      <c r="F3162">
        <v>1086.186149542237</v>
      </c>
      <c r="G3162">
        <v>2030</v>
      </c>
      <c r="H3162">
        <v>8</v>
      </c>
      <c r="I3162">
        <v>1</v>
      </c>
    </row>
    <row r="3163" spans="1:9" x14ac:dyDescent="0.35">
      <c r="A3163" t="str">
        <f t="shared" si="49"/>
        <v>DAcostS1203081</v>
      </c>
      <c r="C3163" t="s">
        <v>99</v>
      </c>
      <c r="D3163" t="s">
        <v>100</v>
      </c>
      <c r="E3163" t="s">
        <v>110</v>
      </c>
      <c r="F3163">
        <v>4329.8357402830834</v>
      </c>
      <c r="G3163">
        <v>2030</v>
      </c>
      <c r="H3163">
        <v>8</v>
      </c>
      <c r="I3163">
        <v>1</v>
      </c>
    </row>
    <row r="3164" spans="1:9" x14ac:dyDescent="0.35">
      <c r="A3164" t="str">
        <f t="shared" si="49"/>
        <v>DAincomeS1203081</v>
      </c>
      <c r="C3164" t="s">
        <v>99</v>
      </c>
      <c r="D3164" t="s">
        <v>101</v>
      </c>
      <c r="E3164" t="s">
        <v>110</v>
      </c>
      <c r="F3164">
        <v>5826.4572862667828</v>
      </c>
      <c r="G3164">
        <v>2030</v>
      </c>
      <c r="H3164">
        <v>8</v>
      </c>
      <c r="I3164">
        <v>1</v>
      </c>
    </row>
    <row r="3165" spans="1:9" x14ac:dyDescent="0.35">
      <c r="A3165" t="str">
        <f t="shared" si="49"/>
        <v>DAenergy_boughtS1203081</v>
      </c>
      <c r="C3165" t="s">
        <v>99</v>
      </c>
      <c r="D3165" t="s">
        <v>111</v>
      </c>
      <c r="E3165" t="s">
        <v>110</v>
      </c>
      <c r="F3165">
        <v>76.347271676703841</v>
      </c>
      <c r="G3165">
        <v>2030</v>
      </c>
      <c r="H3165">
        <v>8</v>
      </c>
      <c r="I3165">
        <v>1</v>
      </c>
    </row>
    <row r="3166" spans="1:9" x14ac:dyDescent="0.35">
      <c r="A3166" t="str">
        <f t="shared" si="49"/>
        <v>DAenergy_soldS1203081</v>
      </c>
      <c r="C3166" t="s">
        <v>99</v>
      </c>
      <c r="D3166" t="s">
        <v>112</v>
      </c>
      <c r="E3166" t="s">
        <v>110</v>
      </c>
      <c r="F3166">
        <v>47.952910411731118</v>
      </c>
      <c r="G3166">
        <v>2030</v>
      </c>
      <c r="H3166">
        <v>8</v>
      </c>
      <c r="I3166">
        <v>1</v>
      </c>
    </row>
    <row r="3167" spans="1:9" x14ac:dyDescent="0.35">
      <c r="A3167" t="str">
        <f t="shared" si="49"/>
        <v>DAhours_boughtS1203081</v>
      </c>
      <c r="C3167" t="s">
        <v>99</v>
      </c>
      <c r="D3167" t="s">
        <v>113</v>
      </c>
      <c r="E3167" t="s">
        <v>110</v>
      </c>
      <c r="F3167">
        <v>3988</v>
      </c>
      <c r="G3167">
        <v>2030</v>
      </c>
      <c r="H3167">
        <v>8</v>
      </c>
      <c r="I3167">
        <v>1</v>
      </c>
    </row>
    <row r="3168" spans="1:9" x14ac:dyDescent="0.35">
      <c r="A3168" t="str">
        <f t="shared" si="49"/>
        <v>DAhours_soldS1203081</v>
      </c>
      <c r="C3168" t="s">
        <v>99</v>
      </c>
      <c r="D3168" t="s">
        <v>114</v>
      </c>
      <c r="E3168" t="s">
        <v>110</v>
      </c>
      <c r="F3168">
        <v>38</v>
      </c>
      <c r="G3168">
        <v>2030</v>
      </c>
      <c r="H3168">
        <v>8</v>
      </c>
      <c r="I3168">
        <v>1</v>
      </c>
    </row>
    <row r="3169" spans="1:9" x14ac:dyDescent="0.35">
      <c r="A3169" t="str">
        <f t="shared" si="49"/>
        <v>DAco2_emissionS1203081</v>
      </c>
      <c r="C3169" t="s">
        <v>99</v>
      </c>
      <c r="D3169" t="s">
        <v>204</v>
      </c>
      <c r="E3169" t="s">
        <v>110</v>
      </c>
      <c r="F3169">
        <v>5344.3090173691262</v>
      </c>
      <c r="G3169">
        <v>2030</v>
      </c>
      <c r="H3169">
        <v>8</v>
      </c>
      <c r="I3169">
        <v>1</v>
      </c>
    </row>
    <row r="3170" spans="1:9" x14ac:dyDescent="0.35">
      <c r="A3170" t="str">
        <f t="shared" si="49"/>
        <v>fcrincomeS1203081</v>
      </c>
      <c r="B3170" t="s">
        <v>95</v>
      </c>
      <c r="C3170" t="s">
        <v>102</v>
      </c>
      <c r="D3170" t="s">
        <v>101</v>
      </c>
      <c r="E3170" t="s">
        <v>110</v>
      </c>
      <c r="F3170">
        <v>7.1902768680894263E-2</v>
      </c>
      <c r="G3170">
        <v>2030</v>
      </c>
      <c r="H3170">
        <v>8</v>
      </c>
      <c r="I3170">
        <v>1</v>
      </c>
    </row>
    <row r="3171" spans="1:9" x14ac:dyDescent="0.35">
      <c r="A3171" t="str">
        <f t="shared" si="49"/>
        <v>fcractivation_hoursS1203081</v>
      </c>
      <c r="B3171" t="s">
        <v>95</v>
      </c>
      <c r="C3171" t="s">
        <v>102</v>
      </c>
      <c r="D3171" t="s">
        <v>115</v>
      </c>
      <c r="E3171" t="s">
        <v>110</v>
      </c>
      <c r="F3171">
        <v>4</v>
      </c>
      <c r="G3171">
        <v>2030</v>
      </c>
      <c r="H3171">
        <v>8</v>
      </c>
      <c r="I3171">
        <v>1</v>
      </c>
    </row>
    <row r="3172" spans="1:9" x14ac:dyDescent="0.35">
      <c r="A3172" t="str">
        <f t="shared" si="49"/>
        <v>afrrincomeS1203081</v>
      </c>
      <c r="C3172" t="s">
        <v>103</v>
      </c>
      <c r="D3172" t="s">
        <v>101</v>
      </c>
      <c r="E3172" t="s">
        <v>110</v>
      </c>
      <c r="F3172">
        <v>195596.99406960711</v>
      </c>
      <c r="G3172">
        <v>2030</v>
      </c>
      <c r="H3172">
        <v>8</v>
      </c>
      <c r="I3172">
        <v>1</v>
      </c>
    </row>
    <row r="3173" spans="1:9" x14ac:dyDescent="0.35">
      <c r="A3173" t="str">
        <f t="shared" si="49"/>
        <v>afrractivation_hoursS1203081</v>
      </c>
      <c r="C3173" t="s">
        <v>103</v>
      </c>
      <c r="D3173" t="s">
        <v>115</v>
      </c>
      <c r="E3173" t="s">
        <v>110</v>
      </c>
      <c r="F3173">
        <v>8724</v>
      </c>
      <c r="G3173">
        <v>2030</v>
      </c>
      <c r="H3173">
        <v>8</v>
      </c>
      <c r="I3173">
        <v>1</v>
      </c>
    </row>
    <row r="3174" spans="1:9" x14ac:dyDescent="0.35">
      <c r="A3174" t="str">
        <f t="shared" si="49"/>
        <v>networkturpe_power_costS1203181</v>
      </c>
      <c r="C3174" t="s">
        <v>96</v>
      </c>
      <c r="D3174" t="s">
        <v>97</v>
      </c>
      <c r="E3174" t="s">
        <v>110</v>
      </c>
      <c r="F3174">
        <v>9209.5910997605461</v>
      </c>
      <c r="G3174">
        <v>2031</v>
      </c>
      <c r="H3174">
        <v>8</v>
      </c>
      <c r="I3174">
        <v>1</v>
      </c>
    </row>
    <row r="3175" spans="1:9" x14ac:dyDescent="0.35">
      <c r="A3175" t="str">
        <f t="shared" si="49"/>
        <v>networkturpe_energy_costS1203181</v>
      </c>
      <c r="C3175" t="s">
        <v>96</v>
      </c>
      <c r="D3175" t="s">
        <v>98</v>
      </c>
      <c r="E3175" t="s">
        <v>110</v>
      </c>
      <c r="F3175">
        <v>1586.833005634762</v>
      </c>
      <c r="G3175">
        <v>2031</v>
      </c>
      <c r="H3175">
        <v>8</v>
      </c>
      <c r="I3175">
        <v>1</v>
      </c>
    </row>
    <row r="3176" spans="1:9" x14ac:dyDescent="0.35">
      <c r="A3176" t="str">
        <f t="shared" si="49"/>
        <v>DAcostS1203181</v>
      </c>
      <c r="C3176" t="s">
        <v>99</v>
      </c>
      <c r="D3176" t="s">
        <v>100</v>
      </c>
      <c r="E3176" t="s">
        <v>110</v>
      </c>
      <c r="F3176">
        <v>4797.4416891206938</v>
      </c>
      <c r="G3176">
        <v>2031</v>
      </c>
      <c r="H3176">
        <v>8</v>
      </c>
      <c r="I3176">
        <v>1</v>
      </c>
    </row>
    <row r="3177" spans="1:9" x14ac:dyDescent="0.35">
      <c r="A3177" t="str">
        <f t="shared" si="49"/>
        <v>DAincomeS1203181</v>
      </c>
      <c r="C3177" t="s">
        <v>99</v>
      </c>
      <c r="D3177" t="s">
        <v>101</v>
      </c>
      <c r="E3177" t="s">
        <v>110</v>
      </c>
      <c r="F3177">
        <v>8418.9868299165919</v>
      </c>
      <c r="G3177">
        <v>2031</v>
      </c>
      <c r="H3177">
        <v>8</v>
      </c>
      <c r="I3177">
        <v>1</v>
      </c>
    </row>
    <row r="3178" spans="1:9" x14ac:dyDescent="0.35">
      <c r="A3178" t="str">
        <f t="shared" si="49"/>
        <v>DAenergy_boughtS1203181</v>
      </c>
      <c r="C3178" t="s">
        <v>99</v>
      </c>
      <c r="D3178" t="s">
        <v>111</v>
      </c>
      <c r="E3178" t="s">
        <v>110</v>
      </c>
      <c r="F3178">
        <v>111.7213795245664</v>
      </c>
      <c r="G3178">
        <v>2031</v>
      </c>
      <c r="H3178">
        <v>8</v>
      </c>
      <c r="I3178">
        <v>1</v>
      </c>
    </row>
    <row r="3179" spans="1:9" x14ac:dyDescent="0.35">
      <c r="A3179" t="str">
        <f t="shared" si="49"/>
        <v>DAenergy_soldS1203181</v>
      </c>
      <c r="C3179" t="s">
        <v>99</v>
      </c>
      <c r="D3179" t="s">
        <v>112</v>
      </c>
      <c r="E3179" t="s">
        <v>110</v>
      </c>
      <c r="F3179">
        <v>76.973464299888988</v>
      </c>
      <c r="G3179">
        <v>2031</v>
      </c>
      <c r="H3179">
        <v>8</v>
      </c>
      <c r="I3179">
        <v>1</v>
      </c>
    </row>
    <row r="3180" spans="1:9" x14ac:dyDescent="0.35">
      <c r="A3180" t="str">
        <f t="shared" si="49"/>
        <v>DAhours_boughtS1203181</v>
      </c>
      <c r="C3180" t="s">
        <v>99</v>
      </c>
      <c r="D3180" t="s">
        <v>113</v>
      </c>
      <c r="E3180" t="s">
        <v>110</v>
      </c>
      <c r="F3180">
        <v>4070</v>
      </c>
      <c r="G3180">
        <v>2031</v>
      </c>
      <c r="H3180">
        <v>8</v>
      </c>
      <c r="I3180">
        <v>1</v>
      </c>
    </row>
    <row r="3181" spans="1:9" x14ac:dyDescent="0.35">
      <c r="A3181" t="str">
        <f t="shared" si="49"/>
        <v>DAhours_soldS1203181</v>
      </c>
      <c r="C3181" t="s">
        <v>99</v>
      </c>
      <c r="D3181" t="s">
        <v>114</v>
      </c>
      <c r="E3181" t="s">
        <v>110</v>
      </c>
      <c r="F3181">
        <v>69</v>
      </c>
      <c r="G3181">
        <v>2031</v>
      </c>
      <c r="H3181">
        <v>8</v>
      </c>
      <c r="I3181">
        <v>1</v>
      </c>
    </row>
    <row r="3182" spans="1:9" x14ac:dyDescent="0.35">
      <c r="A3182" t="str">
        <f t="shared" si="49"/>
        <v>DAco2_emissionS1203181</v>
      </c>
      <c r="B3182" t="s">
        <v>95</v>
      </c>
      <c r="C3182" t="s">
        <v>99</v>
      </c>
      <c r="D3182" t="s">
        <v>204</v>
      </c>
      <c r="E3182" t="s">
        <v>110</v>
      </c>
      <c r="F3182">
        <v>7820.4965667195493</v>
      </c>
      <c r="G3182">
        <v>2031</v>
      </c>
      <c r="H3182">
        <v>8</v>
      </c>
      <c r="I3182">
        <v>1</v>
      </c>
    </row>
    <row r="3183" spans="1:9" x14ac:dyDescent="0.35">
      <c r="A3183" t="str">
        <f t="shared" si="49"/>
        <v>fcrincomeS1203181</v>
      </c>
      <c r="B3183" t="s">
        <v>95</v>
      </c>
      <c r="C3183" t="s">
        <v>102</v>
      </c>
      <c r="D3183" t="s">
        <v>101</v>
      </c>
      <c r="E3183" t="s">
        <v>110</v>
      </c>
      <c r="F3183">
        <v>2.6328535406534119E-2</v>
      </c>
      <c r="G3183">
        <v>2031</v>
      </c>
      <c r="H3183">
        <v>8</v>
      </c>
      <c r="I3183">
        <v>1</v>
      </c>
    </row>
    <row r="3184" spans="1:9" x14ac:dyDescent="0.35">
      <c r="A3184" t="str">
        <f t="shared" si="49"/>
        <v>fcractivation_hoursS1203181</v>
      </c>
      <c r="C3184" t="s">
        <v>102</v>
      </c>
      <c r="D3184" t="s">
        <v>115</v>
      </c>
      <c r="E3184" t="s">
        <v>110</v>
      </c>
      <c r="F3184">
        <v>4</v>
      </c>
      <c r="G3184">
        <v>2031</v>
      </c>
      <c r="H3184">
        <v>8</v>
      </c>
      <c r="I3184">
        <v>1</v>
      </c>
    </row>
    <row r="3185" spans="1:9" x14ac:dyDescent="0.35">
      <c r="A3185" t="str">
        <f t="shared" si="49"/>
        <v>afrrincomeS1203181</v>
      </c>
      <c r="C3185" t="s">
        <v>103</v>
      </c>
      <c r="D3185" t="s">
        <v>101</v>
      </c>
      <c r="E3185" t="s">
        <v>110</v>
      </c>
      <c r="F3185">
        <v>191295.45310137881</v>
      </c>
      <c r="G3185">
        <v>2031</v>
      </c>
      <c r="H3185">
        <v>8</v>
      </c>
      <c r="I3185">
        <v>1</v>
      </c>
    </row>
    <row r="3186" spans="1:9" x14ac:dyDescent="0.35">
      <c r="A3186" t="str">
        <f t="shared" si="49"/>
        <v>afrractivation_hoursS1203181</v>
      </c>
      <c r="C3186" t="s">
        <v>103</v>
      </c>
      <c r="D3186" t="s">
        <v>115</v>
      </c>
      <c r="E3186" t="s">
        <v>110</v>
      </c>
      <c r="F3186">
        <v>8700</v>
      </c>
      <c r="G3186">
        <v>2031</v>
      </c>
      <c r="H3186">
        <v>8</v>
      </c>
      <c r="I3186">
        <v>1</v>
      </c>
    </row>
    <row r="3187" spans="1:9" x14ac:dyDescent="0.35">
      <c r="A3187" t="str">
        <f t="shared" si="49"/>
        <v>networkturpe_power_costS1203281</v>
      </c>
      <c r="C3187" t="s">
        <v>96</v>
      </c>
      <c r="D3187" t="s">
        <v>97</v>
      </c>
      <c r="E3187" t="s">
        <v>110</v>
      </c>
      <c r="F3187">
        <v>8991.2573144959861</v>
      </c>
      <c r="G3187">
        <v>2032</v>
      </c>
      <c r="H3187">
        <v>8</v>
      </c>
      <c r="I3187">
        <v>1</v>
      </c>
    </row>
    <row r="3188" spans="1:9" x14ac:dyDescent="0.35">
      <c r="A3188" t="str">
        <f t="shared" si="49"/>
        <v>networkturpe_energy_costS1203281</v>
      </c>
      <c r="C3188" t="s">
        <v>96</v>
      </c>
      <c r="D3188" t="s">
        <v>98</v>
      </c>
      <c r="E3188" t="s">
        <v>110</v>
      </c>
      <c r="F3188">
        <v>2461.3475689682932</v>
      </c>
      <c r="G3188">
        <v>2032</v>
      </c>
      <c r="H3188">
        <v>8</v>
      </c>
      <c r="I3188">
        <v>1</v>
      </c>
    </row>
    <row r="3189" spans="1:9" x14ac:dyDescent="0.35">
      <c r="A3189" t="str">
        <f t="shared" si="49"/>
        <v>DAcostS1203281</v>
      </c>
      <c r="C3189" t="s">
        <v>99</v>
      </c>
      <c r="D3189" t="s">
        <v>100</v>
      </c>
      <c r="E3189" t="s">
        <v>110</v>
      </c>
      <c r="F3189">
        <v>8388.1585690005068</v>
      </c>
      <c r="G3189">
        <v>2032</v>
      </c>
      <c r="H3189">
        <v>8</v>
      </c>
      <c r="I3189">
        <v>1</v>
      </c>
    </row>
    <row r="3190" spans="1:9" x14ac:dyDescent="0.35">
      <c r="A3190" t="str">
        <f t="shared" si="49"/>
        <v>DAincomeS1203281</v>
      </c>
      <c r="C3190" t="s">
        <v>99</v>
      </c>
      <c r="D3190" t="s">
        <v>101</v>
      </c>
      <c r="E3190" t="s">
        <v>110</v>
      </c>
      <c r="F3190">
        <v>15662.67550396154</v>
      </c>
      <c r="G3190">
        <v>2032</v>
      </c>
      <c r="H3190">
        <v>8</v>
      </c>
      <c r="I3190">
        <v>1</v>
      </c>
    </row>
    <row r="3191" spans="1:9" x14ac:dyDescent="0.35">
      <c r="A3191" t="str">
        <f t="shared" si="49"/>
        <v>DAenergy_boughtS1203281</v>
      </c>
      <c r="C3191" t="s">
        <v>99</v>
      </c>
      <c r="D3191" t="s">
        <v>111</v>
      </c>
      <c r="E3191" t="s">
        <v>110</v>
      </c>
      <c r="F3191">
        <v>191.1438667498704</v>
      </c>
      <c r="G3191">
        <v>2032</v>
      </c>
      <c r="H3191">
        <v>8</v>
      </c>
      <c r="I3191">
        <v>1</v>
      </c>
    </row>
    <row r="3192" spans="1:9" x14ac:dyDescent="0.35">
      <c r="A3192" t="str">
        <f t="shared" si="49"/>
        <v>DAenergy_soldS1203281</v>
      </c>
      <c r="C3192" t="s">
        <v>99</v>
      </c>
      <c r="D3192" t="s">
        <v>112</v>
      </c>
      <c r="E3192" t="s">
        <v>110</v>
      </c>
      <c r="F3192">
        <v>141.68327991903669</v>
      </c>
      <c r="G3192">
        <v>2032</v>
      </c>
      <c r="H3192">
        <v>8</v>
      </c>
      <c r="I3192">
        <v>1</v>
      </c>
    </row>
    <row r="3193" spans="1:9" x14ac:dyDescent="0.35">
      <c r="A3193" t="str">
        <f t="shared" si="49"/>
        <v>DAhours_boughtS1203281</v>
      </c>
      <c r="C3193" t="s">
        <v>99</v>
      </c>
      <c r="D3193" t="s">
        <v>113</v>
      </c>
      <c r="E3193" t="s">
        <v>110</v>
      </c>
      <c r="F3193">
        <v>3932</v>
      </c>
      <c r="G3193">
        <v>2032</v>
      </c>
      <c r="H3193">
        <v>8</v>
      </c>
      <c r="I3193">
        <v>1</v>
      </c>
    </row>
    <row r="3194" spans="1:9" x14ac:dyDescent="0.35">
      <c r="A3194" t="str">
        <f t="shared" si="49"/>
        <v>DAhours_soldS1203281</v>
      </c>
      <c r="B3194" t="s">
        <v>95</v>
      </c>
      <c r="C3194" t="s">
        <v>99</v>
      </c>
      <c r="D3194" t="s">
        <v>114</v>
      </c>
      <c r="E3194" t="s">
        <v>110</v>
      </c>
      <c r="F3194">
        <v>93</v>
      </c>
      <c r="G3194">
        <v>2032</v>
      </c>
      <c r="H3194">
        <v>8</v>
      </c>
      <c r="I3194">
        <v>1</v>
      </c>
    </row>
    <row r="3195" spans="1:9" x14ac:dyDescent="0.35">
      <c r="A3195" t="str">
        <f t="shared" si="49"/>
        <v>DAco2_emissionS1203281</v>
      </c>
      <c r="B3195" t="s">
        <v>95</v>
      </c>
      <c r="C3195" t="s">
        <v>99</v>
      </c>
      <c r="D3195" t="s">
        <v>204</v>
      </c>
      <c r="E3195" t="s">
        <v>110</v>
      </c>
      <c r="F3195">
        <v>13380.07067249077</v>
      </c>
      <c r="G3195">
        <v>2032</v>
      </c>
      <c r="H3195">
        <v>8</v>
      </c>
      <c r="I3195">
        <v>1</v>
      </c>
    </row>
    <row r="3196" spans="1:9" x14ac:dyDescent="0.35">
      <c r="A3196" t="str">
        <f t="shared" si="49"/>
        <v>fcrincomeS1203281</v>
      </c>
      <c r="C3196" t="s">
        <v>102</v>
      </c>
      <c r="D3196" t="s">
        <v>101</v>
      </c>
      <c r="E3196" t="s">
        <v>110</v>
      </c>
      <c r="F3196">
        <v>0.28236968851967981</v>
      </c>
      <c r="G3196">
        <v>2032</v>
      </c>
      <c r="H3196">
        <v>8</v>
      </c>
      <c r="I3196">
        <v>1</v>
      </c>
    </row>
    <row r="3197" spans="1:9" x14ac:dyDescent="0.35">
      <c r="A3197" t="str">
        <f t="shared" si="49"/>
        <v>fcractivation_hoursS1203281</v>
      </c>
      <c r="C3197" t="s">
        <v>102</v>
      </c>
      <c r="D3197" t="s">
        <v>115</v>
      </c>
      <c r="E3197" t="s">
        <v>110</v>
      </c>
      <c r="F3197">
        <v>20</v>
      </c>
      <c r="G3197">
        <v>2032</v>
      </c>
      <c r="H3197">
        <v>8</v>
      </c>
      <c r="I3197">
        <v>1</v>
      </c>
    </row>
    <row r="3198" spans="1:9" x14ac:dyDescent="0.35">
      <c r="A3198" t="str">
        <f t="shared" si="49"/>
        <v>afrrincomeS1203281</v>
      </c>
      <c r="C3198" t="s">
        <v>103</v>
      </c>
      <c r="D3198" t="s">
        <v>101</v>
      </c>
      <c r="E3198" t="s">
        <v>110</v>
      </c>
      <c r="F3198">
        <v>183928.69646972191</v>
      </c>
      <c r="G3198">
        <v>2032</v>
      </c>
      <c r="H3198">
        <v>8</v>
      </c>
      <c r="I3198">
        <v>1</v>
      </c>
    </row>
    <row r="3199" spans="1:9" x14ac:dyDescent="0.35">
      <c r="A3199" t="str">
        <f t="shared" si="49"/>
        <v>afrractivation_hoursS1203281</v>
      </c>
      <c r="C3199" t="s">
        <v>103</v>
      </c>
      <c r="D3199" t="s">
        <v>115</v>
      </c>
      <c r="E3199" t="s">
        <v>110</v>
      </c>
      <c r="F3199">
        <v>8627</v>
      </c>
      <c r="G3199">
        <v>2032</v>
      </c>
      <c r="H3199">
        <v>8</v>
      </c>
      <c r="I3199">
        <v>1</v>
      </c>
    </row>
    <row r="3200" spans="1:9" x14ac:dyDescent="0.35">
      <c r="A3200" t="str">
        <f t="shared" si="49"/>
        <v>networkturpe_power_costS1203381</v>
      </c>
      <c r="C3200" t="s">
        <v>96</v>
      </c>
      <c r="D3200" t="s">
        <v>97</v>
      </c>
      <c r="E3200" t="s">
        <v>110</v>
      </c>
      <c r="F3200">
        <v>8759.122790747937</v>
      </c>
      <c r="G3200">
        <v>2033</v>
      </c>
      <c r="H3200">
        <v>8</v>
      </c>
      <c r="I3200">
        <v>1</v>
      </c>
    </row>
    <row r="3201" spans="1:9" x14ac:dyDescent="0.35">
      <c r="A3201" t="str">
        <f t="shared" si="49"/>
        <v>networkturpe_energy_costS1203381</v>
      </c>
      <c r="C3201" t="s">
        <v>96</v>
      </c>
      <c r="D3201" t="s">
        <v>98</v>
      </c>
      <c r="E3201" t="s">
        <v>110</v>
      </c>
      <c r="F3201">
        <v>1754.4240283113679</v>
      </c>
      <c r="G3201">
        <v>2033</v>
      </c>
      <c r="H3201">
        <v>8</v>
      </c>
      <c r="I3201">
        <v>1</v>
      </c>
    </row>
    <row r="3202" spans="1:9" x14ac:dyDescent="0.35">
      <c r="A3202" t="str">
        <f t="shared" si="49"/>
        <v>DAcostS1203381</v>
      </c>
      <c r="C3202" t="s">
        <v>99</v>
      </c>
      <c r="D3202" t="s">
        <v>100</v>
      </c>
      <c r="E3202" t="s">
        <v>110</v>
      </c>
      <c r="F3202">
        <v>5963.1555084844231</v>
      </c>
      <c r="G3202">
        <v>2033</v>
      </c>
      <c r="H3202">
        <v>8</v>
      </c>
      <c r="I3202">
        <v>1</v>
      </c>
    </row>
    <row r="3203" spans="1:9" x14ac:dyDescent="0.35">
      <c r="A3203" t="str">
        <f t="shared" ref="A3203:A3266" si="50">C3203&amp;D3203&amp;E3203&amp;G3203&amp;H3203&amp;I3203</f>
        <v>DAincomeS1203381</v>
      </c>
      <c r="C3203" t="s">
        <v>99</v>
      </c>
      <c r="D3203" t="s">
        <v>101</v>
      </c>
      <c r="E3203" t="s">
        <v>110</v>
      </c>
      <c r="F3203">
        <v>10846.265667858521</v>
      </c>
      <c r="G3203">
        <v>2033</v>
      </c>
      <c r="H3203">
        <v>8</v>
      </c>
      <c r="I3203">
        <v>1</v>
      </c>
    </row>
    <row r="3204" spans="1:9" x14ac:dyDescent="0.35">
      <c r="A3204" t="str">
        <f t="shared" si="50"/>
        <v>DAenergy_boughtS1203381</v>
      </c>
      <c r="C3204" t="s">
        <v>99</v>
      </c>
      <c r="D3204" t="s">
        <v>111</v>
      </c>
      <c r="E3204" t="s">
        <v>110</v>
      </c>
      <c r="F3204">
        <v>138.6831779285645</v>
      </c>
      <c r="G3204">
        <v>2033</v>
      </c>
      <c r="H3204">
        <v>8</v>
      </c>
      <c r="I3204">
        <v>1</v>
      </c>
    </row>
    <row r="3205" spans="1:9" x14ac:dyDescent="0.35">
      <c r="A3205" t="str">
        <f t="shared" si="50"/>
        <v>DAenergy_soldS1203381</v>
      </c>
      <c r="C3205" t="s">
        <v>99</v>
      </c>
      <c r="D3205" t="s">
        <v>112</v>
      </c>
      <c r="E3205" t="s">
        <v>110</v>
      </c>
      <c r="F3205">
        <v>99.541822227773736</v>
      </c>
      <c r="G3205">
        <v>2033</v>
      </c>
      <c r="H3205">
        <v>8</v>
      </c>
      <c r="I3205">
        <v>1</v>
      </c>
    </row>
    <row r="3206" spans="1:9" x14ac:dyDescent="0.35">
      <c r="A3206" t="str">
        <f t="shared" si="50"/>
        <v>DAhours_boughtS1203381</v>
      </c>
      <c r="B3206" t="s">
        <v>95</v>
      </c>
      <c r="C3206" t="s">
        <v>99</v>
      </c>
      <c r="D3206" t="s">
        <v>113</v>
      </c>
      <c r="E3206" t="s">
        <v>110</v>
      </c>
      <c r="F3206">
        <v>4127</v>
      </c>
      <c r="G3206">
        <v>2033</v>
      </c>
      <c r="H3206">
        <v>8</v>
      </c>
      <c r="I3206">
        <v>1</v>
      </c>
    </row>
    <row r="3207" spans="1:9" x14ac:dyDescent="0.35">
      <c r="A3207" t="str">
        <f t="shared" si="50"/>
        <v>DAhours_soldS1203381</v>
      </c>
      <c r="B3207" t="s">
        <v>95</v>
      </c>
      <c r="C3207" t="s">
        <v>99</v>
      </c>
      <c r="D3207" t="s">
        <v>114</v>
      </c>
      <c r="E3207" t="s">
        <v>110</v>
      </c>
      <c r="F3207">
        <v>77</v>
      </c>
      <c r="G3207">
        <v>2033</v>
      </c>
      <c r="H3207">
        <v>8</v>
      </c>
      <c r="I3207">
        <v>1</v>
      </c>
    </row>
    <row r="3208" spans="1:9" x14ac:dyDescent="0.35">
      <c r="A3208" t="str">
        <f t="shared" si="50"/>
        <v>DAco2_emissionS1203381</v>
      </c>
      <c r="C3208" t="s">
        <v>99</v>
      </c>
      <c r="D3208" t="s">
        <v>204</v>
      </c>
      <c r="E3208" t="s">
        <v>110</v>
      </c>
      <c r="F3208">
        <v>9707.822454999372</v>
      </c>
      <c r="G3208">
        <v>2033</v>
      </c>
      <c r="H3208">
        <v>8</v>
      </c>
      <c r="I3208">
        <v>1</v>
      </c>
    </row>
    <row r="3209" spans="1:9" x14ac:dyDescent="0.35">
      <c r="A3209" t="str">
        <f t="shared" si="50"/>
        <v>fcrincomeS1203381</v>
      </c>
      <c r="C3209" t="s">
        <v>102</v>
      </c>
      <c r="D3209" t="s">
        <v>101</v>
      </c>
      <c r="E3209" t="s">
        <v>110</v>
      </c>
      <c r="F3209">
        <v>6.9691310203245496E-2</v>
      </c>
      <c r="G3209">
        <v>2033</v>
      </c>
      <c r="H3209">
        <v>8</v>
      </c>
      <c r="I3209">
        <v>1</v>
      </c>
    </row>
    <row r="3210" spans="1:9" x14ac:dyDescent="0.35">
      <c r="A3210" t="str">
        <f t="shared" si="50"/>
        <v>fcractivation_hoursS1203381</v>
      </c>
      <c r="C3210" t="s">
        <v>102</v>
      </c>
      <c r="D3210" t="s">
        <v>115</v>
      </c>
      <c r="E3210" t="s">
        <v>110</v>
      </c>
      <c r="F3210">
        <v>8</v>
      </c>
      <c r="G3210">
        <v>2033</v>
      </c>
      <c r="H3210">
        <v>8</v>
      </c>
      <c r="I3210">
        <v>1</v>
      </c>
    </row>
    <row r="3211" spans="1:9" x14ac:dyDescent="0.35">
      <c r="A3211" t="str">
        <f t="shared" si="50"/>
        <v>afrrincomeS1203381</v>
      </c>
      <c r="C3211" t="s">
        <v>103</v>
      </c>
      <c r="D3211" t="s">
        <v>101</v>
      </c>
      <c r="E3211" t="s">
        <v>110</v>
      </c>
      <c r="F3211">
        <v>185502.90377225849</v>
      </c>
      <c r="G3211">
        <v>2033</v>
      </c>
      <c r="H3211">
        <v>8</v>
      </c>
      <c r="I3211">
        <v>1</v>
      </c>
    </row>
    <row r="3212" spans="1:9" x14ac:dyDescent="0.35">
      <c r="A3212" t="str">
        <f t="shared" si="50"/>
        <v>afrractivation_hoursS1203381</v>
      </c>
      <c r="C3212" t="s">
        <v>103</v>
      </c>
      <c r="D3212" t="s">
        <v>115</v>
      </c>
      <c r="E3212" t="s">
        <v>110</v>
      </c>
      <c r="F3212">
        <v>8649</v>
      </c>
      <c r="G3212">
        <v>2033</v>
      </c>
      <c r="H3212">
        <v>8</v>
      </c>
      <c r="I3212">
        <v>1</v>
      </c>
    </row>
    <row r="3213" spans="1:9" x14ac:dyDescent="0.35">
      <c r="A3213" t="str">
        <f t="shared" si="50"/>
        <v>networkturpe_power_costS1203481</v>
      </c>
      <c r="C3213" t="s">
        <v>96</v>
      </c>
      <c r="D3213" t="s">
        <v>97</v>
      </c>
      <c r="E3213" t="s">
        <v>110</v>
      </c>
      <c r="F3213">
        <v>8536.6412571068377</v>
      </c>
      <c r="G3213">
        <v>2034</v>
      </c>
      <c r="H3213">
        <v>8</v>
      </c>
      <c r="I3213">
        <v>1</v>
      </c>
    </row>
    <row r="3214" spans="1:9" x14ac:dyDescent="0.35">
      <c r="A3214" t="str">
        <f t="shared" si="50"/>
        <v>networkturpe_energy_costS1203481</v>
      </c>
      <c r="C3214" t="s">
        <v>96</v>
      </c>
      <c r="D3214" t="s">
        <v>98</v>
      </c>
      <c r="E3214" t="s">
        <v>110</v>
      </c>
      <c r="F3214">
        <v>1879.5870489161041</v>
      </c>
      <c r="G3214">
        <v>2034</v>
      </c>
      <c r="H3214">
        <v>8</v>
      </c>
      <c r="I3214">
        <v>1</v>
      </c>
    </row>
    <row r="3215" spans="1:9" x14ac:dyDescent="0.35">
      <c r="A3215" t="str">
        <f t="shared" si="50"/>
        <v>DAcostS1203481</v>
      </c>
      <c r="C3215" t="s">
        <v>99</v>
      </c>
      <c r="D3215" t="s">
        <v>100</v>
      </c>
      <c r="E3215" t="s">
        <v>110</v>
      </c>
      <c r="F3215">
        <v>6090.9099002541598</v>
      </c>
      <c r="G3215">
        <v>2034</v>
      </c>
      <c r="H3215">
        <v>8</v>
      </c>
      <c r="I3215">
        <v>1</v>
      </c>
    </row>
    <row r="3216" spans="1:9" x14ac:dyDescent="0.35">
      <c r="A3216" t="str">
        <f t="shared" si="50"/>
        <v>DAincomeS1203481</v>
      </c>
      <c r="C3216" t="s">
        <v>99</v>
      </c>
      <c r="D3216" t="s">
        <v>101</v>
      </c>
      <c r="E3216" t="s">
        <v>110</v>
      </c>
      <c r="F3216">
        <v>10995.41563453613</v>
      </c>
      <c r="G3216">
        <v>2034</v>
      </c>
      <c r="H3216">
        <v>8</v>
      </c>
      <c r="I3216">
        <v>1</v>
      </c>
    </row>
    <row r="3217" spans="1:9" x14ac:dyDescent="0.35">
      <c r="A3217" t="str">
        <f t="shared" si="50"/>
        <v>DAenergy_boughtS1203481</v>
      </c>
      <c r="C3217" t="s">
        <v>99</v>
      </c>
      <c r="D3217" t="s">
        <v>111</v>
      </c>
      <c r="E3217" t="s">
        <v>110</v>
      </c>
      <c r="F3217">
        <v>137.5808742893702</v>
      </c>
      <c r="G3217">
        <v>2034</v>
      </c>
      <c r="H3217">
        <v>8</v>
      </c>
      <c r="I3217">
        <v>1</v>
      </c>
    </row>
    <row r="3218" spans="1:9" x14ac:dyDescent="0.35">
      <c r="A3218" t="str">
        <f t="shared" si="50"/>
        <v>DAenergy_soldS1203481</v>
      </c>
      <c r="B3218" t="s">
        <v>95</v>
      </c>
      <c r="C3218" t="s">
        <v>99</v>
      </c>
      <c r="D3218" t="s">
        <v>112</v>
      </c>
      <c r="E3218" t="s">
        <v>110</v>
      </c>
      <c r="F3218">
        <v>98.947233189590307</v>
      </c>
      <c r="G3218">
        <v>2034</v>
      </c>
      <c r="H3218">
        <v>8</v>
      </c>
      <c r="I3218">
        <v>1</v>
      </c>
    </row>
    <row r="3219" spans="1:9" x14ac:dyDescent="0.35">
      <c r="A3219" t="str">
        <f t="shared" si="50"/>
        <v>DAhours_boughtS1203481</v>
      </c>
      <c r="B3219" t="s">
        <v>95</v>
      </c>
      <c r="C3219" t="s">
        <v>99</v>
      </c>
      <c r="D3219" t="s">
        <v>113</v>
      </c>
      <c r="E3219" t="s">
        <v>110</v>
      </c>
      <c r="F3219">
        <v>4251</v>
      </c>
      <c r="G3219">
        <v>2034</v>
      </c>
      <c r="H3219">
        <v>8</v>
      </c>
      <c r="I3219">
        <v>1</v>
      </c>
    </row>
    <row r="3220" spans="1:9" x14ac:dyDescent="0.35">
      <c r="A3220" t="str">
        <f t="shared" si="50"/>
        <v>DAhours_soldS1203481</v>
      </c>
      <c r="C3220" t="s">
        <v>99</v>
      </c>
      <c r="D3220" t="s">
        <v>114</v>
      </c>
      <c r="E3220" t="s">
        <v>110</v>
      </c>
      <c r="F3220">
        <v>76</v>
      </c>
      <c r="G3220">
        <v>2034</v>
      </c>
      <c r="H3220">
        <v>8</v>
      </c>
      <c r="I3220">
        <v>1</v>
      </c>
    </row>
    <row r="3221" spans="1:9" x14ac:dyDescent="0.35">
      <c r="A3221" t="str">
        <f t="shared" si="50"/>
        <v>DAco2_emissionS1203481</v>
      </c>
      <c r="C3221" t="s">
        <v>99</v>
      </c>
      <c r="D3221" t="s">
        <v>204</v>
      </c>
      <c r="E3221" t="s">
        <v>110</v>
      </c>
      <c r="F3221">
        <v>9630.6612002556831</v>
      </c>
      <c r="G3221">
        <v>2034</v>
      </c>
      <c r="H3221">
        <v>8</v>
      </c>
      <c r="I3221">
        <v>1</v>
      </c>
    </row>
    <row r="3222" spans="1:9" x14ac:dyDescent="0.35">
      <c r="A3222" t="str">
        <f t="shared" si="50"/>
        <v>fcrincomeS1203481</v>
      </c>
      <c r="C3222" t="s">
        <v>102</v>
      </c>
      <c r="D3222" t="s">
        <v>101</v>
      </c>
      <c r="E3222" t="s">
        <v>110</v>
      </c>
      <c r="F3222">
        <v>6.0744608397147577E-2</v>
      </c>
      <c r="G3222">
        <v>2034</v>
      </c>
      <c r="H3222">
        <v>8</v>
      </c>
      <c r="I3222">
        <v>1</v>
      </c>
    </row>
    <row r="3223" spans="1:9" x14ac:dyDescent="0.35">
      <c r="A3223" t="str">
        <f t="shared" si="50"/>
        <v>fcractivation_hoursS1203481</v>
      </c>
      <c r="C3223" t="s">
        <v>102</v>
      </c>
      <c r="D3223" t="s">
        <v>115</v>
      </c>
      <c r="E3223" t="s">
        <v>110</v>
      </c>
      <c r="F3223">
        <v>4</v>
      </c>
      <c r="G3223">
        <v>2034</v>
      </c>
      <c r="H3223">
        <v>8</v>
      </c>
      <c r="I3223">
        <v>1</v>
      </c>
    </row>
    <row r="3224" spans="1:9" x14ac:dyDescent="0.35">
      <c r="A3224" t="str">
        <f t="shared" si="50"/>
        <v>afrrincomeS1203481</v>
      </c>
      <c r="C3224" t="s">
        <v>103</v>
      </c>
      <c r="D3224" t="s">
        <v>101</v>
      </c>
      <c r="E3224" t="s">
        <v>110</v>
      </c>
      <c r="F3224">
        <v>190443.4036772142</v>
      </c>
      <c r="G3224">
        <v>2034</v>
      </c>
      <c r="H3224">
        <v>8</v>
      </c>
      <c r="I3224">
        <v>1</v>
      </c>
    </row>
    <row r="3225" spans="1:9" x14ac:dyDescent="0.35">
      <c r="A3225" t="str">
        <f t="shared" si="50"/>
        <v>afrractivation_hoursS1203481</v>
      </c>
      <c r="C3225" t="s">
        <v>103</v>
      </c>
      <c r="D3225" t="s">
        <v>115</v>
      </c>
      <c r="E3225" t="s">
        <v>110</v>
      </c>
      <c r="F3225">
        <v>8657</v>
      </c>
      <c r="G3225">
        <v>2034</v>
      </c>
      <c r="H3225">
        <v>8</v>
      </c>
      <c r="I3225">
        <v>1</v>
      </c>
    </row>
    <row r="3226" spans="1:9" x14ac:dyDescent="0.35">
      <c r="A3226" t="str">
        <f t="shared" si="50"/>
        <v>networkturpe_power_costS1203581</v>
      </c>
      <c r="C3226" t="s">
        <v>96</v>
      </c>
      <c r="D3226" t="s">
        <v>97</v>
      </c>
      <c r="E3226" t="s">
        <v>110</v>
      </c>
      <c r="F3226">
        <v>8323.1272736821193</v>
      </c>
      <c r="G3226">
        <v>2035</v>
      </c>
      <c r="H3226">
        <v>8</v>
      </c>
      <c r="I3226">
        <v>1</v>
      </c>
    </row>
    <row r="3227" spans="1:9" x14ac:dyDescent="0.35">
      <c r="A3227" t="str">
        <f t="shared" si="50"/>
        <v>networkturpe_energy_costS1203581</v>
      </c>
      <c r="C3227" t="s">
        <v>96</v>
      </c>
      <c r="D3227" t="s">
        <v>98</v>
      </c>
      <c r="E3227" t="s">
        <v>110</v>
      </c>
      <c r="F3227">
        <v>1634.777901406193</v>
      </c>
      <c r="G3227">
        <v>2035</v>
      </c>
      <c r="H3227">
        <v>8</v>
      </c>
      <c r="I3227">
        <v>1</v>
      </c>
    </row>
    <row r="3228" spans="1:9" x14ac:dyDescent="0.35">
      <c r="A3228" t="str">
        <f t="shared" si="50"/>
        <v>DAcostS1203581</v>
      </c>
      <c r="C3228" t="s">
        <v>99</v>
      </c>
      <c r="D3228" t="s">
        <v>100</v>
      </c>
      <c r="E3228" t="s">
        <v>110</v>
      </c>
      <c r="F3228">
        <v>4944.3080194348386</v>
      </c>
      <c r="G3228">
        <v>2035</v>
      </c>
      <c r="H3228">
        <v>8</v>
      </c>
      <c r="I3228">
        <v>1</v>
      </c>
    </row>
    <row r="3229" spans="1:9" x14ac:dyDescent="0.35">
      <c r="A3229" t="str">
        <f t="shared" si="50"/>
        <v>DAincomeS1203581</v>
      </c>
      <c r="C3229" t="s">
        <v>99</v>
      </c>
      <c r="D3229" t="s">
        <v>101</v>
      </c>
      <c r="E3229" t="s">
        <v>110</v>
      </c>
      <c r="F3229">
        <v>9343.4060092193395</v>
      </c>
      <c r="G3229">
        <v>2035</v>
      </c>
      <c r="H3229">
        <v>8</v>
      </c>
      <c r="I3229">
        <v>1</v>
      </c>
    </row>
    <row r="3230" spans="1:9" x14ac:dyDescent="0.35">
      <c r="A3230" t="str">
        <f t="shared" si="50"/>
        <v>DAenergy_boughtS1203581</v>
      </c>
      <c r="B3230" t="s">
        <v>95</v>
      </c>
      <c r="C3230" t="s">
        <v>99</v>
      </c>
      <c r="D3230" t="s">
        <v>111</v>
      </c>
      <c r="E3230" t="s">
        <v>110</v>
      </c>
      <c r="F3230">
        <v>117.8673157826352</v>
      </c>
      <c r="G3230">
        <v>2035</v>
      </c>
      <c r="H3230">
        <v>8</v>
      </c>
      <c r="I3230">
        <v>1</v>
      </c>
    </row>
    <row r="3231" spans="1:9" x14ac:dyDescent="0.35">
      <c r="A3231" t="str">
        <f t="shared" si="50"/>
        <v>DAenergy_soldS1203581</v>
      </c>
      <c r="B3231" t="s">
        <v>95</v>
      </c>
      <c r="C3231" t="s">
        <v>99</v>
      </c>
      <c r="D3231" t="s">
        <v>112</v>
      </c>
      <c r="E3231" t="s">
        <v>110</v>
      </c>
      <c r="F3231">
        <v>83.269161239347554</v>
      </c>
      <c r="G3231">
        <v>2035</v>
      </c>
      <c r="H3231">
        <v>8</v>
      </c>
      <c r="I3231">
        <v>1</v>
      </c>
    </row>
    <row r="3232" spans="1:9" x14ac:dyDescent="0.35">
      <c r="A3232" t="str">
        <f t="shared" si="50"/>
        <v>DAhours_boughtS1203581</v>
      </c>
      <c r="C3232" t="s">
        <v>99</v>
      </c>
      <c r="D3232" t="s">
        <v>113</v>
      </c>
      <c r="E3232" t="s">
        <v>110</v>
      </c>
      <c r="F3232">
        <v>4350</v>
      </c>
      <c r="G3232">
        <v>2035</v>
      </c>
      <c r="H3232">
        <v>8</v>
      </c>
      <c r="I3232">
        <v>1</v>
      </c>
    </row>
    <row r="3233" spans="1:9" x14ac:dyDescent="0.35">
      <c r="A3233" t="str">
        <f t="shared" si="50"/>
        <v>DAhours_soldS1203581</v>
      </c>
      <c r="C3233" t="s">
        <v>99</v>
      </c>
      <c r="D3233" t="s">
        <v>114</v>
      </c>
      <c r="E3233" t="s">
        <v>110</v>
      </c>
      <c r="F3233">
        <v>75</v>
      </c>
      <c r="G3233">
        <v>2035</v>
      </c>
      <c r="H3233">
        <v>8</v>
      </c>
      <c r="I3233">
        <v>1</v>
      </c>
    </row>
    <row r="3234" spans="1:9" x14ac:dyDescent="0.35">
      <c r="A3234" t="str">
        <f t="shared" si="50"/>
        <v>DAco2_emissionS1203581</v>
      </c>
      <c r="C3234" t="s">
        <v>99</v>
      </c>
      <c r="D3234" t="s">
        <v>204</v>
      </c>
      <c r="E3234" t="s">
        <v>110</v>
      </c>
      <c r="F3234">
        <v>8250.7121047840465</v>
      </c>
      <c r="G3234">
        <v>2035</v>
      </c>
      <c r="H3234">
        <v>8</v>
      </c>
      <c r="I3234">
        <v>1</v>
      </c>
    </row>
    <row r="3235" spans="1:9" x14ac:dyDescent="0.35">
      <c r="A3235" t="str">
        <f t="shared" si="50"/>
        <v>fcrincomeS1203581</v>
      </c>
      <c r="C3235" t="s">
        <v>102</v>
      </c>
      <c r="D3235" t="s">
        <v>101</v>
      </c>
      <c r="E3235" t="s">
        <v>110</v>
      </c>
      <c r="F3235">
        <v>0</v>
      </c>
      <c r="G3235">
        <v>2035</v>
      </c>
      <c r="H3235">
        <v>8</v>
      </c>
      <c r="I3235">
        <v>1</v>
      </c>
    </row>
    <row r="3236" spans="1:9" x14ac:dyDescent="0.35">
      <c r="A3236" t="str">
        <f t="shared" si="50"/>
        <v>fcractivation_hoursS1203581</v>
      </c>
      <c r="C3236" t="s">
        <v>102</v>
      </c>
      <c r="D3236" t="s">
        <v>115</v>
      </c>
      <c r="E3236" t="s">
        <v>110</v>
      </c>
      <c r="F3236">
        <v>0</v>
      </c>
      <c r="G3236">
        <v>2035</v>
      </c>
      <c r="H3236">
        <v>8</v>
      </c>
      <c r="I3236">
        <v>1</v>
      </c>
    </row>
    <row r="3237" spans="1:9" x14ac:dyDescent="0.35">
      <c r="A3237" t="str">
        <f t="shared" si="50"/>
        <v>afrrincomeS1203581</v>
      </c>
      <c r="C3237" t="s">
        <v>103</v>
      </c>
      <c r="D3237" t="s">
        <v>101</v>
      </c>
      <c r="E3237" t="s">
        <v>110</v>
      </c>
      <c r="F3237">
        <v>184666.2546290218</v>
      </c>
      <c r="G3237">
        <v>2035</v>
      </c>
      <c r="H3237">
        <v>8</v>
      </c>
      <c r="I3237">
        <v>1</v>
      </c>
    </row>
    <row r="3238" spans="1:9" x14ac:dyDescent="0.35">
      <c r="A3238" t="str">
        <f t="shared" si="50"/>
        <v>afrractivation_hoursS1203581</v>
      </c>
      <c r="C3238" t="s">
        <v>103</v>
      </c>
      <c r="D3238" t="s">
        <v>115</v>
      </c>
      <c r="E3238" t="s">
        <v>110</v>
      </c>
      <c r="F3238">
        <v>8669</v>
      </c>
      <c r="G3238">
        <v>2035</v>
      </c>
      <c r="H3238">
        <v>8</v>
      </c>
      <c r="I3238">
        <v>1</v>
      </c>
    </row>
    <row r="3239" spans="1:9" x14ac:dyDescent="0.35">
      <c r="A3239" t="str">
        <f t="shared" si="50"/>
        <v>networkturpe_power_costS1203681</v>
      </c>
      <c r="C3239" t="s">
        <v>96</v>
      </c>
      <c r="D3239" t="s">
        <v>97</v>
      </c>
      <c r="E3239" t="s">
        <v>110</v>
      </c>
      <c r="F3239">
        <v>8129.3723443118943</v>
      </c>
      <c r="G3239">
        <v>2036</v>
      </c>
      <c r="H3239">
        <v>8</v>
      </c>
      <c r="I3239">
        <v>1</v>
      </c>
    </row>
    <row r="3240" spans="1:9" x14ac:dyDescent="0.35">
      <c r="A3240" t="str">
        <f t="shared" si="50"/>
        <v>networkturpe_energy_costS1203681</v>
      </c>
      <c r="C3240" t="s">
        <v>96</v>
      </c>
      <c r="D3240" t="s">
        <v>98</v>
      </c>
      <c r="E3240" t="s">
        <v>110</v>
      </c>
      <c r="F3240">
        <v>2316.8389680899659</v>
      </c>
      <c r="G3240">
        <v>2036</v>
      </c>
      <c r="H3240">
        <v>8</v>
      </c>
      <c r="I3240">
        <v>1</v>
      </c>
    </row>
    <row r="3241" spans="1:9" x14ac:dyDescent="0.35">
      <c r="A3241" t="str">
        <f t="shared" si="50"/>
        <v>DAcostS1203681</v>
      </c>
      <c r="C3241" t="s">
        <v>99</v>
      </c>
      <c r="D3241" t="s">
        <v>100</v>
      </c>
      <c r="E3241" t="s">
        <v>110</v>
      </c>
      <c r="F3241">
        <v>6655.2231670329174</v>
      </c>
      <c r="G3241">
        <v>2036</v>
      </c>
      <c r="H3241">
        <v>8</v>
      </c>
      <c r="I3241">
        <v>1</v>
      </c>
    </row>
    <row r="3242" spans="1:9" x14ac:dyDescent="0.35">
      <c r="A3242" t="str">
        <f t="shared" si="50"/>
        <v>DAincomeS1203681</v>
      </c>
      <c r="B3242" t="s">
        <v>95</v>
      </c>
      <c r="C3242" t="s">
        <v>99</v>
      </c>
      <c r="D3242" t="s">
        <v>101</v>
      </c>
      <c r="E3242" t="s">
        <v>110</v>
      </c>
      <c r="F3242">
        <v>12753.566345454159</v>
      </c>
      <c r="G3242">
        <v>2036</v>
      </c>
      <c r="H3242">
        <v>8</v>
      </c>
      <c r="I3242">
        <v>1</v>
      </c>
    </row>
    <row r="3243" spans="1:9" x14ac:dyDescent="0.35">
      <c r="A3243" t="str">
        <f t="shared" si="50"/>
        <v>DAenergy_boughtS1203681</v>
      </c>
      <c r="B3243" t="s">
        <v>95</v>
      </c>
      <c r="C3243" t="s">
        <v>99</v>
      </c>
      <c r="D3243" t="s">
        <v>111</v>
      </c>
      <c r="E3243" t="s">
        <v>110</v>
      </c>
      <c r="F3243">
        <v>155.836094747148</v>
      </c>
      <c r="G3243">
        <v>2036</v>
      </c>
      <c r="H3243">
        <v>8</v>
      </c>
      <c r="I3243">
        <v>1</v>
      </c>
    </row>
    <row r="3244" spans="1:9" x14ac:dyDescent="0.35">
      <c r="A3244" t="str">
        <f t="shared" si="50"/>
        <v>DAenergy_soldS1203681</v>
      </c>
      <c r="C3244" t="s">
        <v>99</v>
      </c>
      <c r="D3244" t="s">
        <v>112</v>
      </c>
      <c r="E3244" t="s">
        <v>110</v>
      </c>
      <c r="F3244">
        <v>114.2890239817586</v>
      </c>
      <c r="G3244">
        <v>2036</v>
      </c>
      <c r="H3244">
        <v>8</v>
      </c>
      <c r="I3244">
        <v>1</v>
      </c>
    </row>
    <row r="3245" spans="1:9" x14ac:dyDescent="0.35">
      <c r="A3245" t="str">
        <f t="shared" si="50"/>
        <v>DAhours_boughtS1203681</v>
      </c>
      <c r="C3245" t="s">
        <v>99</v>
      </c>
      <c r="D3245" t="s">
        <v>113</v>
      </c>
      <c r="E3245" t="s">
        <v>110</v>
      </c>
      <c r="F3245">
        <v>3944</v>
      </c>
      <c r="G3245">
        <v>2036</v>
      </c>
      <c r="H3245">
        <v>8</v>
      </c>
      <c r="I3245">
        <v>1</v>
      </c>
    </row>
    <row r="3246" spans="1:9" x14ac:dyDescent="0.35">
      <c r="A3246" t="str">
        <f t="shared" si="50"/>
        <v>DAhours_soldS1203681</v>
      </c>
      <c r="C3246" t="s">
        <v>99</v>
      </c>
      <c r="D3246" t="s">
        <v>114</v>
      </c>
      <c r="E3246" t="s">
        <v>110</v>
      </c>
      <c r="F3246">
        <v>107</v>
      </c>
      <c r="G3246">
        <v>2036</v>
      </c>
      <c r="H3246">
        <v>8</v>
      </c>
      <c r="I3246">
        <v>1</v>
      </c>
    </row>
    <row r="3247" spans="1:9" x14ac:dyDescent="0.35">
      <c r="A3247" t="str">
        <f t="shared" si="50"/>
        <v>DAco2_emissionS1203681</v>
      </c>
      <c r="C3247" t="s">
        <v>99</v>
      </c>
      <c r="D3247" t="s">
        <v>204</v>
      </c>
      <c r="E3247" t="s">
        <v>110</v>
      </c>
      <c r="F3247">
        <v>10908.52663230048</v>
      </c>
      <c r="G3247">
        <v>2036</v>
      </c>
      <c r="H3247">
        <v>8</v>
      </c>
      <c r="I3247">
        <v>1</v>
      </c>
    </row>
    <row r="3248" spans="1:9" x14ac:dyDescent="0.35">
      <c r="A3248" t="str">
        <f t="shared" si="50"/>
        <v>fcrincomeS1203681</v>
      </c>
      <c r="C3248" t="s">
        <v>102</v>
      </c>
      <c r="D3248" t="s">
        <v>101</v>
      </c>
      <c r="E3248" t="s">
        <v>110</v>
      </c>
      <c r="F3248">
        <v>0</v>
      </c>
      <c r="G3248">
        <v>2036</v>
      </c>
      <c r="H3248">
        <v>8</v>
      </c>
      <c r="I3248">
        <v>1</v>
      </c>
    </row>
    <row r="3249" spans="1:9" x14ac:dyDescent="0.35">
      <c r="A3249" t="str">
        <f t="shared" si="50"/>
        <v>fcractivation_hoursS1203681</v>
      </c>
      <c r="C3249" t="s">
        <v>102</v>
      </c>
      <c r="D3249" t="s">
        <v>115</v>
      </c>
      <c r="E3249" t="s">
        <v>110</v>
      </c>
      <c r="F3249">
        <v>0</v>
      </c>
      <c r="G3249">
        <v>2036</v>
      </c>
      <c r="H3249">
        <v>8</v>
      </c>
      <c r="I3249">
        <v>1</v>
      </c>
    </row>
    <row r="3250" spans="1:9" x14ac:dyDescent="0.35">
      <c r="A3250" t="str">
        <f t="shared" si="50"/>
        <v>afrrincomeS1203681</v>
      </c>
      <c r="C3250" t="s">
        <v>103</v>
      </c>
      <c r="D3250" t="s">
        <v>101</v>
      </c>
      <c r="E3250" t="s">
        <v>110</v>
      </c>
      <c r="F3250">
        <v>171466.8633029116</v>
      </c>
      <c r="G3250">
        <v>2036</v>
      </c>
      <c r="H3250">
        <v>8</v>
      </c>
      <c r="I3250">
        <v>1</v>
      </c>
    </row>
    <row r="3251" spans="1:9" x14ac:dyDescent="0.35">
      <c r="A3251" t="str">
        <f t="shared" si="50"/>
        <v>afrractivation_hoursS1203681</v>
      </c>
      <c r="C3251" t="s">
        <v>103</v>
      </c>
      <c r="D3251" t="s">
        <v>115</v>
      </c>
      <c r="E3251" t="s">
        <v>110</v>
      </c>
      <c r="F3251">
        <v>8638</v>
      </c>
      <c r="G3251">
        <v>2036</v>
      </c>
      <c r="H3251">
        <v>8</v>
      </c>
      <c r="I3251">
        <v>1</v>
      </c>
    </row>
    <row r="3252" spans="1:9" x14ac:dyDescent="0.35">
      <c r="A3252" t="str">
        <f t="shared" si="50"/>
        <v>networkturpe_power_costS1203781</v>
      </c>
      <c r="C3252" t="s">
        <v>96</v>
      </c>
      <c r="D3252" t="s">
        <v>97</v>
      </c>
      <c r="E3252" t="s">
        <v>110</v>
      </c>
      <c r="F3252">
        <v>7911.7510633711181</v>
      </c>
      <c r="G3252">
        <v>2037</v>
      </c>
      <c r="H3252">
        <v>8</v>
      </c>
      <c r="I3252">
        <v>1</v>
      </c>
    </row>
    <row r="3253" spans="1:9" x14ac:dyDescent="0.35">
      <c r="A3253" t="str">
        <f t="shared" si="50"/>
        <v>networkturpe_energy_costS1203781</v>
      </c>
      <c r="C3253" t="s">
        <v>96</v>
      </c>
      <c r="D3253" t="s">
        <v>98</v>
      </c>
      <c r="E3253" t="s">
        <v>110</v>
      </c>
      <c r="F3253">
        <v>1734.8929385099671</v>
      </c>
      <c r="G3253">
        <v>2037</v>
      </c>
      <c r="H3253">
        <v>8</v>
      </c>
      <c r="I3253">
        <v>1</v>
      </c>
    </row>
    <row r="3254" spans="1:9" x14ac:dyDescent="0.35">
      <c r="A3254" t="str">
        <f t="shared" si="50"/>
        <v>DAcostS1203781</v>
      </c>
      <c r="B3254" t="s">
        <v>95</v>
      </c>
      <c r="C3254" t="s">
        <v>99</v>
      </c>
      <c r="D3254" t="s">
        <v>100</v>
      </c>
      <c r="E3254" t="s">
        <v>110</v>
      </c>
      <c r="F3254">
        <v>5329.2483693614377</v>
      </c>
      <c r="G3254">
        <v>2037</v>
      </c>
      <c r="H3254">
        <v>8</v>
      </c>
      <c r="I3254">
        <v>1</v>
      </c>
    </row>
    <row r="3255" spans="1:9" x14ac:dyDescent="0.35">
      <c r="A3255" t="str">
        <f t="shared" si="50"/>
        <v>DAincomeS1203781</v>
      </c>
      <c r="B3255" t="s">
        <v>95</v>
      </c>
      <c r="C3255" t="s">
        <v>99</v>
      </c>
      <c r="D3255" t="s">
        <v>101</v>
      </c>
      <c r="E3255" t="s">
        <v>110</v>
      </c>
      <c r="F3255">
        <v>9795.6534726668233</v>
      </c>
      <c r="G3255">
        <v>2037</v>
      </c>
      <c r="H3255">
        <v>8</v>
      </c>
      <c r="I3255">
        <v>1</v>
      </c>
    </row>
    <row r="3256" spans="1:9" x14ac:dyDescent="0.35">
      <c r="A3256" t="str">
        <f t="shared" si="50"/>
        <v>DAenergy_boughtS1203781</v>
      </c>
      <c r="C3256" t="s">
        <v>99</v>
      </c>
      <c r="D3256" t="s">
        <v>111</v>
      </c>
      <c r="E3256" t="s">
        <v>110</v>
      </c>
      <c r="F3256">
        <v>124.3627866576026</v>
      </c>
      <c r="G3256">
        <v>2037</v>
      </c>
      <c r="H3256">
        <v>8</v>
      </c>
      <c r="I3256">
        <v>1</v>
      </c>
    </row>
    <row r="3257" spans="1:9" x14ac:dyDescent="0.35">
      <c r="A3257" t="str">
        <f t="shared" si="50"/>
        <v>DAenergy_soldS1203781</v>
      </c>
      <c r="C3257" t="s">
        <v>99</v>
      </c>
      <c r="D3257" t="s">
        <v>112</v>
      </c>
      <c r="E3257" t="s">
        <v>110</v>
      </c>
      <c r="F3257">
        <v>89.087072206643882</v>
      </c>
      <c r="G3257">
        <v>2037</v>
      </c>
      <c r="H3257">
        <v>8</v>
      </c>
      <c r="I3257">
        <v>1</v>
      </c>
    </row>
    <row r="3258" spans="1:9" x14ac:dyDescent="0.35">
      <c r="A3258" t="str">
        <f t="shared" si="50"/>
        <v>DAhours_boughtS1203781</v>
      </c>
      <c r="C3258" t="s">
        <v>99</v>
      </c>
      <c r="D3258" t="s">
        <v>113</v>
      </c>
      <c r="E3258" t="s">
        <v>110</v>
      </c>
      <c r="F3258">
        <v>4471</v>
      </c>
      <c r="G3258">
        <v>2037</v>
      </c>
      <c r="H3258">
        <v>8</v>
      </c>
      <c r="I3258">
        <v>1</v>
      </c>
    </row>
    <row r="3259" spans="1:9" x14ac:dyDescent="0.35">
      <c r="A3259" t="str">
        <f t="shared" si="50"/>
        <v>DAhours_soldS1203781</v>
      </c>
      <c r="C3259" t="s">
        <v>99</v>
      </c>
      <c r="D3259" t="s">
        <v>114</v>
      </c>
      <c r="E3259" t="s">
        <v>110</v>
      </c>
      <c r="F3259">
        <v>89</v>
      </c>
      <c r="G3259">
        <v>2037</v>
      </c>
      <c r="H3259">
        <v>8</v>
      </c>
      <c r="I3259">
        <v>1</v>
      </c>
    </row>
    <row r="3260" spans="1:9" x14ac:dyDescent="0.35">
      <c r="A3260" t="str">
        <f t="shared" si="50"/>
        <v>DAco2_emissionS1203781</v>
      </c>
      <c r="C3260" t="s">
        <v>99</v>
      </c>
      <c r="D3260" t="s">
        <v>204</v>
      </c>
      <c r="E3260" t="s">
        <v>110</v>
      </c>
      <c r="F3260">
        <v>8705.3950660320897</v>
      </c>
      <c r="G3260">
        <v>2037</v>
      </c>
      <c r="H3260">
        <v>8</v>
      </c>
      <c r="I3260">
        <v>1</v>
      </c>
    </row>
    <row r="3261" spans="1:9" x14ac:dyDescent="0.35">
      <c r="A3261" t="str">
        <f t="shared" si="50"/>
        <v>fcrincomeS1203781</v>
      </c>
      <c r="C3261" t="s">
        <v>102</v>
      </c>
      <c r="D3261" t="s">
        <v>101</v>
      </c>
      <c r="E3261" t="s">
        <v>110</v>
      </c>
      <c r="F3261">
        <v>6.7657704595487672E-2</v>
      </c>
      <c r="G3261">
        <v>2037</v>
      </c>
      <c r="H3261">
        <v>8</v>
      </c>
      <c r="I3261">
        <v>1</v>
      </c>
    </row>
    <row r="3262" spans="1:9" x14ac:dyDescent="0.35">
      <c r="A3262" t="str">
        <f t="shared" si="50"/>
        <v>fcractivation_hoursS1203781</v>
      </c>
      <c r="C3262" t="s">
        <v>102</v>
      </c>
      <c r="D3262" t="s">
        <v>115</v>
      </c>
      <c r="E3262" t="s">
        <v>110</v>
      </c>
      <c r="F3262">
        <v>4</v>
      </c>
      <c r="G3262">
        <v>2037</v>
      </c>
      <c r="H3262">
        <v>8</v>
      </c>
      <c r="I3262">
        <v>1</v>
      </c>
    </row>
    <row r="3263" spans="1:9" x14ac:dyDescent="0.35">
      <c r="A3263" t="str">
        <f t="shared" si="50"/>
        <v>afrrincomeS1203781</v>
      </c>
      <c r="C3263" t="s">
        <v>103</v>
      </c>
      <c r="D3263" t="s">
        <v>101</v>
      </c>
      <c r="E3263" t="s">
        <v>110</v>
      </c>
      <c r="F3263">
        <v>172764.34282651509</v>
      </c>
      <c r="G3263">
        <v>2037</v>
      </c>
      <c r="H3263">
        <v>8</v>
      </c>
      <c r="I3263">
        <v>1</v>
      </c>
    </row>
    <row r="3264" spans="1:9" x14ac:dyDescent="0.35">
      <c r="A3264" t="str">
        <f t="shared" si="50"/>
        <v>afrractivation_hoursS1203781</v>
      </c>
      <c r="C3264" t="s">
        <v>103</v>
      </c>
      <c r="D3264" t="s">
        <v>115</v>
      </c>
      <c r="E3264" t="s">
        <v>110</v>
      </c>
      <c r="F3264">
        <v>8665</v>
      </c>
      <c r="G3264">
        <v>2037</v>
      </c>
      <c r="H3264">
        <v>8</v>
      </c>
      <c r="I3264">
        <v>1</v>
      </c>
    </row>
    <row r="3265" spans="1:9" x14ac:dyDescent="0.35">
      <c r="A3265" t="str">
        <f t="shared" si="50"/>
        <v>networkturpe_power_costS1203881</v>
      </c>
      <c r="C3265" t="s">
        <v>96</v>
      </c>
      <c r="D3265" t="s">
        <v>97</v>
      </c>
      <c r="E3265" t="s">
        <v>110</v>
      </c>
      <c r="F3265">
        <v>7731.8165028591129</v>
      </c>
      <c r="G3265">
        <v>2038</v>
      </c>
      <c r="H3265">
        <v>8</v>
      </c>
      <c r="I3265">
        <v>1</v>
      </c>
    </row>
    <row r="3266" spans="1:9" x14ac:dyDescent="0.35">
      <c r="A3266" t="str">
        <f t="shared" si="50"/>
        <v>networkturpe_energy_costS1203881</v>
      </c>
      <c r="C3266" t="s">
        <v>96</v>
      </c>
      <c r="D3266" t="s">
        <v>98</v>
      </c>
      <c r="E3266" t="s">
        <v>110</v>
      </c>
      <c r="F3266">
        <v>2946.46786858423</v>
      </c>
      <c r="G3266">
        <v>2038</v>
      </c>
      <c r="H3266">
        <v>8</v>
      </c>
      <c r="I3266">
        <v>1</v>
      </c>
    </row>
    <row r="3267" spans="1:9" x14ac:dyDescent="0.35">
      <c r="A3267" t="str">
        <f t="shared" ref="A3267:A3330" si="51">C3267&amp;D3267&amp;E3267&amp;G3267&amp;H3267&amp;I3267</f>
        <v>DAcostS1203881</v>
      </c>
      <c r="C3267" t="s">
        <v>99</v>
      </c>
      <c r="D3267" t="s">
        <v>100</v>
      </c>
      <c r="E3267" t="s">
        <v>110</v>
      </c>
      <c r="F3267">
        <v>7642.2611556010297</v>
      </c>
      <c r="G3267">
        <v>2038</v>
      </c>
      <c r="H3267">
        <v>8</v>
      </c>
      <c r="I3267">
        <v>1</v>
      </c>
    </row>
    <row r="3268" spans="1:9" x14ac:dyDescent="0.35">
      <c r="A3268" t="str">
        <f t="shared" si="51"/>
        <v>DAincomeS1203881</v>
      </c>
      <c r="C3268" t="s">
        <v>99</v>
      </c>
      <c r="D3268" t="s">
        <v>101</v>
      </c>
      <c r="E3268" t="s">
        <v>110</v>
      </c>
      <c r="F3268">
        <v>15979.11441319774</v>
      </c>
      <c r="G3268">
        <v>2038</v>
      </c>
      <c r="H3268">
        <v>8</v>
      </c>
      <c r="I3268">
        <v>1</v>
      </c>
    </row>
    <row r="3269" spans="1:9" x14ac:dyDescent="0.35">
      <c r="A3269" t="str">
        <f t="shared" si="51"/>
        <v>DAenergy_boughtS1203881</v>
      </c>
      <c r="C3269" t="s">
        <v>99</v>
      </c>
      <c r="D3269" t="s">
        <v>111</v>
      </c>
      <c r="E3269" t="s">
        <v>110</v>
      </c>
      <c r="F3269">
        <v>192.21504995673439</v>
      </c>
      <c r="G3269">
        <v>2038</v>
      </c>
      <c r="H3269">
        <v>8</v>
      </c>
      <c r="I3269">
        <v>1</v>
      </c>
    </row>
    <row r="3270" spans="1:9" x14ac:dyDescent="0.35">
      <c r="A3270" t="str">
        <f t="shared" si="51"/>
        <v>DAenergy_soldS1203881</v>
      </c>
      <c r="C3270" t="s">
        <v>99</v>
      </c>
      <c r="D3270" t="s">
        <v>112</v>
      </c>
      <c r="E3270" t="s">
        <v>110</v>
      </c>
      <c r="F3270">
        <v>144.30077576555379</v>
      </c>
      <c r="G3270">
        <v>2038</v>
      </c>
      <c r="H3270">
        <v>8</v>
      </c>
      <c r="I3270">
        <v>1</v>
      </c>
    </row>
    <row r="3271" spans="1:9" x14ac:dyDescent="0.35">
      <c r="A3271" t="str">
        <f t="shared" si="51"/>
        <v>DAhours_boughtS1203881</v>
      </c>
      <c r="C3271" t="s">
        <v>99</v>
      </c>
      <c r="D3271" t="s">
        <v>113</v>
      </c>
      <c r="E3271" t="s">
        <v>110</v>
      </c>
      <c r="F3271">
        <v>4283</v>
      </c>
      <c r="G3271">
        <v>2038</v>
      </c>
      <c r="H3271">
        <v>8</v>
      </c>
      <c r="I3271">
        <v>1</v>
      </c>
    </row>
    <row r="3272" spans="1:9" x14ac:dyDescent="0.35">
      <c r="A3272" t="str">
        <f t="shared" si="51"/>
        <v>DAhours_soldS1203881</v>
      </c>
      <c r="C3272" t="s">
        <v>99</v>
      </c>
      <c r="D3272" t="s">
        <v>114</v>
      </c>
      <c r="E3272" t="s">
        <v>110</v>
      </c>
      <c r="F3272">
        <v>125</v>
      </c>
      <c r="G3272">
        <v>2038</v>
      </c>
      <c r="H3272">
        <v>8</v>
      </c>
      <c r="I3272">
        <v>1</v>
      </c>
    </row>
    <row r="3273" spans="1:9" x14ac:dyDescent="0.35">
      <c r="A3273" t="str">
        <f t="shared" si="51"/>
        <v>DAco2_emissionS1203881</v>
      </c>
      <c r="C3273" t="s">
        <v>99</v>
      </c>
      <c r="D3273" t="s">
        <v>204</v>
      </c>
      <c r="E3273" t="s">
        <v>110</v>
      </c>
      <c r="F3273">
        <v>13455.05349697071</v>
      </c>
      <c r="G3273">
        <v>2038</v>
      </c>
      <c r="H3273">
        <v>8</v>
      </c>
      <c r="I3273">
        <v>1</v>
      </c>
    </row>
    <row r="3274" spans="1:9" x14ac:dyDescent="0.35">
      <c r="A3274" t="str">
        <f t="shared" si="51"/>
        <v>fcrincomeS1203881</v>
      </c>
      <c r="C3274" t="s">
        <v>102</v>
      </c>
      <c r="D3274" t="s">
        <v>101</v>
      </c>
      <c r="E3274" t="s">
        <v>110</v>
      </c>
      <c r="F3274">
        <v>1.666735511967055E-6</v>
      </c>
      <c r="G3274">
        <v>2038</v>
      </c>
      <c r="H3274">
        <v>8</v>
      </c>
      <c r="I3274">
        <v>1</v>
      </c>
    </row>
    <row r="3275" spans="1:9" x14ac:dyDescent="0.35">
      <c r="A3275" t="str">
        <f t="shared" si="51"/>
        <v>fcractivation_hoursS1203881</v>
      </c>
      <c r="C3275" t="s">
        <v>102</v>
      </c>
      <c r="D3275" t="s">
        <v>115</v>
      </c>
      <c r="E3275" t="s">
        <v>110</v>
      </c>
      <c r="F3275">
        <v>0</v>
      </c>
      <c r="G3275">
        <v>2038</v>
      </c>
      <c r="H3275">
        <v>8</v>
      </c>
      <c r="I3275">
        <v>1</v>
      </c>
    </row>
    <row r="3276" spans="1:9" x14ac:dyDescent="0.35">
      <c r="A3276" t="str">
        <f t="shared" si="51"/>
        <v>afrrincomeS1203881</v>
      </c>
      <c r="C3276" t="s">
        <v>103</v>
      </c>
      <c r="D3276" t="s">
        <v>101</v>
      </c>
      <c r="E3276" t="s">
        <v>110</v>
      </c>
      <c r="F3276">
        <v>168217.1984957153</v>
      </c>
      <c r="G3276">
        <v>2038</v>
      </c>
      <c r="H3276">
        <v>8</v>
      </c>
      <c r="I3276">
        <v>1</v>
      </c>
    </row>
    <row r="3277" spans="1:9" x14ac:dyDescent="0.35">
      <c r="A3277" t="str">
        <f t="shared" si="51"/>
        <v>afrractivation_hoursS1203881</v>
      </c>
      <c r="C3277" t="s">
        <v>103</v>
      </c>
      <c r="D3277" t="s">
        <v>115</v>
      </c>
      <c r="E3277" t="s">
        <v>110</v>
      </c>
      <c r="F3277">
        <v>8604</v>
      </c>
      <c r="G3277">
        <v>2038</v>
      </c>
      <c r="H3277">
        <v>8</v>
      </c>
      <c r="I3277">
        <v>1</v>
      </c>
    </row>
    <row r="3278" spans="1:9" x14ac:dyDescent="0.35">
      <c r="A3278" t="str">
        <f t="shared" si="51"/>
        <v>networkturpe_power_costS1203981</v>
      </c>
      <c r="C3278" t="s">
        <v>96</v>
      </c>
      <c r="D3278" t="s">
        <v>97</v>
      </c>
      <c r="E3278" t="s">
        <v>110</v>
      </c>
      <c r="F3278">
        <v>7526.9631589795572</v>
      </c>
      <c r="G3278">
        <v>2039</v>
      </c>
      <c r="H3278">
        <v>8</v>
      </c>
      <c r="I3278">
        <v>1</v>
      </c>
    </row>
    <row r="3279" spans="1:9" x14ac:dyDescent="0.35">
      <c r="A3279" t="str">
        <f t="shared" si="51"/>
        <v>networkturpe_energy_costS1203981</v>
      </c>
      <c r="C3279" t="s">
        <v>96</v>
      </c>
      <c r="D3279" t="s">
        <v>98</v>
      </c>
      <c r="E3279" t="s">
        <v>110</v>
      </c>
      <c r="F3279">
        <v>2378.497634441414</v>
      </c>
      <c r="G3279">
        <v>2039</v>
      </c>
      <c r="H3279">
        <v>8</v>
      </c>
      <c r="I3279">
        <v>1</v>
      </c>
    </row>
    <row r="3280" spans="1:9" x14ac:dyDescent="0.35">
      <c r="A3280" t="str">
        <f t="shared" si="51"/>
        <v>DAcostS1203981</v>
      </c>
      <c r="C3280" t="s">
        <v>99</v>
      </c>
      <c r="D3280" t="s">
        <v>100</v>
      </c>
      <c r="E3280" t="s">
        <v>110</v>
      </c>
      <c r="F3280">
        <v>6596.0087951311098</v>
      </c>
      <c r="G3280">
        <v>2039</v>
      </c>
      <c r="H3280">
        <v>8</v>
      </c>
      <c r="I3280">
        <v>1</v>
      </c>
    </row>
    <row r="3281" spans="1:9" x14ac:dyDescent="0.35">
      <c r="A3281" t="str">
        <f t="shared" si="51"/>
        <v>DAincomeS1203981</v>
      </c>
      <c r="C3281" t="s">
        <v>99</v>
      </c>
      <c r="D3281" t="s">
        <v>101</v>
      </c>
      <c r="E3281" t="s">
        <v>110</v>
      </c>
      <c r="F3281">
        <v>13282.21462472944</v>
      </c>
      <c r="G3281">
        <v>2039</v>
      </c>
      <c r="H3281">
        <v>8</v>
      </c>
      <c r="I3281">
        <v>1</v>
      </c>
    </row>
    <row r="3282" spans="1:9" x14ac:dyDescent="0.35">
      <c r="A3282" t="str">
        <f t="shared" si="51"/>
        <v>DAenergy_boughtS1203981</v>
      </c>
      <c r="C3282" t="s">
        <v>99</v>
      </c>
      <c r="D3282" t="s">
        <v>111</v>
      </c>
      <c r="E3282" t="s">
        <v>110</v>
      </c>
      <c r="F3282">
        <v>159.99604025387211</v>
      </c>
      <c r="G3282">
        <v>2039</v>
      </c>
      <c r="H3282">
        <v>8</v>
      </c>
      <c r="I3282">
        <v>1</v>
      </c>
    </row>
    <row r="3283" spans="1:9" x14ac:dyDescent="0.35">
      <c r="A3283" t="str">
        <f t="shared" si="51"/>
        <v>DAenergy_soldS1203981</v>
      </c>
      <c r="C3283" t="s">
        <v>99</v>
      </c>
      <c r="D3283" t="s">
        <v>112</v>
      </c>
      <c r="E3283" t="s">
        <v>110</v>
      </c>
      <c r="F3283">
        <v>118.4887072448572</v>
      </c>
      <c r="G3283">
        <v>2039</v>
      </c>
      <c r="H3283">
        <v>8</v>
      </c>
      <c r="I3283">
        <v>1</v>
      </c>
    </row>
    <row r="3284" spans="1:9" x14ac:dyDescent="0.35">
      <c r="A3284" t="str">
        <f t="shared" si="51"/>
        <v>DAhours_boughtS1203981</v>
      </c>
      <c r="C3284" t="s">
        <v>99</v>
      </c>
      <c r="D3284" t="s">
        <v>113</v>
      </c>
      <c r="E3284" t="s">
        <v>110</v>
      </c>
      <c r="F3284">
        <v>4680</v>
      </c>
      <c r="G3284">
        <v>2039</v>
      </c>
      <c r="H3284">
        <v>8</v>
      </c>
      <c r="I3284">
        <v>1</v>
      </c>
    </row>
    <row r="3285" spans="1:9" x14ac:dyDescent="0.35">
      <c r="A3285" t="str">
        <f t="shared" si="51"/>
        <v>DAhours_soldS1203981</v>
      </c>
      <c r="C3285" t="s">
        <v>99</v>
      </c>
      <c r="D3285" t="s">
        <v>114</v>
      </c>
      <c r="E3285" t="s">
        <v>110</v>
      </c>
      <c r="F3285">
        <v>104</v>
      </c>
      <c r="G3285">
        <v>2039</v>
      </c>
      <c r="H3285">
        <v>8</v>
      </c>
      <c r="I3285">
        <v>1</v>
      </c>
    </row>
    <row r="3286" spans="1:9" x14ac:dyDescent="0.35">
      <c r="A3286" t="str">
        <f t="shared" si="51"/>
        <v>DAco2_emissionS1203981</v>
      </c>
      <c r="C3286" t="s">
        <v>99</v>
      </c>
      <c r="D3286" t="s">
        <v>204</v>
      </c>
      <c r="E3286" t="s">
        <v>110</v>
      </c>
      <c r="F3286">
        <v>11199.72281777116</v>
      </c>
      <c r="G3286">
        <v>2039</v>
      </c>
      <c r="H3286">
        <v>8</v>
      </c>
      <c r="I3286">
        <v>1</v>
      </c>
    </row>
    <row r="3287" spans="1:9" x14ac:dyDescent="0.35">
      <c r="A3287" t="str">
        <f t="shared" si="51"/>
        <v>fcrincomeS1203981</v>
      </c>
      <c r="C3287" t="s">
        <v>102</v>
      </c>
      <c r="D3287" t="s">
        <v>101</v>
      </c>
      <c r="E3287" t="s">
        <v>110</v>
      </c>
      <c r="F3287">
        <v>0</v>
      </c>
      <c r="G3287">
        <v>2039</v>
      </c>
      <c r="H3287">
        <v>8</v>
      </c>
      <c r="I3287">
        <v>1</v>
      </c>
    </row>
    <row r="3288" spans="1:9" x14ac:dyDescent="0.35">
      <c r="A3288" t="str">
        <f t="shared" si="51"/>
        <v>fcractivation_hoursS1203981</v>
      </c>
      <c r="C3288" t="s">
        <v>102</v>
      </c>
      <c r="D3288" t="s">
        <v>115</v>
      </c>
      <c r="E3288" t="s">
        <v>110</v>
      </c>
      <c r="F3288">
        <v>0</v>
      </c>
      <c r="G3288">
        <v>2039</v>
      </c>
      <c r="H3288">
        <v>8</v>
      </c>
      <c r="I3288">
        <v>1</v>
      </c>
    </row>
    <row r="3289" spans="1:9" x14ac:dyDescent="0.35">
      <c r="A3289" t="str">
        <f t="shared" si="51"/>
        <v>afrrincomeS1203981</v>
      </c>
      <c r="C3289" t="s">
        <v>103</v>
      </c>
      <c r="D3289" t="s">
        <v>101</v>
      </c>
      <c r="E3289" t="s">
        <v>110</v>
      </c>
      <c r="F3289">
        <v>169343.71230384291</v>
      </c>
      <c r="G3289">
        <v>2039</v>
      </c>
      <c r="H3289">
        <v>8</v>
      </c>
      <c r="I3289">
        <v>1</v>
      </c>
    </row>
    <row r="3290" spans="1:9" x14ac:dyDescent="0.35">
      <c r="A3290" t="str">
        <f t="shared" si="51"/>
        <v>afrractivation_hoursS1203981</v>
      </c>
      <c r="C3290" t="s">
        <v>103</v>
      </c>
      <c r="D3290" t="s">
        <v>115</v>
      </c>
      <c r="E3290" t="s">
        <v>110</v>
      </c>
      <c r="F3290">
        <v>8619</v>
      </c>
      <c r="G3290">
        <v>2039</v>
      </c>
      <c r="H3290">
        <v>8</v>
      </c>
      <c r="I3290">
        <v>1</v>
      </c>
    </row>
    <row r="3291" spans="1:9" x14ac:dyDescent="0.35">
      <c r="A3291" t="str">
        <f t="shared" si="51"/>
        <v>networkturpe_power_costS1204081</v>
      </c>
      <c r="C3291" t="s">
        <v>96</v>
      </c>
      <c r="D3291" t="s">
        <v>97</v>
      </c>
      <c r="E3291" t="s">
        <v>110</v>
      </c>
      <c r="F3291">
        <v>7435.9000858933887</v>
      </c>
      <c r="G3291">
        <v>2040</v>
      </c>
      <c r="H3291">
        <v>8</v>
      </c>
      <c r="I3291">
        <v>1</v>
      </c>
    </row>
    <row r="3292" spans="1:9" x14ac:dyDescent="0.35">
      <c r="A3292" t="str">
        <f t="shared" si="51"/>
        <v>networkturpe_energy_costS1204081</v>
      </c>
      <c r="C3292" t="s">
        <v>96</v>
      </c>
      <c r="D3292" t="s">
        <v>98</v>
      </c>
      <c r="E3292" t="s">
        <v>110</v>
      </c>
      <c r="F3292">
        <v>5743.904334460839</v>
      </c>
      <c r="G3292">
        <v>2040</v>
      </c>
      <c r="H3292">
        <v>8</v>
      </c>
      <c r="I3292">
        <v>1</v>
      </c>
    </row>
    <row r="3293" spans="1:9" x14ac:dyDescent="0.35">
      <c r="A3293" t="str">
        <f t="shared" si="51"/>
        <v>DAcostS1204081</v>
      </c>
      <c r="C3293" t="s">
        <v>99</v>
      </c>
      <c r="D3293" t="s">
        <v>100</v>
      </c>
      <c r="E3293" t="s">
        <v>110</v>
      </c>
      <c r="F3293">
        <v>14369.83493985839</v>
      </c>
      <c r="G3293">
        <v>2040</v>
      </c>
      <c r="H3293">
        <v>8</v>
      </c>
      <c r="I3293">
        <v>1</v>
      </c>
    </row>
    <row r="3294" spans="1:9" x14ac:dyDescent="0.35">
      <c r="A3294" t="str">
        <f t="shared" si="51"/>
        <v>DAincomeS1204081</v>
      </c>
      <c r="C3294" t="s">
        <v>99</v>
      </c>
      <c r="D3294" t="s">
        <v>101</v>
      </c>
      <c r="E3294" t="s">
        <v>110</v>
      </c>
      <c r="F3294">
        <v>31847.172973146411</v>
      </c>
      <c r="G3294">
        <v>2040</v>
      </c>
      <c r="H3294">
        <v>8</v>
      </c>
      <c r="I3294">
        <v>1</v>
      </c>
    </row>
    <row r="3295" spans="1:9" x14ac:dyDescent="0.35">
      <c r="A3295" t="str">
        <f t="shared" si="51"/>
        <v>DAenergy_boughtS1204081</v>
      </c>
      <c r="C3295" t="s">
        <v>99</v>
      </c>
      <c r="D3295" t="s">
        <v>111</v>
      </c>
      <c r="E3295" t="s">
        <v>110</v>
      </c>
      <c r="F3295">
        <v>369.95594007315128</v>
      </c>
      <c r="G3295">
        <v>2040</v>
      </c>
      <c r="H3295">
        <v>8</v>
      </c>
      <c r="I3295">
        <v>1</v>
      </c>
    </row>
    <row r="3296" spans="1:9" x14ac:dyDescent="0.35">
      <c r="A3296" t="str">
        <f t="shared" si="51"/>
        <v>DAenergy_soldS1204081</v>
      </c>
      <c r="C3296" t="s">
        <v>99</v>
      </c>
      <c r="D3296" t="s">
        <v>112</v>
      </c>
      <c r="E3296" t="s">
        <v>110</v>
      </c>
      <c r="F3296">
        <v>288.58825188628862</v>
      </c>
      <c r="G3296">
        <v>2040</v>
      </c>
      <c r="H3296">
        <v>8</v>
      </c>
      <c r="I3296">
        <v>1</v>
      </c>
    </row>
    <row r="3297" spans="1:9" x14ac:dyDescent="0.35">
      <c r="A3297" t="str">
        <f t="shared" si="51"/>
        <v>DAhours_boughtS1204081</v>
      </c>
      <c r="C3297" t="s">
        <v>99</v>
      </c>
      <c r="D3297" t="s">
        <v>113</v>
      </c>
      <c r="E3297" t="s">
        <v>110</v>
      </c>
      <c r="F3297">
        <v>3580</v>
      </c>
      <c r="G3297">
        <v>2040</v>
      </c>
      <c r="H3297">
        <v>8</v>
      </c>
      <c r="I3297">
        <v>1</v>
      </c>
    </row>
    <row r="3298" spans="1:9" x14ac:dyDescent="0.35">
      <c r="A3298" t="str">
        <f t="shared" si="51"/>
        <v>DAhours_soldS1204081</v>
      </c>
      <c r="C3298" t="s">
        <v>99</v>
      </c>
      <c r="D3298" t="s">
        <v>114</v>
      </c>
      <c r="E3298" t="s">
        <v>110</v>
      </c>
      <c r="F3298">
        <v>222</v>
      </c>
      <c r="G3298">
        <v>2040</v>
      </c>
      <c r="H3298">
        <v>8</v>
      </c>
      <c r="I3298">
        <v>1</v>
      </c>
    </row>
    <row r="3299" spans="1:9" x14ac:dyDescent="0.35">
      <c r="A3299" t="str">
        <f t="shared" si="51"/>
        <v>DAco2_emissionS1204081</v>
      </c>
      <c r="C3299" t="s">
        <v>99</v>
      </c>
      <c r="D3299" t="s">
        <v>204</v>
      </c>
      <c r="E3299" t="s">
        <v>110</v>
      </c>
      <c r="F3299">
        <v>25896.91580512005</v>
      </c>
      <c r="G3299">
        <v>2040</v>
      </c>
      <c r="H3299">
        <v>8</v>
      </c>
      <c r="I3299">
        <v>1</v>
      </c>
    </row>
    <row r="3300" spans="1:9" x14ac:dyDescent="0.35">
      <c r="A3300" t="str">
        <f t="shared" si="51"/>
        <v>fcrincomeS1204081</v>
      </c>
      <c r="C3300" t="s">
        <v>102</v>
      </c>
      <c r="D3300" t="s">
        <v>101</v>
      </c>
      <c r="E3300" t="s">
        <v>110</v>
      </c>
      <c r="F3300">
        <v>0.51458274845201069</v>
      </c>
      <c r="G3300">
        <v>2040</v>
      </c>
      <c r="H3300">
        <v>8</v>
      </c>
      <c r="I3300">
        <v>1</v>
      </c>
    </row>
    <row r="3301" spans="1:9" x14ac:dyDescent="0.35">
      <c r="A3301" t="str">
        <f t="shared" si="51"/>
        <v>fcractivation_hoursS1204081</v>
      </c>
      <c r="C3301" t="s">
        <v>102</v>
      </c>
      <c r="D3301" t="s">
        <v>115</v>
      </c>
      <c r="E3301" t="s">
        <v>110</v>
      </c>
      <c r="F3301">
        <v>20</v>
      </c>
      <c r="G3301">
        <v>2040</v>
      </c>
      <c r="H3301">
        <v>8</v>
      </c>
      <c r="I3301">
        <v>1</v>
      </c>
    </row>
    <row r="3302" spans="1:9" x14ac:dyDescent="0.35">
      <c r="A3302" t="str">
        <f t="shared" si="51"/>
        <v>afrrincomeS1204081</v>
      </c>
      <c r="C3302" t="s">
        <v>103</v>
      </c>
      <c r="D3302" t="s">
        <v>101</v>
      </c>
      <c r="E3302" t="s">
        <v>110</v>
      </c>
      <c r="F3302">
        <v>118461.5873975203</v>
      </c>
      <c r="G3302">
        <v>2040</v>
      </c>
      <c r="H3302">
        <v>8</v>
      </c>
      <c r="I3302">
        <v>1</v>
      </c>
    </row>
    <row r="3303" spans="1:9" x14ac:dyDescent="0.35">
      <c r="A3303" t="str">
        <f t="shared" si="51"/>
        <v>afrractivation_hoursS1204081</v>
      </c>
      <c r="C3303" t="s">
        <v>103</v>
      </c>
      <c r="D3303" t="s">
        <v>115</v>
      </c>
      <c r="E3303" t="s">
        <v>110</v>
      </c>
      <c r="F3303">
        <v>8387</v>
      </c>
      <c r="G3303">
        <v>2040</v>
      </c>
      <c r="H3303">
        <v>8</v>
      </c>
      <c r="I3303">
        <v>1</v>
      </c>
    </row>
    <row r="3304" spans="1:9" x14ac:dyDescent="0.35">
      <c r="A3304" t="str">
        <f t="shared" si="51"/>
        <v>networkturpe_power_costS1204181</v>
      </c>
      <c r="C3304" t="s">
        <v>96</v>
      </c>
      <c r="D3304" t="s">
        <v>97</v>
      </c>
      <c r="E3304" t="s">
        <v>110</v>
      </c>
      <c r="F3304">
        <v>7722.224143542132</v>
      </c>
      <c r="G3304">
        <v>2041</v>
      </c>
      <c r="H3304">
        <v>8</v>
      </c>
      <c r="I3304">
        <v>1</v>
      </c>
    </row>
    <row r="3305" spans="1:9" x14ac:dyDescent="0.35">
      <c r="A3305" t="str">
        <f t="shared" si="51"/>
        <v>networkturpe_energy_costS1204181</v>
      </c>
      <c r="C3305" t="s">
        <v>96</v>
      </c>
      <c r="D3305" t="s">
        <v>98</v>
      </c>
      <c r="E3305" t="s">
        <v>110</v>
      </c>
      <c r="F3305">
        <v>8594.0391992063469</v>
      </c>
      <c r="G3305">
        <v>2041</v>
      </c>
      <c r="H3305">
        <v>8</v>
      </c>
      <c r="I3305">
        <v>1</v>
      </c>
    </row>
    <row r="3306" spans="1:9" x14ac:dyDescent="0.35">
      <c r="A3306" t="str">
        <f t="shared" si="51"/>
        <v>DAcostS1204181</v>
      </c>
      <c r="C3306" t="s">
        <v>99</v>
      </c>
      <c r="D3306" t="s">
        <v>100</v>
      </c>
      <c r="E3306" t="s">
        <v>110</v>
      </c>
      <c r="F3306">
        <v>21574.828295351399</v>
      </c>
      <c r="G3306">
        <v>2041</v>
      </c>
      <c r="H3306">
        <v>8</v>
      </c>
      <c r="I3306">
        <v>1</v>
      </c>
    </row>
    <row r="3307" spans="1:9" x14ac:dyDescent="0.35">
      <c r="A3307" t="str">
        <f t="shared" si="51"/>
        <v>DAincomeS1204181</v>
      </c>
      <c r="C3307" t="s">
        <v>99</v>
      </c>
      <c r="D3307" t="s">
        <v>101</v>
      </c>
      <c r="E3307" t="s">
        <v>110</v>
      </c>
      <c r="F3307">
        <v>47300.798773631621</v>
      </c>
      <c r="G3307">
        <v>2041</v>
      </c>
      <c r="H3307">
        <v>8</v>
      </c>
      <c r="I3307">
        <v>1</v>
      </c>
    </row>
    <row r="3308" spans="1:9" x14ac:dyDescent="0.35">
      <c r="A3308" t="str">
        <f t="shared" si="51"/>
        <v>DAenergy_boughtS1204181</v>
      </c>
      <c r="C3308" t="s">
        <v>99</v>
      </c>
      <c r="D3308" t="s">
        <v>111</v>
      </c>
      <c r="E3308" t="s">
        <v>110</v>
      </c>
      <c r="F3308">
        <v>548.8284245767702</v>
      </c>
      <c r="G3308">
        <v>2041</v>
      </c>
      <c r="H3308">
        <v>8</v>
      </c>
      <c r="I3308">
        <v>1</v>
      </c>
    </row>
    <row r="3309" spans="1:9" x14ac:dyDescent="0.35">
      <c r="A3309" t="str">
        <f t="shared" si="51"/>
        <v>DAenergy_soldS1204181</v>
      </c>
      <c r="C3309" t="s">
        <v>99</v>
      </c>
      <c r="D3309" t="s">
        <v>112</v>
      </c>
      <c r="E3309" t="s">
        <v>110</v>
      </c>
      <c r="F3309">
        <v>433.92113648015669</v>
      </c>
      <c r="G3309">
        <v>2041</v>
      </c>
      <c r="H3309">
        <v>8</v>
      </c>
      <c r="I3309">
        <v>1</v>
      </c>
    </row>
    <row r="3310" spans="1:9" x14ac:dyDescent="0.35">
      <c r="A3310" t="str">
        <f t="shared" si="51"/>
        <v>DAhours_boughtS1204181</v>
      </c>
      <c r="C3310" t="s">
        <v>99</v>
      </c>
      <c r="D3310" t="s">
        <v>113</v>
      </c>
      <c r="E3310" t="s">
        <v>110</v>
      </c>
      <c r="F3310">
        <v>3668</v>
      </c>
      <c r="G3310">
        <v>2041</v>
      </c>
      <c r="H3310">
        <v>8</v>
      </c>
      <c r="I3310">
        <v>1</v>
      </c>
    </row>
    <row r="3311" spans="1:9" x14ac:dyDescent="0.35">
      <c r="A3311" t="str">
        <f t="shared" si="51"/>
        <v>DAhours_soldS1204181</v>
      </c>
      <c r="C3311" t="s">
        <v>99</v>
      </c>
      <c r="D3311" t="s">
        <v>114</v>
      </c>
      <c r="E3311" t="s">
        <v>110</v>
      </c>
      <c r="F3311">
        <v>253</v>
      </c>
      <c r="G3311">
        <v>2041</v>
      </c>
      <c r="H3311">
        <v>8</v>
      </c>
      <c r="I3311">
        <v>1</v>
      </c>
    </row>
    <row r="3312" spans="1:9" x14ac:dyDescent="0.35">
      <c r="A3312" t="str">
        <f t="shared" si="51"/>
        <v>DAco2_emissionS1204181</v>
      </c>
      <c r="C3312" t="s">
        <v>99</v>
      </c>
      <c r="D3312" t="s">
        <v>204</v>
      </c>
      <c r="E3312" t="s">
        <v>110</v>
      </c>
      <c r="F3312">
        <v>38417.989720374477</v>
      </c>
      <c r="G3312">
        <v>2041</v>
      </c>
      <c r="H3312">
        <v>8</v>
      </c>
      <c r="I3312">
        <v>1</v>
      </c>
    </row>
    <row r="3313" spans="1:9" x14ac:dyDescent="0.35">
      <c r="A3313" t="str">
        <f t="shared" si="51"/>
        <v>fcrincomeS1204181</v>
      </c>
      <c r="C3313" t="s">
        <v>102</v>
      </c>
      <c r="D3313" t="s">
        <v>101</v>
      </c>
      <c r="E3313" t="s">
        <v>110</v>
      </c>
      <c r="F3313">
        <v>3.9000559772869101</v>
      </c>
      <c r="G3313">
        <v>2041</v>
      </c>
      <c r="H3313">
        <v>8</v>
      </c>
      <c r="I3313">
        <v>1</v>
      </c>
    </row>
    <row r="3314" spans="1:9" x14ac:dyDescent="0.35">
      <c r="A3314" t="str">
        <f t="shared" si="51"/>
        <v>fcractivation_hoursS1204181</v>
      </c>
      <c r="C3314" t="s">
        <v>102</v>
      </c>
      <c r="D3314" t="s">
        <v>115</v>
      </c>
      <c r="E3314" t="s">
        <v>110</v>
      </c>
      <c r="F3314">
        <v>20</v>
      </c>
      <c r="G3314">
        <v>2041</v>
      </c>
      <c r="H3314">
        <v>8</v>
      </c>
      <c r="I3314">
        <v>1</v>
      </c>
    </row>
    <row r="3315" spans="1:9" x14ac:dyDescent="0.35">
      <c r="A3315" t="str">
        <f t="shared" si="51"/>
        <v>afrrincomeS1204181</v>
      </c>
      <c r="C3315" t="s">
        <v>103</v>
      </c>
      <c r="D3315" t="s">
        <v>101</v>
      </c>
      <c r="E3315" t="s">
        <v>110</v>
      </c>
      <c r="F3315">
        <v>105953.1893548934</v>
      </c>
      <c r="G3315">
        <v>2041</v>
      </c>
      <c r="H3315">
        <v>8</v>
      </c>
      <c r="I3315">
        <v>1</v>
      </c>
    </row>
    <row r="3316" spans="1:9" x14ac:dyDescent="0.35">
      <c r="A3316" t="str">
        <f t="shared" si="51"/>
        <v>afrractivation_hoursS1204181</v>
      </c>
      <c r="C3316" t="s">
        <v>103</v>
      </c>
      <c r="D3316" t="s">
        <v>115</v>
      </c>
      <c r="E3316" t="s">
        <v>110</v>
      </c>
      <c r="F3316">
        <v>8187</v>
      </c>
      <c r="G3316">
        <v>2041</v>
      </c>
      <c r="H3316">
        <v>8</v>
      </c>
      <c r="I3316">
        <v>1</v>
      </c>
    </row>
    <row r="3317" spans="1:9" x14ac:dyDescent="0.35">
      <c r="A3317" t="str">
        <f t="shared" si="51"/>
        <v>networkturpe_power_costS1202582</v>
      </c>
      <c r="C3317" t="s">
        <v>96</v>
      </c>
      <c r="D3317" t="s">
        <v>97</v>
      </c>
      <c r="E3317" t="s">
        <v>110</v>
      </c>
      <c r="F3317">
        <v>15706.96739483264</v>
      </c>
      <c r="G3317">
        <v>2025</v>
      </c>
      <c r="H3317">
        <v>8</v>
      </c>
      <c r="I3317">
        <v>2</v>
      </c>
    </row>
    <row r="3318" spans="1:9" x14ac:dyDescent="0.35">
      <c r="A3318" t="str">
        <f t="shared" si="51"/>
        <v>networkturpe_energy_costS1202582</v>
      </c>
      <c r="C3318" t="s">
        <v>96</v>
      </c>
      <c r="D3318" t="s">
        <v>98</v>
      </c>
      <c r="E3318" t="s">
        <v>110</v>
      </c>
      <c r="F3318">
        <v>13004.504799185939</v>
      </c>
      <c r="G3318">
        <v>2025</v>
      </c>
      <c r="H3318">
        <v>8</v>
      </c>
      <c r="I3318">
        <v>2</v>
      </c>
    </row>
    <row r="3319" spans="1:9" x14ac:dyDescent="0.35">
      <c r="A3319" t="str">
        <f t="shared" si="51"/>
        <v>DAcostS1202582</v>
      </c>
      <c r="C3319" t="s">
        <v>99</v>
      </c>
      <c r="D3319" t="s">
        <v>100</v>
      </c>
      <c r="E3319" t="s">
        <v>110</v>
      </c>
      <c r="F3319">
        <v>118769.51627788261</v>
      </c>
      <c r="G3319">
        <v>2025</v>
      </c>
      <c r="H3319">
        <v>8</v>
      </c>
      <c r="I3319">
        <v>2</v>
      </c>
    </row>
    <row r="3320" spans="1:9" x14ac:dyDescent="0.35">
      <c r="A3320" t="str">
        <f t="shared" si="51"/>
        <v>DAincomeS1202582</v>
      </c>
      <c r="C3320" t="s">
        <v>99</v>
      </c>
      <c r="D3320" t="s">
        <v>101</v>
      </c>
      <c r="E3320" t="s">
        <v>110</v>
      </c>
      <c r="F3320">
        <v>149442.55460284019</v>
      </c>
      <c r="G3320">
        <v>2025</v>
      </c>
      <c r="H3320">
        <v>8</v>
      </c>
      <c r="I3320">
        <v>2</v>
      </c>
    </row>
    <row r="3321" spans="1:9" x14ac:dyDescent="0.35">
      <c r="A3321" t="str">
        <f t="shared" si="51"/>
        <v>DAenergy_boughtS1202582</v>
      </c>
      <c r="C3321" t="s">
        <v>99</v>
      </c>
      <c r="D3321" t="s">
        <v>111</v>
      </c>
      <c r="E3321" t="s">
        <v>110</v>
      </c>
      <c r="F3321">
        <v>830.37096095572383</v>
      </c>
      <c r="G3321">
        <v>2025</v>
      </c>
      <c r="H3321">
        <v>8</v>
      </c>
      <c r="I3321">
        <v>2</v>
      </c>
    </row>
    <row r="3322" spans="1:9" x14ac:dyDescent="0.35">
      <c r="A3322" t="str">
        <f t="shared" si="51"/>
        <v>DAenergy_soldS1202582</v>
      </c>
      <c r="C3322" t="s">
        <v>99</v>
      </c>
      <c r="D3322" t="s">
        <v>112</v>
      </c>
      <c r="E3322" t="s">
        <v>110</v>
      </c>
      <c r="F3322">
        <v>645.56506464082918</v>
      </c>
      <c r="G3322">
        <v>2025</v>
      </c>
      <c r="H3322">
        <v>8</v>
      </c>
      <c r="I3322">
        <v>2</v>
      </c>
    </row>
    <row r="3323" spans="1:9" x14ac:dyDescent="0.35">
      <c r="A3323" t="str">
        <f t="shared" si="51"/>
        <v>DAhours_boughtS1202582</v>
      </c>
      <c r="C3323" t="s">
        <v>99</v>
      </c>
      <c r="D3323" t="s">
        <v>113</v>
      </c>
      <c r="E3323" t="s">
        <v>110</v>
      </c>
      <c r="F3323">
        <v>785</v>
      </c>
      <c r="G3323">
        <v>2025</v>
      </c>
      <c r="H3323">
        <v>8</v>
      </c>
      <c r="I3323">
        <v>2</v>
      </c>
    </row>
    <row r="3324" spans="1:9" x14ac:dyDescent="0.35">
      <c r="A3324" t="str">
        <f t="shared" si="51"/>
        <v>DAhours_soldS1202582</v>
      </c>
      <c r="C3324" t="s">
        <v>99</v>
      </c>
      <c r="D3324" t="s">
        <v>114</v>
      </c>
      <c r="E3324" t="s">
        <v>110</v>
      </c>
      <c r="F3324">
        <v>209</v>
      </c>
      <c r="G3324">
        <v>2025</v>
      </c>
      <c r="H3324">
        <v>8</v>
      </c>
      <c r="I3324">
        <v>2</v>
      </c>
    </row>
    <row r="3325" spans="1:9" x14ac:dyDescent="0.35">
      <c r="A3325" t="str">
        <f t="shared" si="51"/>
        <v>DAco2_emissionS1202582</v>
      </c>
      <c r="C3325" t="s">
        <v>99</v>
      </c>
      <c r="D3325" t="s">
        <v>204</v>
      </c>
      <c r="E3325" t="s">
        <v>110</v>
      </c>
      <c r="F3325">
        <v>58125.967266899766</v>
      </c>
      <c r="G3325">
        <v>2025</v>
      </c>
      <c r="H3325">
        <v>8</v>
      </c>
      <c r="I3325">
        <v>2</v>
      </c>
    </row>
    <row r="3326" spans="1:9" x14ac:dyDescent="0.35">
      <c r="A3326" t="str">
        <f t="shared" si="51"/>
        <v>fcrincomeS1202582</v>
      </c>
      <c r="C3326" t="s">
        <v>102</v>
      </c>
      <c r="D3326" t="s">
        <v>101</v>
      </c>
      <c r="E3326" t="s">
        <v>110</v>
      </c>
      <c r="F3326">
        <v>0</v>
      </c>
      <c r="G3326">
        <v>2025</v>
      </c>
      <c r="H3326">
        <v>8</v>
      </c>
      <c r="I3326">
        <v>2</v>
      </c>
    </row>
    <row r="3327" spans="1:9" x14ac:dyDescent="0.35">
      <c r="A3327" t="str">
        <f t="shared" si="51"/>
        <v>fcractivation_hoursS1202582</v>
      </c>
      <c r="C3327" t="s">
        <v>102</v>
      </c>
      <c r="D3327" t="s">
        <v>115</v>
      </c>
      <c r="E3327" t="s">
        <v>110</v>
      </c>
      <c r="F3327">
        <v>0</v>
      </c>
      <c r="G3327">
        <v>2025</v>
      </c>
      <c r="H3327">
        <v>8</v>
      </c>
      <c r="I3327">
        <v>2</v>
      </c>
    </row>
    <row r="3328" spans="1:9" x14ac:dyDescent="0.35">
      <c r="A3328" t="str">
        <f t="shared" si="51"/>
        <v>afrrincomeS1202582</v>
      </c>
      <c r="C3328" t="s">
        <v>103</v>
      </c>
      <c r="D3328" t="s">
        <v>101</v>
      </c>
      <c r="E3328" t="s">
        <v>110</v>
      </c>
      <c r="F3328">
        <v>391293.91544362268</v>
      </c>
      <c r="G3328">
        <v>2025</v>
      </c>
      <c r="H3328">
        <v>8</v>
      </c>
      <c r="I3328">
        <v>2</v>
      </c>
    </row>
    <row r="3329" spans="1:9" x14ac:dyDescent="0.35">
      <c r="A3329" t="str">
        <f t="shared" si="51"/>
        <v>afrractivation_hoursS1202582</v>
      </c>
      <c r="C3329" t="s">
        <v>103</v>
      </c>
      <c r="D3329" t="s">
        <v>115</v>
      </c>
      <c r="E3329" t="s">
        <v>110</v>
      </c>
      <c r="F3329">
        <v>8735</v>
      </c>
      <c r="G3329">
        <v>2025</v>
      </c>
      <c r="H3329">
        <v>8</v>
      </c>
      <c r="I3329">
        <v>2</v>
      </c>
    </row>
    <row r="3330" spans="1:9" x14ac:dyDescent="0.35">
      <c r="A3330" t="str">
        <f t="shared" si="51"/>
        <v>networkturpe_power_costS1202682</v>
      </c>
      <c r="C3330" t="s">
        <v>96</v>
      </c>
      <c r="D3330" t="s">
        <v>97</v>
      </c>
      <c r="E3330" t="s">
        <v>110</v>
      </c>
      <c r="F3330">
        <v>14183.99982996606</v>
      </c>
      <c r="G3330">
        <v>2026</v>
      </c>
      <c r="H3330">
        <v>8</v>
      </c>
      <c r="I3330">
        <v>2</v>
      </c>
    </row>
    <row r="3331" spans="1:9" x14ac:dyDescent="0.35">
      <c r="A3331" t="str">
        <f t="shared" ref="A3331:A3394" si="52">C3331&amp;D3331&amp;E3331&amp;G3331&amp;H3331&amp;I3331</f>
        <v>networkturpe_energy_costS1202682</v>
      </c>
      <c r="C3331" t="s">
        <v>96</v>
      </c>
      <c r="D3331" t="s">
        <v>98</v>
      </c>
      <c r="E3331" t="s">
        <v>110</v>
      </c>
      <c r="F3331">
        <v>8103.3808557140956</v>
      </c>
      <c r="G3331">
        <v>2026</v>
      </c>
      <c r="H3331">
        <v>8</v>
      </c>
      <c r="I3331">
        <v>2</v>
      </c>
    </row>
    <row r="3332" spans="1:9" x14ac:dyDescent="0.35">
      <c r="A3332" t="str">
        <f t="shared" si="52"/>
        <v>DAcostS1202682</v>
      </c>
      <c r="C3332" t="s">
        <v>99</v>
      </c>
      <c r="D3332" t="s">
        <v>100</v>
      </c>
      <c r="E3332" t="s">
        <v>110</v>
      </c>
      <c r="F3332">
        <v>68884.999395480059</v>
      </c>
      <c r="G3332">
        <v>2026</v>
      </c>
      <c r="H3332">
        <v>8</v>
      </c>
      <c r="I3332">
        <v>2</v>
      </c>
    </row>
    <row r="3333" spans="1:9" x14ac:dyDescent="0.35">
      <c r="A3333" t="str">
        <f t="shared" si="52"/>
        <v>DAincomeS1202682</v>
      </c>
      <c r="C3333" t="s">
        <v>99</v>
      </c>
      <c r="D3333" t="s">
        <v>101</v>
      </c>
      <c r="E3333" t="s">
        <v>110</v>
      </c>
      <c r="F3333">
        <v>87204.922890482267</v>
      </c>
      <c r="G3333">
        <v>2026</v>
      </c>
      <c r="H3333">
        <v>8</v>
      </c>
      <c r="I3333">
        <v>2</v>
      </c>
    </row>
    <row r="3334" spans="1:9" x14ac:dyDescent="0.35">
      <c r="A3334" t="str">
        <f t="shared" si="52"/>
        <v>DAenergy_boughtS1202682</v>
      </c>
      <c r="C3334" t="s">
        <v>99</v>
      </c>
      <c r="D3334" t="s">
        <v>111</v>
      </c>
      <c r="E3334" t="s">
        <v>110</v>
      </c>
      <c r="F3334">
        <v>551.68547176553125</v>
      </c>
      <c r="G3334">
        <v>2026</v>
      </c>
      <c r="H3334">
        <v>8</v>
      </c>
      <c r="I3334">
        <v>2</v>
      </c>
    </row>
    <row r="3335" spans="1:9" x14ac:dyDescent="0.35">
      <c r="A3335" t="str">
        <f t="shared" si="52"/>
        <v>DAenergy_soldS1202682</v>
      </c>
      <c r="C3335" t="s">
        <v>99</v>
      </c>
      <c r="D3335" t="s">
        <v>112</v>
      </c>
      <c r="E3335" t="s">
        <v>110</v>
      </c>
      <c r="F3335">
        <v>421.35969965209381</v>
      </c>
      <c r="G3335">
        <v>2026</v>
      </c>
      <c r="H3335">
        <v>8</v>
      </c>
      <c r="I3335">
        <v>2</v>
      </c>
    </row>
    <row r="3336" spans="1:9" x14ac:dyDescent="0.35">
      <c r="A3336" t="str">
        <f t="shared" si="52"/>
        <v>DAhours_boughtS1202682</v>
      </c>
      <c r="C3336" t="s">
        <v>99</v>
      </c>
      <c r="D3336" t="s">
        <v>113</v>
      </c>
      <c r="E3336" t="s">
        <v>110</v>
      </c>
      <c r="F3336">
        <v>710</v>
      </c>
      <c r="G3336">
        <v>2026</v>
      </c>
      <c r="H3336">
        <v>8</v>
      </c>
      <c r="I3336">
        <v>2</v>
      </c>
    </row>
    <row r="3337" spans="1:9" x14ac:dyDescent="0.35">
      <c r="A3337" t="str">
        <f t="shared" si="52"/>
        <v>DAhours_soldS1202682</v>
      </c>
      <c r="C3337" t="s">
        <v>99</v>
      </c>
      <c r="D3337" t="s">
        <v>114</v>
      </c>
      <c r="E3337" t="s">
        <v>110</v>
      </c>
      <c r="F3337">
        <v>151</v>
      </c>
      <c r="G3337">
        <v>2026</v>
      </c>
      <c r="H3337">
        <v>8</v>
      </c>
      <c r="I3337">
        <v>2</v>
      </c>
    </row>
    <row r="3338" spans="1:9" x14ac:dyDescent="0.35">
      <c r="A3338" t="str">
        <f t="shared" si="52"/>
        <v>DAco2_emissionS1202682</v>
      </c>
      <c r="C3338" t="s">
        <v>99</v>
      </c>
      <c r="D3338" t="s">
        <v>204</v>
      </c>
      <c r="E3338" t="s">
        <v>110</v>
      </c>
      <c r="F3338">
        <v>38617.983023586828</v>
      </c>
      <c r="G3338">
        <v>2026</v>
      </c>
      <c r="H3338">
        <v>8</v>
      </c>
      <c r="I3338">
        <v>2</v>
      </c>
    </row>
    <row r="3339" spans="1:9" x14ac:dyDescent="0.35">
      <c r="A3339" t="str">
        <f t="shared" si="52"/>
        <v>fcrincomeS1202682</v>
      </c>
      <c r="C3339" t="s">
        <v>102</v>
      </c>
      <c r="D3339" t="s">
        <v>101</v>
      </c>
      <c r="E3339" t="s">
        <v>110</v>
      </c>
      <c r="F3339">
        <v>0</v>
      </c>
      <c r="G3339">
        <v>2026</v>
      </c>
      <c r="H3339">
        <v>8</v>
      </c>
      <c r="I3339">
        <v>2</v>
      </c>
    </row>
    <row r="3340" spans="1:9" x14ac:dyDescent="0.35">
      <c r="A3340" t="str">
        <f t="shared" si="52"/>
        <v>fcractivation_hoursS1202682</v>
      </c>
      <c r="C3340" t="s">
        <v>102</v>
      </c>
      <c r="D3340" t="s">
        <v>115</v>
      </c>
      <c r="E3340" t="s">
        <v>110</v>
      </c>
      <c r="F3340">
        <v>0</v>
      </c>
      <c r="G3340">
        <v>2026</v>
      </c>
      <c r="H3340">
        <v>8</v>
      </c>
      <c r="I3340">
        <v>2</v>
      </c>
    </row>
    <row r="3341" spans="1:9" x14ac:dyDescent="0.35">
      <c r="A3341" t="str">
        <f t="shared" si="52"/>
        <v>afrrincomeS1202682</v>
      </c>
      <c r="C3341" t="s">
        <v>103</v>
      </c>
      <c r="D3341" t="s">
        <v>101</v>
      </c>
      <c r="E3341" t="s">
        <v>110</v>
      </c>
      <c r="F3341">
        <v>383820.5533402338</v>
      </c>
      <c r="G3341">
        <v>2026</v>
      </c>
      <c r="H3341">
        <v>8</v>
      </c>
      <c r="I3341">
        <v>2</v>
      </c>
    </row>
    <row r="3342" spans="1:9" x14ac:dyDescent="0.35">
      <c r="A3342" t="str">
        <f t="shared" si="52"/>
        <v>afrractivation_hoursS1202682</v>
      </c>
      <c r="C3342" t="s">
        <v>103</v>
      </c>
      <c r="D3342" t="s">
        <v>115</v>
      </c>
      <c r="E3342" t="s">
        <v>110</v>
      </c>
      <c r="F3342">
        <v>8747</v>
      </c>
      <c r="G3342">
        <v>2026</v>
      </c>
      <c r="H3342">
        <v>8</v>
      </c>
      <c r="I3342">
        <v>2</v>
      </c>
    </row>
    <row r="3343" spans="1:9" x14ac:dyDescent="0.35">
      <c r="A3343" t="str">
        <f t="shared" si="52"/>
        <v>networkturpe_power_costS1202782</v>
      </c>
      <c r="C3343" t="s">
        <v>96</v>
      </c>
      <c r="D3343" t="s">
        <v>97</v>
      </c>
      <c r="E3343" t="s">
        <v>110</v>
      </c>
      <c r="F3343">
        <v>15992.18899795544</v>
      </c>
      <c r="G3343">
        <v>2027</v>
      </c>
      <c r="H3343">
        <v>8</v>
      </c>
      <c r="I3343">
        <v>2</v>
      </c>
    </row>
    <row r="3344" spans="1:9" x14ac:dyDescent="0.35">
      <c r="A3344" t="str">
        <f t="shared" si="52"/>
        <v>networkturpe_energy_costS1202782</v>
      </c>
      <c r="C3344" t="s">
        <v>96</v>
      </c>
      <c r="D3344" t="s">
        <v>98</v>
      </c>
      <c r="E3344" t="s">
        <v>110</v>
      </c>
      <c r="F3344">
        <v>13737.21896728413</v>
      </c>
      <c r="G3344">
        <v>2027</v>
      </c>
      <c r="H3344">
        <v>8</v>
      </c>
      <c r="I3344">
        <v>2</v>
      </c>
    </row>
    <row r="3345" spans="1:9" x14ac:dyDescent="0.35">
      <c r="A3345" t="str">
        <f t="shared" si="52"/>
        <v>DAcostS1202782</v>
      </c>
      <c r="C3345" t="s">
        <v>99</v>
      </c>
      <c r="D3345" t="s">
        <v>100</v>
      </c>
      <c r="E3345" t="s">
        <v>110</v>
      </c>
      <c r="F3345">
        <v>91203.580801799209</v>
      </c>
      <c r="G3345">
        <v>2027</v>
      </c>
      <c r="H3345">
        <v>8</v>
      </c>
      <c r="I3345">
        <v>2</v>
      </c>
    </row>
    <row r="3346" spans="1:9" x14ac:dyDescent="0.35">
      <c r="A3346" t="str">
        <f t="shared" si="52"/>
        <v>DAincomeS1202782</v>
      </c>
      <c r="C3346" t="s">
        <v>99</v>
      </c>
      <c r="D3346" t="s">
        <v>101</v>
      </c>
      <c r="E3346" t="s">
        <v>110</v>
      </c>
      <c r="F3346">
        <v>124701.7539345777</v>
      </c>
      <c r="G3346">
        <v>2027</v>
      </c>
      <c r="H3346">
        <v>8</v>
      </c>
      <c r="I3346">
        <v>2</v>
      </c>
    </row>
    <row r="3347" spans="1:9" x14ac:dyDescent="0.35">
      <c r="A3347" t="str">
        <f t="shared" si="52"/>
        <v>DAenergy_boughtS1202782</v>
      </c>
      <c r="C3347" t="s">
        <v>99</v>
      </c>
      <c r="D3347" t="s">
        <v>111</v>
      </c>
      <c r="E3347" t="s">
        <v>110</v>
      </c>
      <c r="F3347">
        <v>944.52144013335328</v>
      </c>
      <c r="G3347">
        <v>2027</v>
      </c>
      <c r="H3347">
        <v>8</v>
      </c>
      <c r="I3347">
        <v>2</v>
      </c>
    </row>
    <row r="3348" spans="1:9" x14ac:dyDescent="0.35">
      <c r="A3348" t="str">
        <f t="shared" si="52"/>
        <v>DAenergy_soldS1202782</v>
      </c>
      <c r="C3348" t="s">
        <v>99</v>
      </c>
      <c r="D3348" t="s">
        <v>112</v>
      </c>
      <c r="E3348" t="s">
        <v>110</v>
      </c>
      <c r="F3348">
        <v>737.97534851739192</v>
      </c>
      <c r="G3348">
        <v>2027</v>
      </c>
      <c r="H3348">
        <v>8</v>
      </c>
      <c r="I3348">
        <v>2</v>
      </c>
    </row>
    <row r="3349" spans="1:9" x14ac:dyDescent="0.35">
      <c r="A3349" t="str">
        <f t="shared" si="52"/>
        <v>DAhours_boughtS1202782</v>
      </c>
      <c r="C3349" t="s">
        <v>99</v>
      </c>
      <c r="D3349" t="s">
        <v>113</v>
      </c>
      <c r="E3349" t="s">
        <v>110</v>
      </c>
      <c r="F3349">
        <v>858</v>
      </c>
      <c r="G3349">
        <v>2027</v>
      </c>
      <c r="H3349">
        <v>8</v>
      </c>
      <c r="I3349">
        <v>2</v>
      </c>
    </row>
    <row r="3350" spans="1:9" x14ac:dyDescent="0.35">
      <c r="A3350" t="str">
        <f t="shared" si="52"/>
        <v>DAhours_soldS1202782</v>
      </c>
      <c r="C3350" t="s">
        <v>99</v>
      </c>
      <c r="D3350" t="s">
        <v>114</v>
      </c>
      <c r="E3350" t="s">
        <v>110</v>
      </c>
      <c r="F3350">
        <v>246</v>
      </c>
      <c r="G3350">
        <v>2027</v>
      </c>
      <c r="H3350">
        <v>8</v>
      </c>
      <c r="I3350">
        <v>2</v>
      </c>
    </row>
    <row r="3351" spans="1:9" x14ac:dyDescent="0.35">
      <c r="A3351" t="str">
        <f t="shared" si="52"/>
        <v>DAco2_emissionS1202782</v>
      </c>
      <c r="C3351" t="s">
        <v>99</v>
      </c>
      <c r="D3351" t="s">
        <v>204</v>
      </c>
      <c r="E3351" t="s">
        <v>110</v>
      </c>
      <c r="F3351">
        <v>66116.50080933384</v>
      </c>
      <c r="G3351">
        <v>2027</v>
      </c>
      <c r="H3351">
        <v>8</v>
      </c>
      <c r="I3351">
        <v>2</v>
      </c>
    </row>
    <row r="3352" spans="1:9" x14ac:dyDescent="0.35">
      <c r="A3352" t="str">
        <f t="shared" si="52"/>
        <v>fcrincomeS1202782</v>
      </c>
      <c r="C3352" t="s">
        <v>102</v>
      </c>
      <c r="D3352" t="s">
        <v>101</v>
      </c>
      <c r="E3352" t="s">
        <v>110</v>
      </c>
      <c r="F3352">
        <v>0</v>
      </c>
      <c r="G3352">
        <v>2027</v>
      </c>
      <c r="H3352">
        <v>8</v>
      </c>
      <c r="I3352">
        <v>2</v>
      </c>
    </row>
    <row r="3353" spans="1:9" x14ac:dyDescent="0.35">
      <c r="A3353" t="str">
        <f t="shared" si="52"/>
        <v>fcractivation_hoursS1202782</v>
      </c>
      <c r="C3353" t="s">
        <v>102</v>
      </c>
      <c r="D3353" t="s">
        <v>115</v>
      </c>
      <c r="E3353" t="s">
        <v>110</v>
      </c>
      <c r="F3353">
        <v>0</v>
      </c>
      <c r="G3353">
        <v>2027</v>
      </c>
      <c r="H3353">
        <v>8</v>
      </c>
      <c r="I3353">
        <v>2</v>
      </c>
    </row>
    <row r="3354" spans="1:9" x14ac:dyDescent="0.35">
      <c r="A3354" t="str">
        <f t="shared" si="52"/>
        <v>afrrincomeS1202782</v>
      </c>
      <c r="C3354" t="s">
        <v>103</v>
      </c>
      <c r="D3354" t="s">
        <v>101</v>
      </c>
      <c r="E3354" t="s">
        <v>110</v>
      </c>
      <c r="F3354">
        <v>330718.89755086909</v>
      </c>
      <c r="G3354">
        <v>2027</v>
      </c>
      <c r="H3354">
        <v>8</v>
      </c>
      <c r="I3354">
        <v>2</v>
      </c>
    </row>
    <row r="3355" spans="1:9" x14ac:dyDescent="0.35">
      <c r="A3355" t="str">
        <f t="shared" si="52"/>
        <v>afrractivation_hoursS1202782</v>
      </c>
      <c r="C3355" t="s">
        <v>103</v>
      </c>
      <c r="D3355" t="s">
        <v>115</v>
      </c>
      <c r="E3355" t="s">
        <v>110</v>
      </c>
      <c r="F3355">
        <v>8716</v>
      </c>
      <c r="G3355">
        <v>2027</v>
      </c>
      <c r="H3355">
        <v>8</v>
      </c>
      <c r="I3355">
        <v>2</v>
      </c>
    </row>
    <row r="3356" spans="1:9" x14ac:dyDescent="0.35">
      <c r="A3356" t="str">
        <f t="shared" si="52"/>
        <v>networkturpe_power_costS1202882</v>
      </c>
      <c r="C3356" t="s">
        <v>96</v>
      </c>
      <c r="D3356" t="s">
        <v>97</v>
      </c>
      <c r="E3356" t="s">
        <v>110</v>
      </c>
      <c r="F3356">
        <v>17274.23785930554</v>
      </c>
      <c r="G3356">
        <v>2028</v>
      </c>
      <c r="H3356">
        <v>8</v>
      </c>
      <c r="I3356">
        <v>2</v>
      </c>
    </row>
    <row r="3357" spans="1:9" x14ac:dyDescent="0.35">
      <c r="A3357" t="str">
        <f t="shared" si="52"/>
        <v>networkturpe_energy_costS1202882</v>
      </c>
      <c r="C3357" t="s">
        <v>96</v>
      </c>
      <c r="D3357" t="s">
        <v>98</v>
      </c>
      <c r="E3357" t="s">
        <v>110</v>
      </c>
      <c r="F3357">
        <v>18803.834089981301</v>
      </c>
      <c r="G3357">
        <v>2028</v>
      </c>
      <c r="H3357">
        <v>8</v>
      </c>
      <c r="I3357">
        <v>2</v>
      </c>
    </row>
    <row r="3358" spans="1:9" x14ac:dyDescent="0.35">
      <c r="A3358" t="str">
        <f t="shared" si="52"/>
        <v>DAcostS1202882</v>
      </c>
      <c r="C3358" t="s">
        <v>99</v>
      </c>
      <c r="D3358" t="s">
        <v>100</v>
      </c>
      <c r="E3358" t="s">
        <v>110</v>
      </c>
      <c r="F3358">
        <v>114369.0127916643</v>
      </c>
      <c r="G3358">
        <v>2028</v>
      </c>
      <c r="H3358">
        <v>8</v>
      </c>
      <c r="I3358">
        <v>2</v>
      </c>
    </row>
    <row r="3359" spans="1:9" x14ac:dyDescent="0.35">
      <c r="A3359" t="str">
        <f t="shared" si="52"/>
        <v>DAincomeS1202882</v>
      </c>
      <c r="C3359" t="s">
        <v>99</v>
      </c>
      <c r="D3359" t="s">
        <v>101</v>
      </c>
      <c r="E3359" t="s">
        <v>110</v>
      </c>
      <c r="F3359">
        <v>160671.04468559939</v>
      </c>
      <c r="G3359">
        <v>2028</v>
      </c>
      <c r="H3359">
        <v>8</v>
      </c>
      <c r="I3359">
        <v>2</v>
      </c>
    </row>
    <row r="3360" spans="1:9" x14ac:dyDescent="0.35">
      <c r="A3360" t="str">
        <f t="shared" si="52"/>
        <v>DAenergy_boughtS1202882</v>
      </c>
      <c r="C3360" t="s">
        <v>99</v>
      </c>
      <c r="D3360" t="s">
        <v>111</v>
      </c>
      <c r="E3360" t="s">
        <v>110</v>
      </c>
      <c r="F3360">
        <v>1284.3965190597789</v>
      </c>
      <c r="G3360">
        <v>2028</v>
      </c>
      <c r="H3360">
        <v>8</v>
      </c>
      <c r="I3360">
        <v>2</v>
      </c>
    </row>
    <row r="3361" spans="1:9" x14ac:dyDescent="0.35">
      <c r="A3361" t="str">
        <f t="shared" si="52"/>
        <v>DAenergy_soldS1202882</v>
      </c>
      <c r="C3361" t="s">
        <v>99</v>
      </c>
      <c r="D3361" t="s">
        <v>112</v>
      </c>
      <c r="E3361" t="s">
        <v>110</v>
      </c>
      <c r="F3361">
        <v>1012.649728577146</v>
      </c>
      <c r="G3361">
        <v>2028</v>
      </c>
      <c r="H3361">
        <v>8</v>
      </c>
      <c r="I3361">
        <v>2</v>
      </c>
    </row>
    <row r="3362" spans="1:9" x14ac:dyDescent="0.35">
      <c r="A3362" t="str">
        <f t="shared" si="52"/>
        <v>DAhours_boughtS1202882</v>
      </c>
      <c r="C3362" t="s">
        <v>99</v>
      </c>
      <c r="D3362" t="s">
        <v>113</v>
      </c>
      <c r="E3362" t="s">
        <v>110</v>
      </c>
      <c r="F3362">
        <v>1034</v>
      </c>
      <c r="G3362">
        <v>2028</v>
      </c>
      <c r="H3362">
        <v>8</v>
      </c>
      <c r="I3362">
        <v>2</v>
      </c>
    </row>
    <row r="3363" spans="1:9" x14ac:dyDescent="0.35">
      <c r="A3363" t="str">
        <f t="shared" si="52"/>
        <v>DAhours_soldS1202882</v>
      </c>
      <c r="C3363" t="s">
        <v>99</v>
      </c>
      <c r="D3363" t="s">
        <v>114</v>
      </c>
      <c r="E3363" t="s">
        <v>110</v>
      </c>
      <c r="F3363">
        <v>327</v>
      </c>
      <c r="G3363">
        <v>2028</v>
      </c>
      <c r="H3363">
        <v>8</v>
      </c>
      <c r="I3363">
        <v>2</v>
      </c>
    </row>
    <row r="3364" spans="1:9" x14ac:dyDescent="0.35">
      <c r="A3364" t="str">
        <f t="shared" si="52"/>
        <v>DAco2_emissionS1202882</v>
      </c>
      <c r="C3364" t="s">
        <v>99</v>
      </c>
      <c r="D3364" t="s">
        <v>204</v>
      </c>
      <c r="E3364" t="s">
        <v>110</v>
      </c>
      <c r="F3364">
        <v>89907.756334185149</v>
      </c>
      <c r="G3364">
        <v>2028</v>
      </c>
      <c r="H3364">
        <v>8</v>
      </c>
      <c r="I3364">
        <v>2</v>
      </c>
    </row>
    <row r="3365" spans="1:9" x14ac:dyDescent="0.35">
      <c r="A3365" t="str">
        <f t="shared" si="52"/>
        <v>fcrincomeS1202882</v>
      </c>
      <c r="C3365" t="s">
        <v>102</v>
      </c>
      <c r="D3365" t="s">
        <v>101</v>
      </c>
      <c r="E3365" t="s">
        <v>110</v>
      </c>
      <c r="F3365">
        <v>0</v>
      </c>
      <c r="G3365">
        <v>2028</v>
      </c>
      <c r="H3365">
        <v>8</v>
      </c>
      <c r="I3365">
        <v>2</v>
      </c>
    </row>
    <row r="3366" spans="1:9" x14ac:dyDescent="0.35">
      <c r="A3366" t="str">
        <f t="shared" si="52"/>
        <v>fcractivation_hoursS1202882</v>
      </c>
      <c r="C3366" t="s">
        <v>102</v>
      </c>
      <c r="D3366" t="s">
        <v>115</v>
      </c>
      <c r="E3366" t="s">
        <v>110</v>
      </c>
      <c r="F3366">
        <v>0</v>
      </c>
      <c r="G3366">
        <v>2028</v>
      </c>
      <c r="H3366">
        <v>8</v>
      </c>
      <c r="I3366">
        <v>2</v>
      </c>
    </row>
    <row r="3367" spans="1:9" x14ac:dyDescent="0.35">
      <c r="A3367" t="str">
        <f t="shared" si="52"/>
        <v>afrrincomeS1202882</v>
      </c>
      <c r="C3367" t="s">
        <v>103</v>
      </c>
      <c r="D3367" t="s">
        <v>101</v>
      </c>
      <c r="E3367" t="s">
        <v>110</v>
      </c>
      <c r="F3367">
        <v>330546.86229322071</v>
      </c>
      <c r="G3367">
        <v>2028</v>
      </c>
      <c r="H3367">
        <v>8</v>
      </c>
      <c r="I3367">
        <v>2</v>
      </c>
    </row>
    <row r="3368" spans="1:9" x14ac:dyDescent="0.35">
      <c r="A3368" t="str">
        <f t="shared" si="52"/>
        <v>afrractivation_hoursS1202882</v>
      </c>
      <c r="C3368" t="s">
        <v>103</v>
      </c>
      <c r="D3368" t="s">
        <v>115</v>
      </c>
      <c r="E3368" t="s">
        <v>110</v>
      </c>
      <c r="F3368">
        <v>8712</v>
      </c>
      <c r="G3368">
        <v>2028</v>
      </c>
      <c r="H3368">
        <v>8</v>
      </c>
      <c r="I3368">
        <v>2</v>
      </c>
    </row>
    <row r="3369" spans="1:9" x14ac:dyDescent="0.35">
      <c r="A3369" t="str">
        <f t="shared" si="52"/>
        <v>networkturpe_power_costS1202982</v>
      </c>
      <c r="C3369" t="s">
        <v>96</v>
      </c>
      <c r="D3369" t="s">
        <v>97</v>
      </c>
      <c r="E3369" t="s">
        <v>110</v>
      </c>
      <c r="F3369">
        <v>18586.494935096831</v>
      </c>
      <c r="G3369">
        <v>2029</v>
      </c>
      <c r="H3369">
        <v>8</v>
      </c>
      <c r="I3369">
        <v>2</v>
      </c>
    </row>
    <row r="3370" spans="1:9" x14ac:dyDescent="0.35">
      <c r="A3370" t="str">
        <f t="shared" si="52"/>
        <v>networkturpe_energy_costS1202982</v>
      </c>
      <c r="C3370" t="s">
        <v>96</v>
      </c>
      <c r="D3370" t="s">
        <v>98</v>
      </c>
      <c r="E3370" t="s">
        <v>110</v>
      </c>
      <c r="F3370">
        <v>20909.966730918579</v>
      </c>
      <c r="G3370">
        <v>2029</v>
      </c>
      <c r="H3370">
        <v>8</v>
      </c>
      <c r="I3370">
        <v>2</v>
      </c>
    </row>
    <row r="3371" spans="1:9" x14ac:dyDescent="0.35">
      <c r="A3371" t="str">
        <f t="shared" si="52"/>
        <v>DAcostS1202982</v>
      </c>
      <c r="C3371" t="s">
        <v>99</v>
      </c>
      <c r="D3371" t="s">
        <v>100</v>
      </c>
      <c r="E3371" t="s">
        <v>110</v>
      </c>
      <c r="F3371">
        <v>100802.8612236284</v>
      </c>
      <c r="G3371">
        <v>2029</v>
      </c>
      <c r="H3371">
        <v>8</v>
      </c>
      <c r="I3371">
        <v>2</v>
      </c>
    </row>
    <row r="3372" spans="1:9" x14ac:dyDescent="0.35">
      <c r="A3372" t="str">
        <f t="shared" si="52"/>
        <v>DAincomeS1202982</v>
      </c>
      <c r="C3372" t="s">
        <v>99</v>
      </c>
      <c r="D3372" t="s">
        <v>101</v>
      </c>
      <c r="E3372" t="s">
        <v>110</v>
      </c>
      <c r="F3372">
        <v>155516.19250987531</v>
      </c>
      <c r="G3372">
        <v>2029</v>
      </c>
      <c r="H3372">
        <v>8</v>
      </c>
      <c r="I3372">
        <v>2</v>
      </c>
    </row>
    <row r="3373" spans="1:9" x14ac:dyDescent="0.35">
      <c r="A3373" t="str">
        <f t="shared" si="52"/>
        <v>DAenergy_boughtS1202982</v>
      </c>
      <c r="C3373" t="s">
        <v>99</v>
      </c>
      <c r="D3373" t="s">
        <v>111</v>
      </c>
      <c r="E3373" t="s">
        <v>110</v>
      </c>
      <c r="F3373">
        <v>1421.859266994516</v>
      </c>
      <c r="G3373">
        <v>2029</v>
      </c>
      <c r="H3373">
        <v>8</v>
      </c>
      <c r="I3373">
        <v>2</v>
      </c>
    </row>
    <row r="3374" spans="1:9" x14ac:dyDescent="0.35">
      <c r="A3374" t="str">
        <f t="shared" si="52"/>
        <v>DAenergy_soldS1202982</v>
      </c>
      <c r="C3374" t="s">
        <v>99</v>
      </c>
      <c r="D3374" t="s">
        <v>112</v>
      </c>
      <c r="E3374" t="s">
        <v>110</v>
      </c>
      <c r="F3374">
        <v>1123.473191598338</v>
      </c>
      <c r="G3374">
        <v>2029</v>
      </c>
      <c r="H3374">
        <v>8</v>
      </c>
      <c r="I3374">
        <v>2</v>
      </c>
    </row>
    <row r="3375" spans="1:9" x14ac:dyDescent="0.35">
      <c r="A3375" t="str">
        <f t="shared" si="52"/>
        <v>DAhours_boughtS1202982</v>
      </c>
      <c r="C3375" t="s">
        <v>99</v>
      </c>
      <c r="D3375" t="s">
        <v>113</v>
      </c>
      <c r="E3375" t="s">
        <v>110</v>
      </c>
      <c r="F3375">
        <v>1131</v>
      </c>
      <c r="G3375">
        <v>2029</v>
      </c>
      <c r="H3375">
        <v>8</v>
      </c>
      <c r="I3375">
        <v>2</v>
      </c>
    </row>
    <row r="3376" spans="1:9" x14ac:dyDescent="0.35">
      <c r="A3376" t="str">
        <f t="shared" si="52"/>
        <v>DAhours_soldS1202982</v>
      </c>
      <c r="C3376" t="s">
        <v>99</v>
      </c>
      <c r="D3376" t="s">
        <v>114</v>
      </c>
      <c r="E3376" t="s">
        <v>110</v>
      </c>
      <c r="F3376">
        <v>363</v>
      </c>
      <c r="G3376">
        <v>2029</v>
      </c>
      <c r="H3376">
        <v>8</v>
      </c>
      <c r="I3376">
        <v>2</v>
      </c>
    </row>
    <row r="3377" spans="1:9" x14ac:dyDescent="0.35">
      <c r="A3377" t="str">
        <f t="shared" si="52"/>
        <v>DAco2_emissionS1202982</v>
      </c>
      <c r="C3377" t="s">
        <v>99</v>
      </c>
      <c r="D3377" t="s">
        <v>204</v>
      </c>
      <c r="E3377" t="s">
        <v>110</v>
      </c>
      <c r="F3377">
        <v>99530.14868961618</v>
      </c>
      <c r="G3377">
        <v>2029</v>
      </c>
      <c r="H3377">
        <v>8</v>
      </c>
      <c r="I3377">
        <v>2</v>
      </c>
    </row>
    <row r="3378" spans="1:9" x14ac:dyDescent="0.35">
      <c r="A3378" t="str">
        <f t="shared" si="52"/>
        <v>fcrincomeS1202982</v>
      </c>
      <c r="C3378" t="s">
        <v>102</v>
      </c>
      <c r="D3378" t="s">
        <v>101</v>
      </c>
      <c r="E3378" t="s">
        <v>110</v>
      </c>
      <c r="F3378">
        <v>0</v>
      </c>
      <c r="G3378">
        <v>2029</v>
      </c>
      <c r="H3378">
        <v>8</v>
      </c>
      <c r="I3378">
        <v>2</v>
      </c>
    </row>
    <row r="3379" spans="1:9" x14ac:dyDescent="0.35">
      <c r="A3379" t="str">
        <f t="shared" si="52"/>
        <v>fcractivation_hoursS1202982</v>
      </c>
      <c r="C3379" t="s">
        <v>102</v>
      </c>
      <c r="D3379" t="s">
        <v>115</v>
      </c>
      <c r="E3379" t="s">
        <v>110</v>
      </c>
      <c r="F3379">
        <v>0</v>
      </c>
      <c r="G3379">
        <v>2029</v>
      </c>
      <c r="H3379">
        <v>8</v>
      </c>
      <c r="I3379">
        <v>2</v>
      </c>
    </row>
    <row r="3380" spans="1:9" x14ac:dyDescent="0.35">
      <c r="A3380" t="str">
        <f t="shared" si="52"/>
        <v>afrrincomeS1202982</v>
      </c>
      <c r="C3380" t="s">
        <v>103</v>
      </c>
      <c r="D3380" t="s">
        <v>101</v>
      </c>
      <c r="E3380" t="s">
        <v>110</v>
      </c>
      <c r="F3380">
        <v>349954.03022473567</v>
      </c>
      <c r="G3380">
        <v>2029</v>
      </c>
      <c r="H3380">
        <v>8</v>
      </c>
      <c r="I3380">
        <v>2</v>
      </c>
    </row>
    <row r="3381" spans="1:9" x14ac:dyDescent="0.35">
      <c r="A3381" t="str">
        <f t="shared" si="52"/>
        <v>afrractivation_hoursS1202982</v>
      </c>
      <c r="C3381" t="s">
        <v>103</v>
      </c>
      <c r="D3381" t="s">
        <v>115</v>
      </c>
      <c r="E3381" t="s">
        <v>110</v>
      </c>
      <c r="F3381">
        <v>8730</v>
      </c>
      <c r="G3381">
        <v>2029</v>
      </c>
      <c r="H3381">
        <v>8</v>
      </c>
      <c r="I3381">
        <v>2</v>
      </c>
    </row>
    <row r="3382" spans="1:9" x14ac:dyDescent="0.35">
      <c r="A3382" t="str">
        <f t="shared" si="52"/>
        <v>networkturpe_power_costS1203082</v>
      </c>
      <c r="C3382" t="s">
        <v>96</v>
      </c>
      <c r="D3382" t="s">
        <v>97</v>
      </c>
      <c r="E3382" t="s">
        <v>110</v>
      </c>
      <c r="F3382">
        <v>20240.202978282719</v>
      </c>
      <c r="G3382">
        <v>2030</v>
      </c>
      <c r="H3382">
        <v>8</v>
      </c>
      <c r="I3382">
        <v>2</v>
      </c>
    </row>
    <row r="3383" spans="1:9" x14ac:dyDescent="0.35">
      <c r="A3383" t="str">
        <f t="shared" si="52"/>
        <v>networkturpe_energy_costS1203082</v>
      </c>
      <c r="C3383" t="s">
        <v>96</v>
      </c>
      <c r="D3383" t="s">
        <v>98</v>
      </c>
      <c r="E3383" t="s">
        <v>110</v>
      </c>
      <c r="F3383">
        <v>31981.732734040241</v>
      </c>
      <c r="G3383">
        <v>2030</v>
      </c>
      <c r="H3383">
        <v>8</v>
      </c>
      <c r="I3383">
        <v>2</v>
      </c>
    </row>
    <row r="3384" spans="1:9" x14ac:dyDescent="0.35">
      <c r="A3384" t="str">
        <f t="shared" si="52"/>
        <v>DAcostS1203082</v>
      </c>
      <c r="C3384" t="s">
        <v>99</v>
      </c>
      <c r="D3384" t="s">
        <v>100</v>
      </c>
      <c r="E3384" t="s">
        <v>110</v>
      </c>
      <c r="F3384">
        <v>116559.9777908267</v>
      </c>
      <c r="G3384">
        <v>2030</v>
      </c>
      <c r="H3384">
        <v>8</v>
      </c>
      <c r="I3384">
        <v>2</v>
      </c>
    </row>
    <row r="3385" spans="1:9" x14ac:dyDescent="0.35">
      <c r="A3385" t="str">
        <f t="shared" si="52"/>
        <v>DAincomeS1203082</v>
      </c>
      <c r="C3385" t="s">
        <v>99</v>
      </c>
      <c r="D3385" t="s">
        <v>101</v>
      </c>
      <c r="E3385" t="s">
        <v>110</v>
      </c>
      <c r="F3385">
        <v>199516.72467275459</v>
      </c>
      <c r="G3385">
        <v>2030</v>
      </c>
      <c r="H3385">
        <v>8</v>
      </c>
      <c r="I3385">
        <v>2</v>
      </c>
    </row>
    <row r="3386" spans="1:9" x14ac:dyDescent="0.35">
      <c r="A3386" t="str">
        <f t="shared" si="52"/>
        <v>DAenergy_boughtS1203082</v>
      </c>
      <c r="C3386" t="s">
        <v>99</v>
      </c>
      <c r="D3386" t="s">
        <v>111</v>
      </c>
      <c r="E3386" t="s">
        <v>110</v>
      </c>
      <c r="F3386">
        <v>2103.152168275747</v>
      </c>
      <c r="G3386">
        <v>2030</v>
      </c>
      <c r="H3386">
        <v>8</v>
      </c>
      <c r="I3386">
        <v>2</v>
      </c>
    </row>
    <row r="3387" spans="1:9" x14ac:dyDescent="0.35">
      <c r="A3387" t="str">
        <f t="shared" si="52"/>
        <v>DAenergy_soldS1203082</v>
      </c>
      <c r="C3387" t="s">
        <v>99</v>
      </c>
      <c r="D3387" t="s">
        <v>112</v>
      </c>
      <c r="E3387" t="s">
        <v>110</v>
      </c>
      <c r="F3387">
        <v>1675.190834757969</v>
      </c>
      <c r="G3387">
        <v>2030</v>
      </c>
      <c r="H3387">
        <v>8</v>
      </c>
      <c r="I3387">
        <v>2</v>
      </c>
    </row>
    <row r="3388" spans="1:9" x14ac:dyDescent="0.35">
      <c r="A3388" t="str">
        <f t="shared" si="52"/>
        <v>DAhours_boughtS1203082</v>
      </c>
      <c r="C3388" t="s">
        <v>99</v>
      </c>
      <c r="D3388" t="s">
        <v>113</v>
      </c>
      <c r="E3388" t="s">
        <v>110</v>
      </c>
      <c r="F3388">
        <v>1570</v>
      </c>
      <c r="G3388">
        <v>2030</v>
      </c>
      <c r="H3388">
        <v>8</v>
      </c>
      <c r="I3388">
        <v>2</v>
      </c>
    </row>
    <row r="3389" spans="1:9" x14ac:dyDescent="0.35">
      <c r="A3389" t="str">
        <f t="shared" si="52"/>
        <v>DAhours_soldS1203082</v>
      </c>
      <c r="C3389" t="s">
        <v>99</v>
      </c>
      <c r="D3389" t="s">
        <v>114</v>
      </c>
      <c r="E3389" t="s">
        <v>110</v>
      </c>
      <c r="F3389">
        <v>528</v>
      </c>
      <c r="G3389">
        <v>2030</v>
      </c>
      <c r="H3389">
        <v>8</v>
      </c>
      <c r="I3389">
        <v>2</v>
      </c>
    </row>
    <row r="3390" spans="1:9" x14ac:dyDescent="0.35">
      <c r="A3390" t="str">
        <f t="shared" si="52"/>
        <v>DAco2_emissionS1203082</v>
      </c>
      <c r="C3390" t="s">
        <v>99</v>
      </c>
      <c r="D3390" t="s">
        <v>204</v>
      </c>
      <c r="E3390" t="s">
        <v>110</v>
      </c>
      <c r="F3390">
        <v>147220.65177930161</v>
      </c>
      <c r="G3390">
        <v>2030</v>
      </c>
      <c r="H3390">
        <v>8</v>
      </c>
      <c r="I3390">
        <v>2</v>
      </c>
    </row>
    <row r="3391" spans="1:9" x14ac:dyDescent="0.35">
      <c r="A3391" t="str">
        <f t="shared" si="52"/>
        <v>fcrincomeS1203082</v>
      </c>
      <c r="C3391" t="s">
        <v>102</v>
      </c>
      <c r="D3391" t="s">
        <v>101</v>
      </c>
      <c r="E3391" t="s">
        <v>110</v>
      </c>
      <c r="F3391">
        <v>3.76735728623866</v>
      </c>
      <c r="G3391">
        <v>2030</v>
      </c>
      <c r="H3391">
        <v>8</v>
      </c>
      <c r="I3391">
        <v>2</v>
      </c>
    </row>
    <row r="3392" spans="1:9" x14ac:dyDescent="0.35">
      <c r="A3392" t="str">
        <f t="shared" si="52"/>
        <v>fcractivation_hoursS1203082</v>
      </c>
      <c r="C3392" t="s">
        <v>102</v>
      </c>
      <c r="D3392" t="s">
        <v>115</v>
      </c>
      <c r="E3392" t="s">
        <v>110</v>
      </c>
      <c r="F3392">
        <v>12</v>
      </c>
      <c r="G3392">
        <v>2030</v>
      </c>
      <c r="H3392">
        <v>8</v>
      </c>
      <c r="I3392">
        <v>2</v>
      </c>
    </row>
    <row r="3393" spans="1:9" x14ac:dyDescent="0.35">
      <c r="A3393" t="str">
        <f t="shared" si="52"/>
        <v>afrrincomeS1203082</v>
      </c>
      <c r="C3393" t="s">
        <v>103</v>
      </c>
      <c r="D3393" t="s">
        <v>101</v>
      </c>
      <c r="E3393" t="s">
        <v>110</v>
      </c>
      <c r="F3393">
        <v>206799.63075817071</v>
      </c>
      <c r="G3393">
        <v>2030</v>
      </c>
      <c r="H3393">
        <v>8</v>
      </c>
      <c r="I3393">
        <v>2</v>
      </c>
    </row>
    <row r="3394" spans="1:9" x14ac:dyDescent="0.35">
      <c r="A3394" t="str">
        <f t="shared" si="52"/>
        <v>afrractivation_hoursS1203082</v>
      </c>
      <c r="C3394" t="s">
        <v>103</v>
      </c>
      <c r="D3394" t="s">
        <v>115</v>
      </c>
      <c r="E3394" t="s">
        <v>110</v>
      </c>
      <c r="F3394">
        <v>8627</v>
      </c>
      <c r="G3394">
        <v>2030</v>
      </c>
      <c r="H3394">
        <v>8</v>
      </c>
      <c r="I3394">
        <v>2</v>
      </c>
    </row>
    <row r="3395" spans="1:9" x14ac:dyDescent="0.35">
      <c r="A3395" t="str">
        <f t="shared" ref="A3395:A3458" si="53">C3395&amp;D3395&amp;E3395&amp;G3395&amp;H3395&amp;I3395</f>
        <v>networkturpe_power_costS1203182</v>
      </c>
      <c r="C3395" t="s">
        <v>96</v>
      </c>
      <c r="D3395" t="s">
        <v>97</v>
      </c>
      <c r="E3395" t="s">
        <v>110</v>
      </c>
      <c r="F3395">
        <v>20051.052853035009</v>
      </c>
      <c r="G3395">
        <v>2031</v>
      </c>
      <c r="H3395">
        <v>8</v>
      </c>
      <c r="I3395">
        <v>2</v>
      </c>
    </row>
    <row r="3396" spans="1:9" x14ac:dyDescent="0.35">
      <c r="A3396" t="str">
        <f t="shared" si="53"/>
        <v>networkturpe_energy_costS1203182</v>
      </c>
      <c r="C3396" t="s">
        <v>96</v>
      </c>
      <c r="D3396" t="s">
        <v>98</v>
      </c>
      <c r="E3396" t="s">
        <v>110</v>
      </c>
      <c r="F3396">
        <v>31547.922060419591</v>
      </c>
      <c r="G3396">
        <v>2031</v>
      </c>
      <c r="H3396">
        <v>8</v>
      </c>
      <c r="I3396">
        <v>2</v>
      </c>
    </row>
    <row r="3397" spans="1:9" x14ac:dyDescent="0.35">
      <c r="A3397" t="str">
        <f t="shared" si="53"/>
        <v>DAcostS1203182</v>
      </c>
      <c r="C3397" t="s">
        <v>99</v>
      </c>
      <c r="D3397" t="s">
        <v>100</v>
      </c>
      <c r="E3397" t="s">
        <v>110</v>
      </c>
      <c r="F3397">
        <v>96728.759729075304</v>
      </c>
      <c r="G3397">
        <v>2031</v>
      </c>
      <c r="H3397">
        <v>8</v>
      </c>
      <c r="I3397">
        <v>2</v>
      </c>
    </row>
    <row r="3398" spans="1:9" x14ac:dyDescent="0.35">
      <c r="A3398" t="str">
        <f t="shared" si="53"/>
        <v>DAincomeS1203182</v>
      </c>
      <c r="C3398" t="s">
        <v>99</v>
      </c>
      <c r="D3398" t="s">
        <v>101</v>
      </c>
      <c r="E3398" t="s">
        <v>110</v>
      </c>
      <c r="F3398">
        <v>178254.97301412499</v>
      </c>
      <c r="G3398">
        <v>2031</v>
      </c>
      <c r="H3398">
        <v>8</v>
      </c>
      <c r="I3398">
        <v>2</v>
      </c>
    </row>
    <row r="3399" spans="1:9" x14ac:dyDescent="0.35">
      <c r="A3399" t="str">
        <f t="shared" si="53"/>
        <v>DAenergy_boughtS1203182</v>
      </c>
      <c r="C3399" t="s">
        <v>99</v>
      </c>
      <c r="D3399" t="s">
        <v>111</v>
      </c>
      <c r="E3399" t="s">
        <v>110</v>
      </c>
      <c r="F3399">
        <v>2052.4664207896599</v>
      </c>
      <c r="G3399">
        <v>2031</v>
      </c>
      <c r="H3399">
        <v>8</v>
      </c>
      <c r="I3399">
        <v>2</v>
      </c>
    </row>
    <row r="3400" spans="1:9" x14ac:dyDescent="0.35">
      <c r="A3400" t="str">
        <f t="shared" si="53"/>
        <v>DAenergy_soldS1203182</v>
      </c>
      <c r="C3400" t="s">
        <v>99</v>
      </c>
      <c r="D3400" t="s">
        <v>112</v>
      </c>
      <c r="E3400" t="s">
        <v>110</v>
      </c>
      <c r="F3400">
        <v>1634.998844636855</v>
      </c>
      <c r="G3400">
        <v>2031</v>
      </c>
      <c r="H3400">
        <v>8</v>
      </c>
      <c r="I3400">
        <v>2</v>
      </c>
    </row>
    <row r="3401" spans="1:9" x14ac:dyDescent="0.35">
      <c r="A3401" t="str">
        <f t="shared" si="53"/>
        <v>DAhours_boughtS1203182</v>
      </c>
      <c r="C3401" t="s">
        <v>99</v>
      </c>
      <c r="D3401" t="s">
        <v>113</v>
      </c>
      <c r="E3401" t="s">
        <v>110</v>
      </c>
      <c r="F3401">
        <v>1609</v>
      </c>
      <c r="G3401">
        <v>2031</v>
      </c>
      <c r="H3401">
        <v>8</v>
      </c>
      <c r="I3401">
        <v>2</v>
      </c>
    </row>
    <row r="3402" spans="1:9" x14ac:dyDescent="0.35">
      <c r="A3402" t="str">
        <f t="shared" si="53"/>
        <v>DAhours_soldS1203182</v>
      </c>
      <c r="C3402" t="s">
        <v>99</v>
      </c>
      <c r="D3402" t="s">
        <v>114</v>
      </c>
      <c r="E3402" t="s">
        <v>110</v>
      </c>
      <c r="F3402">
        <v>444</v>
      </c>
      <c r="G3402">
        <v>2031</v>
      </c>
      <c r="H3402">
        <v>8</v>
      </c>
      <c r="I3402">
        <v>2</v>
      </c>
    </row>
    <row r="3403" spans="1:9" x14ac:dyDescent="0.35">
      <c r="A3403" t="str">
        <f t="shared" si="53"/>
        <v>DAco2_emissionS1203182</v>
      </c>
      <c r="C3403" t="s">
        <v>99</v>
      </c>
      <c r="D3403" t="s">
        <v>204</v>
      </c>
      <c r="E3403" t="s">
        <v>110</v>
      </c>
      <c r="F3403">
        <v>143672.6494552755</v>
      </c>
      <c r="G3403">
        <v>2031</v>
      </c>
      <c r="H3403">
        <v>8</v>
      </c>
      <c r="I3403">
        <v>2</v>
      </c>
    </row>
    <row r="3404" spans="1:9" x14ac:dyDescent="0.35">
      <c r="A3404" t="str">
        <f t="shared" si="53"/>
        <v>fcrincomeS1203182</v>
      </c>
      <c r="C3404" t="s">
        <v>102</v>
      </c>
      <c r="D3404" t="s">
        <v>101</v>
      </c>
      <c r="E3404" t="s">
        <v>110</v>
      </c>
      <c r="F3404">
        <v>1.0116691675569729</v>
      </c>
      <c r="G3404">
        <v>2031</v>
      </c>
      <c r="H3404">
        <v>8</v>
      </c>
      <c r="I3404">
        <v>2</v>
      </c>
    </row>
    <row r="3405" spans="1:9" x14ac:dyDescent="0.35">
      <c r="A3405" t="str">
        <f t="shared" si="53"/>
        <v>fcractivation_hoursS1203182</v>
      </c>
      <c r="C3405" t="s">
        <v>102</v>
      </c>
      <c r="D3405" t="s">
        <v>115</v>
      </c>
      <c r="E3405" t="s">
        <v>110</v>
      </c>
      <c r="F3405">
        <v>4</v>
      </c>
      <c r="G3405">
        <v>2031</v>
      </c>
      <c r="H3405">
        <v>8</v>
      </c>
      <c r="I3405">
        <v>2</v>
      </c>
    </row>
    <row r="3406" spans="1:9" x14ac:dyDescent="0.35">
      <c r="A3406" t="str">
        <f t="shared" si="53"/>
        <v>afrrincomeS1203182</v>
      </c>
      <c r="C3406" t="s">
        <v>103</v>
      </c>
      <c r="D3406" t="s">
        <v>101</v>
      </c>
      <c r="E3406" t="s">
        <v>110</v>
      </c>
      <c r="F3406">
        <v>208482.8093349601</v>
      </c>
      <c r="G3406">
        <v>2031</v>
      </c>
      <c r="H3406">
        <v>8</v>
      </c>
      <c r="I3406">
        <v>2</v>
      </c>
    </row>
    <row r="3407" spans="1:9" x14ac:dyDescent="0.35">
      <c r="A3407" t="str">
        <f t="shared" si="53"/>
        <v>afrractivation_hoursS1203182</v>
      </c>
      <c r="C3407" t="s">
        <v>103</v>
      </c>
      <c r="D3407" t="s">
        <v>115</v>
      </c>
      <c r="E3407" t="s">
        <v>110</v>
      </c>
      <c r="F3407">
        <v>8588</v>
      </c>
      <c r="G3407">
        <v>2031</v>
      </c>
      <c r="H3407">
        <v>8</v>
      </c>
      <c r="I3407">
        <v>2</v>
      </c>
    </row>
    <row r="3408" spans="1:9" x14ac:dyDescent="0.35">
      <c r="A3408" t="str">
        <f t="shared" si="53"/>
        <v>networkturpe_power_costS1203282</v>
      </c>
      <c r="C3408" t="s">
        <v>96</v>
      </c>
      <c r="D3408" t="s">
        <v>97</v>
      </c>
      <c r="E3408" t="s">
        <v>110</v>
      </c>
      <c r="F3408">
        <v>19429.00722598179</v>
      </c>
      <c r="G3408">
        <v>2032</v>
      </c>
      <c r="H3408">
        <v>8</v>
      </c>
      <c r="I3408">
        <v>2</v>
      </c>
    </row>
    <row r="3409" spans="1:9" x14ac:dyDescent="0.35">
      <c r="A3409" t="str">
        <f t="shared" si="53"/>
        <v>networkturpe_energy_costS1203282</v>
      </c>
      <c r="C3409" t="s">
        <v>96</v>
      </c>
      <c r="D3409" t="s">
        <v>98</v>
      </c>
      <c r="E3409" t="s">
        <v>110</v>
      </c>
      <c r="F3409">
        <v>28934.103319519319</v>
      </c>
      <c r="G3409">
        <v>2032</v>
      </c>
      <c r="H3409">
        <v>8</v>
      </c>
      <c r="I3409">
        <v>2</v>
      </c>
    </row>
    <row r="3410" spans="1:9" x14ac:dyDescent="0.35">
      <c r="A3410" t="str">
        <f t="shared" si="53"/>
        <v>DAcostS1203282</v>
      </c>
      <c r="C3410" t="s">
        <v>99</v>
      </c>
      <c r="D3410" t="s">
        <v>100</v>
      </c>
      <c r="E3410" t="s">
        <v>110</v>
      </c>
      <c r="F3410">
        <v>94182.928674225404</v>
      </c>
      <c r="G3410">
        <v>2032</v>
      </c>
      <c r="H3410">
        <v>8</v>
      </c>
      <c r="I3410">
        <v>2</v>
      </c>
    </row>
    <row r="3411" spans="1:9" x14ac:dyDescent="0.35">
      <c r="A3411" t="str">
        <f t="shared" si="53"/>
        <v>DAincomeS1203282</v>
      </c>
      <c r="C3411" t="s">
        <v>99</v>
      </c>
      <c r="D3411" t="s">
        <v>101</v>
      </c>
      <c r="E3411" t="s">
        <v>110</v>
      </c>
      <c r="F3411">
        <v>175893.89142159559</v>
      </c>
      <c r="G3411">
        <v>2032</v>
      </c>
      <c r="H3411">
        <v>8</v>
      </c>
      <c r="I3411">
        <v>2</v>
      </c>
    </row>
    <row r="3412" spans="1:9" x14ac:dyDescent="0.35">
      <c r="A3412" t="str">
        <f t="shared" si="53"/>
        <v>DAenergy_boughtS1203282</v>
      </c>
      <c r="C3412" t="s">
        <v>99</v>
      </c>
      <c r="D3412" t="s">
        <v>111</v>
      </c>
      <c r="E3412" t="s">
        <v>110</v>
      </c>
      <c r="F3412">
        <v>2007.1609836823391</v>
      </c>
      <c r="G3412">
        <v>2032</v>
      </c>
      <c r="H3412">
        <v>8</v>
      </c>
      <c r="I3412">
        <v>2</v>
      </c>
    </row>
    <row r="3413" spans="1:9" x14ac:dyDescent="0.35">
      <c r="A3413" t="str">
        <f t="shared" si="53"/>
        <v>DAenergy_soldS1203282</v>
      </c>
      <c r="C3413" t="s">
        <v>99</v>
      </c>
      <c r="D3413" t="s">
        <v>112</v>
      </c>
      <c r="E3413" t="s">
        <v>110</v>
      </c>
      <c r="F3413">
        <v>1599.439511945993</v>
      </c>
      <c r="G3413">
        <v>2032</v>
      </c>
      <c r="H3413">
        <v>8</v>
      </c>
      <c r="I3413">
        <v>2</v>
      </c>
    </row>
    <row r="3414" spans="1:9" x14ac:dyDescent="0.35">
      <c r="A3414" t="str">
        <f t="shared" si="53"/>
        <v>DAhours_boughtS1203282</v>
      </c>
      <c r="C3414" t="s">
        <v>99</v>
      </c>
      <c r="D3414" t="s">
        <v>113</v>
      </c>
      <c r="E3414" t="s">
        <v>110</v>
      </c>
      <c r="F3414">
        <v>1722</v>
      </c>
      <c r="G3414">
        <v>2032</v>
      </c>
      <c r="H3414">
        <v>8</v>
      </c>
      <c r="I3414">
        <v>2</v>
      </c>
    </row>
    <row r="3415" spans="1:9" x14ac:dyDescent="0.35">
      <c r="A3415" t="str">
        <f t="shared" si="53"/>
        <v>DAhours_soldS1203282</v>
      </c>
      <c r="C3415" t="s">
        <v>99</v>
      </c>
      <c r="D3415" t="s">
        <v>114</v>
      </c>
      <c r="E3415" t="s">
        <v>110</v>
      </c>
      <c r="F3415">
        <v>435</v>
      </c>
      <c r="G3415">
        <v>2032</v>
      </c>
      <c r="H3415">
        <v>8</v>
      </c>
      <c r="I3415">
        <v>2</v>
      </c>
    </row>
    <row r="3416" spans="1:9" x14ac:dyDescent="0.35">
      <c r="A3416" t="str">
        <f t="shared" si="53"/>
        <v>DAco2_emissionS1203282</v>
      </c>
      <c r="C3416" t="s">
        <v>99</v>
      </c>
      <c r="D3416" t="s">
        <v>204</v>
      </c>
      <c r="E3416" t="s">
        <v>110</v>
      </c>
      <c r="F3416">
        <v>140501.26885776431</v>
      </c>
      <c r="G3416">
        <v>2032</v>
      </c>
      <c r="H3416">
        <v>8</v>
      </c>
      <c r="I3416">
        <v>2</v>
      </c>
    </row>
    <row r="3417" spans="1:9" x14ac:dyDescent="0.35">
      <c r="A3417" t="str">
        <f t="shared" si="53"/>
        <v>fcrincomeS1203282</v>
      </c>
      <c r="C3417" t="s">
        <v>102</v>
      </c>
      <c r="D3417" t="s">
        <v>101</v>
      </c>
      <c r="E3417" t="s">
        <v>110</v>
      </c>
      <c r="F3417">
        <v>17.310202340217678</v>
      </c>
      <c r="G3417">
        <v>2032</v>
      </c>
      <c r="H3417">
        <v>8</v>
      </c>
      <c r="I3417">
        <v>2</v>
      </c>
    </row>
    <row r="3418" spans="1:9" x14ac:dyDescent="0.35">
      <c r="A3418" t="str">
        <f t="shared" si="53"/>
        <v>fcractivation_hoursS1203282</v>
      </c>
      <c r="C3418" t="s">
        <v>102</v>
      </c>
      <c r="D3418" t="s">
        <v>115</v>
      </c>
      <c r="E3418" t="s">
        <v>110</v>
      </c>
      <c r="F3418">
        <v>12</v>
      </c>
      <c r="G3418">
        <v>2032</v>
      </c>
      <c r="H3418">
        <v>8</v>
      </c>
      <c r="I3418">
        <v>2</v>
      </c>
    </row>
    <row r="3419" spans="1:9" x14ac:dyDescent="0.35">
      <c r="A3419" t="str">
        <f t="shared" si="53"/>
        <v>afrrincomeS1203282</v>
      </c>
      <c r="C3419" t="s">
        <v>103</v>
      </c>
      <c r="D3419" t="s">
        <v>101</v>
      </c>
      <c r="E3419" t="s">
        <v>110</v>
      </c>
      <c r="F3419">
        <v>206663.25726615611</v>
      </c>
      <c r="G3419">
        <v>2032</v>
      </c>
      <c r="H3419">
        <v>8</v>
      </c>
      <c r="I3419">
        <v>2</v>
      </c>
    </row>
    <row r="3420" spans="1:9" x14ac:dyDescent="0.35">
      <c r="A3420" t="str">
        <f t="shared" si="53"/>
        <v>afrractivation_hoursS1203282</v>
      </c>
      <c r="C3420" t="s">
        <v>103</v>
      </c>
      <c r="D3420" t="s">
        <v>115</v>
      </c>
      <c r="E3420" t="s">
        <v>110</v>
      </c>
      <c r="F3420">
        <v>8540</v>
      </c>
      <c r="G3420">
        <v>2032</v>
      </c>
      <c r="H3420">
        <v>8</v>
      </c>
      <c r="I3420">
        <v>2</v>
      </c>
    </row>
    <row r="3421" spans="1:9" x14ac:dyDescent="0.35">
      <c r="A3421" t="str">
        <f t="shared" si="53"/>
        <v>networkturpe_power_costS1203382</v>
      </c>
      <c r="C3421" t="s">
        <v>96</v>
      </c>
      <c r="D3421" t="s">
        <v>97</v>
      </c>
      <c r="E3421" t="s">
        <v>110</v>
      </c>
      <c r="F3421">
        <v>18287.947156501741</v>
      </c>
      <c r="G3421">
        <v>2033</v>
      </c>
      <c r="H3421">
        <v>8</v>
      </c>
      <c r="I3421">
        <v>2</v>
      </c>
    </row>
    <row r="3422" spans="1:9" x14ac:dyDescent="0.35">
      <c r="A3422" t="str">
        <f t="shared" si="53"/>
        <v>networkturpe_energy_costS1203382</v>
      </c>
      <c r="C3422" t="s">
        <v>96</v>
      </c>
      <c r="D3422" t="s">
        <v>98</v>
      </c>
      <c r="E3422" t="s">
        <v>110</v>
      </c>
      <c r="F3422">
        <v>27959.746208635781</v>
      </c>
      <c r="G3422">
        <v>2033</v>
      </c>
      <c r="H3422">
        <v>8</v>
      </c>
      <c r="I3422">
        <v>2</v>
      </c>
    </row>
    <row r="3423" spans="1:9" x14ac:dyDescent="0.35">
      <c r="A3423" t="str">
        <f t="shared" si="53"/>
        <v>DAcostS1203382</v>
      </c>
      <c r="C3423" t="s">
        <v>99</v>
      </c>
      <c r="D3423" t="s">
        <v>100</v>
      </c>
      <c r="E3423" t="s">
        <v>110</v>
      </c>
      <c r="F3423">
        <v>88159.430923298991</v>
      </c>
      <c r="G3423">
        <v>2033</v>
      </c>
      <c r="H3423">
        <v>8</v>
      </c>
      <c r="I3423">
        <v>2</v>
      </c>
    </row>
    <row r="3424" spans="1:9" x14ac:dyDescent="0.35">
      <c r="A3424" t="str">
        <f t="shared" si="53"/>
        <v>DAincomeS1203382</v>
      </c>
      <c r="C3424" t="s">
        <v>99</v>
      </c>
      <c r="D3424" t="s">
        <v>101</v>
      </c>
      <c r="E3424" t="s">
        <v>110</v>
      </c>
      <c r="F3424">
        <v>164240.1572309818</v>
      </c>
      <c r="G3424">
        <v>2033</v>
      </c>
      <c r="H3424">
        <v>8</v>
      </c>
      <c r="I3424">
        <v>2</v>
      </c>
    </row>
    <row r="3425" spans="1:9" x14ac:dyDescent="0.35">
      <c r="A3425" t="str">
        <f t="shared" si="53"/>
        <v>DAenergy_boughtS1203382</v>
      </c>
      <c r="C3425" t="s">
        <v>99</v>
      </c>
      <c r="D3425" t="s">
        <v>111</v>
      </c>
      <c r="E3425" t="s">
        <v>110</v>
      </c>
      <c r="F3425">
        <v>1899.0309550901891</v>
      </c>
      <c r="G3425">
        <v>2033</v>
      </c>
      <c r="H3425">
        <v>8</v>
      </c>
      <c r="I3425">
        <v>2</v>
      </c>
    </row>
    <row r="3426" spans="1:9" x14ac:dyDescent="0.35">
      <c r="A3426" t="str">
        <f t="shared" si="53"/>
        <v>DAenergy_soldS1203382</v>
      </c>
      <c r="C3426" t="s">
        <v>99</v>
      </c>
      <c r="D3426" t="s">
        <v>112</v>
      </c>
      <c r="E3426" t="s">
        <v>110</v>
      </c>
      <c r="F3426">
        <v>1512.4244003991839</v>
      </c>
      <c r="G3426">
        <v>2033</v>
      </c>
      <c r="H3426">
        <v>8</v>
      </c>
      <c r="I3426">
        <v>2</v>
      </c>
    </row>
    <row r="3427" spans="1:9" x14ac:dyDescent="0.35">
      <c r="A3427" t="str">
        <f t="shared" si="53"/>
        <v>DAhours_boughtS1203382</v>
      </c>
      <c r="C3427" t="s">
        <v>99</v>
      </c>
      <c r="D3427" t="s">
        <v>113</v>
      </c>
      <c r="E3427" t="s">
        <v>110</v>
      </c>
      <c r="F3427">
        <v>1709</v>
      </c>
      <c r="G3427">
        <v>2033</v>
      </c>
      <c r="H3427">
        <v>8</v>
      </c>
      <c r="I3427">
        <v>2</v>
      </c>
    </row>
    <row r="3428" spans="1:9" x14ac:dyDescent="0.35">
      <c r="A3428" t="str">
        <f t="shared" si="53"/>
        <v>DAhours_soldS1203382</v>
      </c>
      <c r="C3428" t="s">
        <v>99</v>
      </c>
      <c r="D3428" t="s">
        <v>114</v>
      </c>
      <c r="E3428" t="s">
        <v>110</v>
      </c>
      <c r="F3428">
        <v>423</v>
      </c>
      <c r="G3428">
        <v>2033</v>
      </c>
      <c r="H3428">
        <v>8</v>
      </c>
      <c r="I3428">
        <v>2</v>
      </c>
    </row>
    <row r="3429" spans="1:9" x14ac:dyDescent="0.35">
      <c r="A3429" t="str">
        <f t="shared" si="53"/>
        <v>DAco2_emissionS1203382</v>
      </c>
      <c r="C3429" t="s">
        <v>99</v>
      </c>
      <c r="D3429" t="s">
        <v>204</v>
      </c>
      <c r="E3429" t="s">
        <v>110</v>
      </c>
      <c r="F3429">
        <v>132932.16685631231</v>
      </c>
      <c r="G3429">
        <v>2033</v>
      </c>
      <c r="H3429">
        <v>8</v>
      </c>
      <c r="I3429">
        <v>2</v>
      </c>
    </row>
    <row r="3430" spans="1:9" x14ac:dyDescent="0.35">
      <c r="A3430" t="str">
        <f t="shared" si="53"/>
        <v>fcrincomeS1203382</v>
      </c>
      <c r="C3430" t="s">
        <v>102</v>
      </c>
      <c r="D3430" t="s">
        <v>101</v>
      </c>
      <c r="E3430" t="s">
        <v>110</v>
      </c>
      <c r="F3430">
        <v>13.581602028067341</v>
      </c>
      <c r="G3430">
        <v>2033</v>
      </c>
      <c r="H3430">
        <v>8</v>
      </c>
      <c r="I3430">
        <v>2</v>
      </c>
    </row>
    <row r="3431" spans="1:9" x14ac:dyDescent="0.35">
      <c r="A3431" t="str">
        <f t="shared" si="53"/>
        <v>fcractivation_hoursS1203382</v>
      </c>
      <c r="C3431" t="s">
        <v>102</v>
      </c>
      <c r="D3431" t="s">
        <v>115</v>
      </c>
      <c r="E3431" t="s">
        <v>110</v>
      </c>
      <c r="F3431">
        <v>12</v>
      </c>
      <c r="G3431">
        <v>2033</v>
      </c>
      <c r="H3431">
        <v>8</v>
      </c>
      <c r="I3431">
        <v>2</v>
      </c>
    </row>
    <row r="3432" spans="1:9" x14ac:dyDescent="0.35">
      <c r="A3432" t="str">
        <f t="shared" si="53"/>
        <v>afrrincomeS1203382</v>
      </c>
      <c r="C3432" t="s">
        <v>103</v>
      </c>
      <c r="D3432" t="s">
        <v>101</v>
      </c>
      <c r="E3432" t="s">
        <v>110</v>
      </c>
      <c r="F3432">
        <v>212878.64550816049</v>
      </c>
      <c r="G3432">
        <v>2033</v>
      </c>
      <c r="H3432">
        <v>8</v>
      </c>
      <c r="I3432">
        <v>2</v>
      </c>
    </row>
    <row r="3433" spans="1:9" x14ac:dyDescent="0.35">
      <c r="A3433" t="str">
        <f t="shared" si="53"/>
        <v>afrractivation_hoursS1203382</v>
      </c>
      <c r="C3433" t="s">
        <v>103</v>
      </c>
      <c r="D3433" t="s">
        <v>115</v>
      </c>
      <c r="E3433" t="s">
        <v>110</v>
      </c>
      <c r="F3433">
        <v>8560</v>
      </c>
      <c r="G3433">
        <v>2033</v>
      </c>
      <c r="H3433">
        <v>8</v>
      </c>
      <c r="I3433">
        <v>2</v>
      </c>
    </row>
    <row r="3434" spans="1:9" x14ac:dyDescent="0.35">
      <c r="A3434" t="str">
        <f t="shared" si="53"/>
        <v>networkturpe_power_costS1203482</v>
      </c>
      <c r="C3434" t="s">
        <v>96</v>
      </c>
      <c r="D3434" t="s">
        <v>97</v>
      </c>
      <c r="E3434" t="s">
        <v>110</v>
      </c>
      <c r="F3434">
        <v>18833.433621064331</v>
      </c>
      <c r="G3434">
        <v>2034</v>
      </c>
      <c r="H3434">
        <v>8</v>
      </c>
      <c r="I3434">
        <v>2</v>
      </c>
    </row>
    <row r="3435" spans="1:9" x14ac:dyDescent="0.35">
      <c r="A3435" t="str">
        <f t="shared" si="53"/>
        <v>networkturpe_energy_costS1203482</v>
      </c>
      <c r="C3435" t="s">
        <v>96</v>
      </c>
      <c r="D3435" t="s">
        <v>98</v>
      </c>
      <c r="E3435" t="s">
        <v>110</v>
      </c>
      <c r="F3435">
        <v>29264.735705549429</v>
      </c>
      <c r="G3435">
        <v>2034</v>
      </c>
      <c r="H3435">
        <v>8</v>
      </c>
      <c r="I3435">
        <v>2</v>
      </c>
    </row>
    <row r="3436" spans="1:9" x14ac:dyDescent="0.35">
      <c r="A3436" t="str">
        <f t="shared" si="53"/>
        <v>DAcostS1203482</v>
      </c>
      <c r="C3436" t="s">
        <v>99</v>
      </c>
      <c r="D3436" t="s">
        <v>100</v>
      </c>
      <c r="E3436" t="s">
        <v>110</v>
      </c>
      <c r="F3436">
        <v>88705.217560170247</v>
      </c>
      <c r="G3436">
        <v>2034</v>
      </c>
      <c r="H3436">
        <v>8</v>
      </c>
      <c r="I3436">
        <v>2</v>
      </c>
    </row>
    <row r="3437" spans="1:9" x14ac:dyDescent="0.35">
      <c r="A3437" t="str">
        <f t="shared" si="53"/>
        <v>DAincomeS1203482</v>
      </c>
      <c r="C3437" t="s">
        <v>99</v>
      </c>
      <c r="D3437" t="s">
        <v>101</v>
      </c>
      <c r="E3437" t="s">
        <v>110</v>
      </c>
      <c r="F3437">
        <v>166771.03736837581</v>
      </c>
      <c r="G3437">
        <v>2034</v>
      </c>
      <c r="H3437">
        <v>8</v>
      </c>
      <c r="I3437">
        <v>2</v>
      </c>
    </row>
    <row r="3438" spans="1:9" x14ac:dyDescent="0.35">
      <c r="A3438" t="str">
        <f t="shared" si="53"/>
        <v>DAenergy_boughtS1203482</v>
      </c>
      <c r="C3438" t="s">
        <v>99</v>
      </c>
      <c r="D3438" t="s">
        <v>111</v>
      </c>
      <c r="E3438" t="s">
        <v>110</v>
      </c>
      <c r="F3438">
        <v>1899.587771244019</v>
      </c>
      <c r="G3438">
        <v>2034</v>
      </c>
      <c r="H3438">
        <v>8</v>
      </c>
      <c r="I3438">
        <v>2</v>
      </c>
    </row>
    <row r="3439" spans="1:9" x14ac:dyDescent="0.35">
      <c r="A3439" t="str">
        <f t="shared" si="53"/>
        <v>DAenergy_soldS1203482</v>
      </c>
      <c r="C3439" t="s">
        <v>99</v>
      </c>
      <c r="D3439" t="s">
        <v>112</v>
      </c>
      <c r="E3439" t="s">
        <v>110</v>
      </c>
      <c r="F3439">
        <v>1513.557955414979</v>
      </c>
      <c r="G3439">
        <v>2034</v>
      </c>
      <c r="H3439">
        <v>8</v>
      </c>
      <c r="I3439">
        <v>2</v>
      </c>
    </row>
    <row r="3440" spans="1:9" x14ac:dyDescent="0.35">
      <c r="A3440" t="str">
        <f t="shared" si="53"/>
        <v>DAhours_boughtS1203482</v>
      </c>
      <c r="C3440" t="s">
        <v>99</v>
      </c>
      <c r="D3440" t="s">
        <v>113</v>
      </c>
      <c r="E3440" t="s">
        <v>110</v>
      </c>
      <c r="F3440">
        <v>1777</v>
      </c>
      <c r="G3440">
        <v>2034</v>
      </c>
      <c r="H3440">
        <v>8</v>
      </c>
      <c r="I3440">
        <v>2</v>
      </c>
    </row>
    <row r="3441" spans="1:9" x14ac:dyDescent="0.35">
      <c r="A3441" t="str">
        <f t="shared" si="53"/>
        <v>DAhours_soldS1203482</v>
      </c>
      <c r="C3441" t="s">
        <v>99</v>
      </c>
      <c r="D3441" t="s">
        <v>114</v>
      </c>
      <c r="E3441" t="s">
        <v>110</v>
      </c>
      <c r="F3441">
        <v>428</v>
      </c>
      <c r="G3441">
        <v>2034</v>
      </c>
      <c r="H3441">
        <v>8</v>
      </c>
      <c r="I3441">
        <v>2</v>
      </c>
    </row>
    <row r="3442" spans="1:9" x14ac:dyDescent="0.35">
      <c r="A3442" t="str">
        <f t="shared" si="53"/>
        <v>DAco2_emissionS1203482</v>
      </c>
      <c r="C3442" t="s">
        <v>99</v>
      </c>
      <c r="D3442" t="s">
        <v>204</v>
      </c>
      <c r="E3442" t="s">
        <v>110</v>
      </c>
      <c r="F3442">
        <v>132971.14398708049</v>
      </c>
      <c r="G3442">
        <v>2034</v>
      </c>
      <c r="H3442">
        <v>8</v>
      </c>
      <c r="I3442">
        <v>2</v>
      </c>
    </row>
    <row r="3443" spans="1:9" x14ac:dyDescent="0.35">
      <c r="A3443" t="str">
        <f t="shared" si="53"/>
        <v>fcrincomeS1203482</v>
      </c>
      <c r="C3443" t="s">
        <v>102</v>
      </c>
      <c r="D3443" t="s">
        <v>101</v>
      </c>
      <c r="E3443" t="s">
        <v>110</v>
      </c>
      <c r="F3443">
        <v>2.4160167429575901</v>
      </c>
      <c r="G3443">
        <v>2034</v>
      </c>
      <c r="H3443">
        <v>8</v>
      </c>
      <c r="I3443">
        <v>2</v>
      </c>
    </row>
    <row r="3444" spans="1:9" x14ac:dyDescent="0.35">
      <c r="A3444" t="str">
        <f t="shared" si="53"/>
        <v>fcractivation_hoursS1203482</v>
      </c>
      <c r="C3444" t="s">
        <v>102</v>
      </c>
      <c r="D3444" t="s">
        <v>115</v>
      </c>
      <c r="E3444" t="s">
        <v>110</v>
      </c>
      <c r="F3444">
        <v>4</v>
      </c>
      <c r="G3444">
        <v>2034</v>
      </c>
      <c r="H3444">
        <v>8</v>
      </c>
      <c r="I3444">
        <v>2</v>
      </c>
    </row>
    <row r="3445" spans="1:9" x14ac:dyDescent="0.35">
      <c r="A3445" t="str">
        <f t="shared" si="53"/>
        <v>afrrincomeS1203482</v>
      </c>
      <c r="C3445" t="s">
        <v>103</v>
      </c>
      <c r="D3445" t="s">
        <v>101</v>
      </c>
      <c r="E3445" t="s">
        <v>110</v>
      </c>
      <c r="F3445">
        <v>224444.11538423511</v>
      </c>
      <c r="G3445">
        <v>2034</v>
      </c>
      <c r="H3445">
        <v>8</v>
      </c>
      <c r="I3445">
        <v>2</v>
      </c>
    </row>
    <row r="3446" spans="1:9" x14ac:dyDescent="0.35">
      <c r="A3446" t="str">
        <f t="shared" si="53"/>
        <v>afrractivation_hoursS1203482</v>
      </c>
      <c r="C3446" t="s">
        <v>103</v>
      </c>
      <c r="D3446" t="s">
        <v>115</v>
      </c>
      <c r="E3446" t="s">
        <v>110</v>
      </c>
      <c r="F3446">
        <v>8567</v>
      </c>
      <c r="G3446">
        <v>2034</v>
      </c>
      <c r="H3446">
        <v>8</v>
      </c>
      <c r="I3446">
        <v>2</v>
      </c>
    </row>
    <row r="3447" spans="1:9" x14ac:dyDescent="0.35">
      <c r="A3447" t="str">
        <f t="shared" si="53"/>
        <v>networkturpe_power_costS1203582</v>
      </c>
      <c r="C3447" t="s">
        <v>96</v>
      </c>
      <c r="D3447" t="s">
        <v>97</v>
      </c>
      <c r="E3447" t="s">
        <v>110</v>
      </c>
      <c r="F3447">
        <v>18438.676248184391</v>
      </c>
      <c r="G3447">
        <v>2035</v>
      </c>
      <c r="H3447">
        <v>8</v>
      </c>
      <c r="I3447">
        <v>2</v>
      </c>
    </row>
    <row r="3448" spans="1:9" x14ac:dyDescent="0.35">
      <c r="A3448" t="str">
        <f t="shared" si="53"/>
        <v>networkturpe_energy_costS1203582</v>
      </c>
      <c r="C3448" t="s">
        <v>96</v>
      </c>
      <c r="D3448" t="s">
        <v>98</v>
      </c>
      <c r="E3448" t="s">
        <v>110</v>
      </c>
      <c r="F3448">
        <v>28054.982013802859</v>
      </c>
      <c r="G3448">
        <v>2035</v>
      </c>
      <c r="H3448">
        <v>8</v>
      </c>
      <c r="I3448">
        <v>2</v>
      </c>
    </row>
    <row r="3449" spans="1:9" x14ac:dyDescent="0.35">
      <c r="A3449" t="str">
        <f t="shared" si="53"/>
        <v>DAcostS1203582</v>
      </c>
      <c r="C3449" t="s">
        <v>99</v>
      </c>
      <c r="D3449" t="s">
        <v>100</v>
      </c>
      <c r="E3449" t="s">
        <v>110</v>
      </c>
      <c r="F3449">
        <v>81278.756535587934</v>
      </c>
      <c r="G3449">
        <v>2035</v>
      </c>
      <c r="H3449">
        <v>8</v>
      </c>
      <c r="I3449">
        <v>2</v>
      </c>
    </row>
    <row r="3450" spans="1:9" x14ac:dyDescent="0.35">
      <c r="A3450" t="str">
        <f t="shared" si="53"/>
        <v>DAincomeS1203582</v>
      </c>
      <c r="C3450" t="s">
        <v>99</v>
      </c>
      <c r="D3450" t="s">
        <v>101</v>
      </c>
      <c r="E3450" t="s">
        <v>110</v>
      </c>
      <c r="F3450">
        <v>155375.6238290075</v>
      </c>
      <c r="G3450">
        <v>2035</v>
      </c>
      <c r="H3450">
        <v>8</v>
      </c>
      <c r="I3450">
        <v>2</v>
      </c>
    </row>
    <row r="3451" spans="1:9" x14ac:dyDescent="0.35">
      <c r="A3451" t="str">
        <f t="shared" si="53"/>
        <v>DAenergy_boughtS1203582</v>
      </c>
      <c r="C3451" t="s">
        <v>99</v>
      </c>
      <c r="D3451" t="s">
        <v>111</v>
      </c>
      <c r="E3451" t="s">
        <v>110</v>
      </c>
      <c r="F3451">
        <v>1820.873232405738</v>
      </c>
      <c r="G3451">
        <v>2035</v>
      </c>
      <c r="H3451">
        <v>8</v>
      </c>
      <c r="I3451">
        <v>2</v>
      </c>
    </row>
    <row r="3452" spans="1:9" x14ac:dyDescent="0.35">
      <c r="A3452" t="str">
        <f t="shared" si="53"/>
        <v>DAenergy_soldS1203582</v>
      </c>
      <c r="C3452" t="s">
        <v>99</v>
      </c>
      <c r="D3452" t="s">
        <v>112</v>
      </c>
      <c r="E3452" t="s">
        <v>110</v>
      </c>
      <c r="F3452">
        <v>1450.4628340079871</v>
      </c>
      <c r="G3452">
        <v>2035</v>
      </c>
      <c r="H3452">
        <v>8</v>
      </c>
      <c r="I3452">
        <v>2</v>
      </c>
    </row>
    <row r="3453" spans="1:9" x14ac:dyDescent="0.35">
      <c r="A3453" t="str">
        <f t="shared" si="53"/>
        <v>DAhours_boughtS1203582</v>
      </c>
      <c r="C3453" t="s">
        <v>99</v>
      </c>
      <c r="D3453" t="s">
        <v>113</v>
      </c>
      <c r="E3453" t="s">
        <v>110</v>
      </c>
      <c r="F3453">
        <v>1800</v>
      </c>
      <c r="G3453">
        <v>2035</v>
      </c>
      <c r="H3453">
        <v>8</v>
      </c>
      <c r="I3453">
        <v>2</v>
      </c>
    </row>
    <row r="3454" spans="1:9" x14ac:dyDescent="0.35">
      <c r="A3454" t="str">
        <f t="shared" si="53"/>
        <v>DAhours_soldS1203582</v>
      </c>
      <c r="C3454" t="s">
        <v>99</v>
      </c>
      <c r="D3454" t="s">
        <v>114</v>
      </c>
      <c r="E3454" t="s">
        <v>110</v>
      </c>
      <c r="F3454">
        <v>426</v>
      </c>
      <c r="G3454">
        <v>2035</v>
      </c>
      <c r="H3454">
        <v>8</v>
      </c>
      <c r="I3454">
        <v>2</v>
      </c>
    </row>
    <row r="3455" spans="1:9" x14ac:dyDescent="0.35">
      <c r="A3455" t="str">
        <f t="shared" si="53"/>
        <v>DAco2_emissionS1203582</v>
      </c>
      <c r="C3455" t="s">
        <v>99</v>
      </c>
      <c r="D3455" t="s">
        <v>204</v>
      </c>
      <c r="E3455" t="s">
        <v>110</v>
      </c>
      <c r="F3455">
        <v>127461.1262684008</v>
      </c>
      <c r="G3455">
        <v>2035</v>
      </c>
      <c r="H3455">
        <v>8</v>
      </c>
      <c r="I3455">
        <v>2</v>
      </c>
    </row>
    <row r="3456" spans="1:9" x14ac:dyDescent="0.35">
      <c r="A3456" t="str">
        <f t="shared" si="53"/>
        <v>fcrincomeS1203582</v>
      </c>
      <c r="C3456" t="s">
        <v>102</v>
      </c>
      <c r="D3456" t="s">
        <v>101</v>
      </c>
      <c r="E3456" t="s">
        <v>110</v>
      </c>
      <c r="F3456">
        <v>0</v>
      </c>
      <c r="G3456">
        <v>2035</v>
      </c>
      <c r="H3456">
        <v>8</v>
      </c>
      <c r="I3456">
        <v>2</v>
      </c>
    </row>
    <row r="3457" spans="1:9" x14ac:dyDescent="0.35">
      <c r="A3457" t="str">
        <f t="shared" si="53"/>
        <v>fcractivation_hoursS1203582</v>
      </c>
      <c r="C3457" t="s">
        <v>102</v>
      </c>
      <c r="D3457" t="s">
        <v>115</v>
      </c>
      <c r="E3457" t="s">
        <v>110</v>
      </c>
      <c r="F3457">
        <v>0</v>
      </c>
      <c r="G3457">
        <v>2035</v>
      </c>
      <c r="H3457">
        <v>8</v>
      </c>
      <c r="I3457">
        <v>2</v>
      </c>
    </row>
    <row r="3458" spans="1:9" x14ac:dyDescent="0.35">
      <c r="A3458" t="str">
        <f t="shared" si="53"/>
        <v>afrrincomeS1203582</v>
      </c>
      <c r="C3458" t="s">
        <v>103</v>
      </c>
      <c r="D3458" t="s">
        <v>101</v>
      </c>
      <c r="E3458" t="s">
        <v>110</v>
      </c>
      <c r="F3458">
        <v>223376.77949165489</v>
      </c>
      <c r="G3458">
        <v>2035</v>
      </c>
      <c r="H3458">
        <v>8</v>
      </c>
      <c r="I3458">
        <v>2</v>
      </c>
    </row>
    <row r="3459" spans="1:9" x14ac:dyDescent="0.35">
      <c r="A3459" t="str">
        <f t="shared" ref="A3459:A3522" si="54">C3459&amp;D3459&amp;E3459&amp;G3459&amp;H3459&amp;I3459</f>
        <v>afrractivation_hoursS1203582</v>
      </c>
      <c r="C3459" t="s">
        <v>103</v>
      </c>
      <c r="D3459" t="s">
        <v>115</v>
      </c>
      <c r="E3459" t="s">
        <v>110</v>
      </c>
      <c r="F3459">
        <v>8586</v>
      </c>
      <c r="G3459">
        <v>2035</v>
      </c>
      <c r="H3459">
        <v>8</v>
      </c>
      <c r="I3459">
        <v>2</v>
      </c>
    </row>
    <row r="3460" spans="1:9" x14ac:dyDescent="0.35">
      <c r="A3460" t="str">
        <f t="shared" si="54"/>
        <v>networkturpe_power_costS1203682</v>
      </c>
      <c r="C3460" t="s">
        <v>96</v>
      </c>
      <c r="D3460" t="s">
        <v>97</v>
      </c>
      <c r="E3460" t="s">
        <v>110</v>
      </c>
      <c r="F3460">
        <v>17291.02741977193</v>
      </c>
      <c r="G3460">
        <v>2036</v>
      </c>
      <c r="H3460">
        <v>8</v>
      </c>
      <c r="I3460">
        <v>2</v>
      </c>
    </row>
    <row r="3461" spans="1:9" x14ac:dyDescent="0.35">
      <c r="A3461" t="str">
        <f t="shared" si="54"/>
        <v>networkturpe_energy_costS1203682</v>
      </c>
      <c r="C3461" t="s">
        <v>96</v>
      </c>
      <c r="D3461" t="s">
        <v>98</v>
      </c>
      <c r="E3461" t="s">
        <v>110</v>
      </c>
      <c r="F3461">
        <v>27136.32234004579</v>
      </c>
      <c r="G3461">
        <v>2036</v>
      </c>
      <c r="H3461">
        <v>8</v>
      </c>
      <c r="I3461">
        <v>2</v>
      </c>
    </row>
    <row r="3462" spans="1:9" x14ac:dyDescent="0.35">
      <c r="A3462" t="str">
        <f t="shared" si="54"/>
        <v>DAcostS1203682</v>
      </c>
      <c r="C3462" t="s">
        <v>99</v>
      </c>
      <c r="D3462" t="s">
        <v>100</v>
      </c>
      <c r="E3462" t="s">
        <v>110</v>
      </c>
      <c r="F3462">
        <v>79983.513176487671</v>
      </c>
      <c r="G3462">
        <v>2036</v>
      </c>
      <c r="H3462">
        <v>8</v>
      </c>
      <c r="I3462">
        <v>2</v>
      </c>
    </row>
    <row r="3463" spans="1:9" x14ac:dyDescent="0.35">
      <c r="A3463" t="str">
        <f t="shared" si="54"/>
        <v>DAincomeS1203682</v>
      </c>
      <c r="C3463" t="s">
        <v>99</v>
      </c>
      <c r="D3463" t="s">
        <v>101</v>
      </c>
      <c r="E3463" t="s">
        <v>110</v>
      </c>
      <c r="F3463">
        <v>153145.46829393069</v>
      </c>
      <c r="G3463">
        <v>2036</v>
      </c>
      <c r="H3463">
        <v>8</v>
      </c>
      <c r="I3463">
        <v>2</v>
      </c>
    </row>
    <row r="3464" spans="1:9" x14ac:dyDescent="0.35">
      <c r="A3464" t="str">
        <f t="shared" si="54"/>
        <v>DAenergy_boughtS1203682</v>
      </c>
      <c r="C3464" t="s">
        <v>99</v>
      </c>
      <c r="D3464" t="s">
        <v>111</v>
      </c>
      <c r="E3464" t="s">
        <v>110</v>
      </c>
      <c r="F3464">
        <v>1748.2904818794</v>
      </c>
      <c r="G3464">
        <v>2036</v>
      </c>
      <c r="H3464">
        <v>8</v>
      </c>
      <c r="I3464">
        <v>2</v>
      </c>
    </row>
    <row r="3465" spans="1:9" x14ac:dyDescent="0.35">
      <c r="A3465" t="str">
        <f t="shared" si="54"/>
        <v>DAenergy_soldS1203682</v>
      </c>
      <c r="C3465" t="s">
        <v>99</v>
      </c>
      <c r="D3465" t="s">
        <v>112</v>
      </c>
      <c r="E3465" t="s">
        <v>110</v>
      </c>
      <c r="F3465">
        <v>1392.5162599495741</v>
      </c>
      <c r="G3465">
        <v>2036</v>
      </c>
      <c r="H3465">
        <v>8</v>
      </c>
      <c r="I3465">
        <v>2</v>
      </c>
    </row>
    <row r="3466" spans="1:9" x14ac:dyDescent="0.35">
      <c r="A3466" t="str">
        <f t="shared" si="54"/>
        <v>DAhours_boughtS1203682</v>
      </c>
      <c r="C3466" t="s">
        <v>99</v>
      </c>
      <c r="D3466" t="s">
        <v>113</v>
      </c>
      <c r="E3466" t="s">
        <v>110</v>
      </c>
      <c r="F3466">
        <v>1753</v>
      </c>
      <c r="G3466">
        <v>2036</v>
      </c>
      <c r="H3466">
        <v>8</v>
      </c>
      <c r="I3466">
        <v>2</v>
      </c>
    </row>
    <row r="3467" spans="1:9" x14ac:dyDescent="0.35">
      <c r="A3467" t="str">
        <f t="shared" si="54"/>
        <v>DAhours_soldS1203682</v>
      </c>
      <c r="C3467" t="s">
        <v>99</v>
      </c>
      <c r="D3467" t="s">
        <v>114</v>
      </c>
      <c r="E3467" t="s">
        <v>110</v>
      </c>
      <c r="F3467">
        <v>449</v>
      </c>
      <c r="G3467">
        <v>2036</v>
      </c>
      <c r="H3467">
        <v>8</v>
      </c>
      <c r="I3467">
        <v>2</v>
      </c>
    </row>
    <row r="3468" spans="1:9" x14ac:dyDescent="0.35">
      <c r="A3468" t="str">
        <f t="shared" si="54"/>
        <v>DAco2_emissionS1203682</v>
      </c>
      <c r="C3468" t="s">
        <v>99</v>
      </c>
      <c r="D3468" t="s">
        <v>204</v>
      </c>
      <c r="E3468" t="s">
        <v>110</v>
      </c>
      <c r="F3468">
        <v>122380.3337315586</v>
      </c>
      <c r="G3468">
        <v>2036</v>
      </c>
      <c r="H3468">
        <v>8</v>
      </c>
      <c r="I3468">
        <v>2</v>
      </c>
    </row>
    <row r="3469" spans="1:9" x14ac:dyDescent="0.35">
      <c r="A3469" t="str">
        <f t="shared" si="54"/>
        <v>fcrincomeS1203682</v>
      </c>
      <c r="C3469" t="s">
        <v>102</v>
      </c>
      <c r="D3469" t="s">
        <v>101</v>
      </c>
      <c r="E3469" t="s">
        <v>110</v>
      </c>
      <c r="F3469">
        <v>6.2510195460357876</v>
      </c>
      <c r="G3469">
        <v>2036</v>
      </c>
      <c r="H3469">
        <v>8</v>
      </c>
      <c r="I3469">
        <v>2</v>
      </c>
    </row>
    <row r="3470" spans="1:9" x14ac:dyDescent="0.35">
      <c r="A3470" t="str">
        <f t="shared" si="54"/>
        <v>fcractivation_hoursS1203682</v>
      </c>
      <c r="C3470" t="s">
        <v>102</v>
      </c>
      <c r="D3470" t="s">
        <v>115</v>
      </c>
      <c r="E3470" t="s">
        <v>110</v>
      </c>
      <c r="F3470">
        <v>4</v>
      </c>
      <c r="G3470">
        <v>2036</v>
      </c>
      <c r="H3470">
        <v>8</v>
      </c>
      <c r="I3470">
        <v>2</v>
      </c>
    </row>
    <row r="3471" spans="1:9" x14ac:dyDescent="0.35">
      <c r="A3471" t="str">
        <f t="shared" si="54"/>
        <v>afrrincomeS1203682</v>
      </c>
      <c r="C3471" t="s">
        <v>103</v>
      </c>
      <c r="D3471" t="s">
        <v>101</v>
      </c>
      <c r="E3471" t="s">
        <v>110</v>
      </c>
      <c r="F3471">
        <v>212239.25071390849</v>
      </c>
      <c r="G3471">
        <v>2036</v>
      </c>
      <c r="H3471">
        <v>8</v>
      </c>
      <c r="I3471">
        <v>2</v>
      </c>
    </row>
    <row r="3472" spans="1:9" x14ac:dyDescent="0.35">
      <c r="A3472" t="str">
        <f t="shared" si="54"/>
        <v>afrractivation_hoursS1203682</v>
      </c>
      <c r="C3472" t="s">
        <v>103</v>
      </c>
      <c r="D3472" t="s">
        <v>115</v>
      </c>
      <c r="E3472" t="s">
        <v>110</v>
      </c>
      <c r="F3472">
        <v>8543</v>
      </c>
      <c r="G3472">
        <v>2036</v>
      </c>
      <c r="H3472">
        <v>8</v>
      </c>
      <c r="I3472">
        <v>2</v>
      </c>
    </row>
    <row r="3473" spans="1:9" x14ac:dyDescent="0.35">
      <c r="A3473" t="str">
        <f t="shared" si="54"/>
        <v>networkturpe_power_costS1203782</v>
      </c>
      <c r="C3473" t="s">
        <v>96</v>
      </c>
      <c r="D3473" t="s">
        <v>97</v>
      </c>
      <c r="E3473" t="s">
        <v>110</v>
      </c>
      <c r="F3473">
        <v>16609.387548566079</v>
      </c>
      <c r="G3473">
        <v>2037</v>
      </c>
      <c r="H3473">
        <v>8</v>
      </c>
      <c r="I3473">
        <v>2</v>
      </c>
    </row>
    <row r="3474" spans="1:9" x14ac:dyDescent="0.35">
      <c r="A3474" t="str">
        <f t="shared" si="54"/>
        <v>networkturpe_energy_costS1203782</v>
      </c>
      <c r="C3474" t="s">
        <v>96</v>
      </c>
      <c r="D3474" t="s">
        <v>98</v>
      </c>
      <c r="E3474" t="s">
        <v>110</v>
      </c>
      <c r="F3474">
        <v>24119.305330582989</v>
      </c>
      <c r="G3474">
        <v>2037</v>
      </c>
      <c r="H3474">
        <v>8</v>
      </c>
      <c r="I3474">
        <v>2</v>
      </c>
    </row>
    <row r="3475" spans="1:9" x14ac:dyDescent="0.35">
      <c r="A3475" t="str">
        <f t="shared" si="54"/>
        <v>DAcostS1203782</v>
      </c>
      <c r="C3475" t="s">
        <v>99</v>
      </c>
      <c r="D3475" t="s">
        <v>100</v>
      </c>
      <c r="E3475" t="s">
        <v>110</v>
      </c>
      <c r="F3475">
        <v>68344.555487889302</v>
      </c>
      <c r="G3475">
        <v>2037</v>
      </c>
      <c r="H3475">
        <v>8</v>
      </c>
      <c r="I3475">
        <v>2</v>
      </c>
    </row>
    <row r="3476" spans="1:9" x14ac:dyDescent="0.35">
      <c r="A3476" t="str">
        <f t="shared" si="54"/>
        <v>DAincomeS1203782</v>
      </c>
      <c r="C3476" t="s">
        <v>99</v>
      </c>
      <c r="D3476" t="s">
        <v>101</v>
      </c>
      <c r="E3476" t="s">
        <v>110</v>
      </c>
      <c r="F3476">
        <v>133778.54016612851</v>
      </c>
      <c r="G3476">
        <v>2037</v>
      </c>
      <c r="H3476">
        <v>8</v>
      </c>
      <c r="I3476">
        <v>2</v>
      </c>
    </row>
    <row r="3477" spans="1:9" x14ac:dyDescent="0.35">
      <c r="A3477" t="str">
        <f t="shared" si="54"/>
        <v>DAenergy_boughtS1203782</v>
      </c>
      <c r="C3477" t="s">
        <v>99</v>
      </c>
      <c r="D3477" t="s">
        <v>111</v>
      </c>
      <c r="E3477" t="s">
        <v>110</v>
      </c>
      <c r="F3477">
        <v>1561.140967534908</v>
      </c>
      <c r="G3477">
        <v>2037</v>
      </c>
      <c r="H3477">
        <v>8</v>
      </c>
      <c r="I3477">
        <v>2</v>
      </c>
    </row>
    <row r="3478" spans="1:9" x14ac:dyDescent="0.35">
      <c r="A3478" t="str">
        <f t="shared" si="54"/>
        <v>DAenergy_soldS1203782</v>
      </c>
      <c r="C3478" t="s">
        <v>99</v>
      </c>
      <c r="D3478" t="s">
        <v>112</v>
      </c>
      <c r="E3478" t="s">
        <v>110</v>
      </c>
      <c r="F3478">
        <v>1241.309684346784</v>
      </c>
      <c r="G3478">
        <v>2037</v>
      </c>
      <c r="H3478">
        <v>8</v>
      </c>
      <c r="I3478">
        <v>2</v>
      </c>
    </row>
    <row r="3479" spans="1:9" x14ac:dyDescent="0.35">
      <c r="A3479" t="str">
        <f t="shared" si="54"/>
        <v>DAhours_boughtS1203782</v>
      </c>
      <c r="C3479" t="s">
        <v>99</v>
      </c>
      <c r="D3479" t="s">
        <v>113</v>
      </c>
      <c r="E3479" t="s">
        <v>110</v>
      </c>
      <c r="F3479">
        <v>1772</v>
      </c>
      <c r="G3479">
        <v>2037</v>
      </c>
      <c r="H3479">
        <v>8</v>
      </c>
      <c r="I3479">
        <v>2</v>
      </c>
    </row>
    <row r="3480" spans="1:9" x14ac:dyDescent="0.35">
      <c r="A3480" t="str">
        <f t="shared" si="54"/>
        <v>DAhours_soldS1203782</v>
      </c>
      <c r="C3480" t="s">
        <v>99</v>
      </c>
      <c r="D3480" t="s">
        <v>114</v>
      </c>
      <c r="E3480" t="s">
        <v>110</v>
      </c>
      <c r="F3480">
        <v>425</v>
      </c>
      <c r="G3480">
        <v>2037</v>
      </c>
      <c r="H3480">
        <v>8</v>
      </c>
      <c r="I3480">
        <v>2</v>
      </c>
    </row>
    <row r="3481" spans="1:9" x14ac:dyDescent="0.35">
      <c r="A3481" t="str">
        <f t="shared" si="54"/>
        <v>DAco2_emissionS1203782</v>
      </c>
      <c r="C3481" t="s">
        <v>99</v>
      </c>
      <c r="D3481" t="s">
        <v>204</v>
      </c>
      <c r="E3481" t="s">
        <v>110</v>
      </c>
      <c r="F3481">
        <v>109279.8677274436</v>
      </c>
      <c r="G3481">
        <v>2037</v>
      </c>
      <c r="H3481">
        <v>8</v>
      </c>
      <c r="I3481">
        <v>2</v>
      </c>
    </row>
    <row r="3482" spans="1:9" x14ac:dyDescent="0.35">
      <c r="A3482" t="str">
        <f t="shared" si="54"/>
        <v>fcrincomeS1203782</v>
      </c>
      <c r="C3482" t="s">
        <v>102</v>
      </c>
      <c r="D3482" t="s">
        <v>101</v>
      </c>
      <c r="E3482" t="s">
        <v>110</v>
      </c>
      <c r="F3482">
        <v>4.2410262374479872</v>
      </c>
      <c r="G3482">
        <v>2037</v>
      </c>
      <c r="H3482">
        <v>8</v>
      </c>
      <c r="I3482">
        <v>2</v>
      </c>
    </row>
    <row r="3483" spans="1:9" x14ac:dyDescent="0.35">
      <c r="A3483" t="str">
        <f t="shared" si="54"/>
        <v>fcractivation_hoursS1203782</v>
      </c>
      <c r="C3483" t="s">
        <v>102</v>
      </c>
      <c r="D3483" t="s">
        <v>115</v>
      </c>
      <c r="E3483" t="s">
        <v>110</v>
      </c>
      <c r="F3483">
        <v>8</v>
      </c>
      <c r="G3483">
        <v>2037</v>
      </c>
      <c r="H3483">
        <v>8</v>
      </c>
      <c r="I3483">
        <v>2</v>
      </c>
    </row>
    <row r="3484" spans="1:9" x14ac:dyDescent="0.35">
      <c r="A3484" t="str">
        <f t="shared" si="54"/>
        <v>afrrincomeS1203782</v>
      </c>
      <c r="C3484" t="s">
        <v>103</v>
      </c>
      <c r="D3484" t="s">
        <v>101</v>
      </c>
      <c r="E3484" t="s">
        <v>110</v>
      </c>
      <c r="F3484">
        <v>220061.49228729989</v>
      </c>
      <c r="G3484">
        <v>2037</v>
      </c>
      <c r="H3484">
        <v>8</v>
      </c>
      <c r="I3484">
        <v>2</v>
      </c>
    </row>
    <row r="3485" spans="1:9" x14ac:dyDescent="0.35">
      <c r="A3485" t="str">
        <f t="shared" si="54"/>
        <v>afrractivation_hoursS1203782</v>
      </c>
      <c r="C3485" t="s">
        <v>103</v>
      </c>
      <c r="D3485" t="s">
        <v>115</v>
      </c>
      <c r="E3485" t="s">
        <v>110</v>
      </c>
      <c r="F3485">
        <v>8596</v>
      </c>
      <c r="G3485">
        <v>2037</v>
      </c>
      <c r="H3485">
        <v>8</v>
      </c>
      <c r="I3485">
        <v>2</v>
      </c>
    </row>
    <row r="3486" spans="1:9" x14ac:dyDescent="0.35">
      <c r="A3486" t="str">
        <f t="shared" si="54"/>
        <v>networkturpe_power_costS1203882</v>
      </c>
      <c r="C3486" t="s">
        <v>96</v>
      </c>
      <c r="D3486" t="s">
        <v>97</v>
      </c>
      <c r="E3486" t="s">
        <v>110</v>
      </c>
      <c r="F3486">
        <v>16708.97463466688</v>
      </c>
      <c r="G3486">
        <v>2038</v>
      </c>
      <c r="H3486">
        <v>8</v>
      </c>
      <c r="I3486">
        <v>2</v>
      </c>
    </row>
    <row r="3487" spans="1:9" x14ac:dyDescent="0.35">
      <c r="A3487" t="str">
        <f t="shared" si="54"/>
        <v>networkturpe_energy_costS1203882</v>
      </c>
      <c r="C3487" t="s">
        <v>96</v>
      </c>
      <c r="D3487" t="s">
        <v>98</v>
      </c>
      <c r="E3487" t="s">
        <v>110</v>
      </c>
      <c r="F3487">
        <v>25419.93966046334</v>
      </c>
      <c r="G3487">
        <v>2038</v>
      </c>
      <c r="H3487">
        <v>8</v>
      </c>
      <c r="I3487">
        <v>2</v>
      </c>
    </row>
    <row r="3488" spans="1:9" x14ac:dyDescent="0.35">
      <c r="A3488" t="str">
        <f t="shared" si="54"/>
        <v>DAcostS1203882</v>
      </c>
      <c r="C3488" t="s">
        <v>99</v>
      </c>
      <c r="D3488" t="s">
        <v>100</v>
      </c>
      <c r="E3488" t="s">
        <v>110</v>
      </c>
      <c r="F3488">
        <v>67039.262929796838</v>
      </c>
      <c r="G3488">
        <v>2038</v>
      </c>
      <c r="H3488">
        <v>8</v>
      </c>
      <c r="I3488">
        <v>2</v>
      </c>
    </row>
    <row r="3489" spans="1:9" x14ac:dyDescent="0.35">
      <c r="A3489" t="str">
        <f t="shared" si="54"/>
        <v>DAincomeS1203882</v>
      </c>
      <c r="C3489" t="s">
        <v>99</v>
      </c>
      <c r="D3489" t="s">
        <v>101</v>
      </c>
      <c r="E3489" t="s">
        <v>110</v>
      </c>
      <c r="F3489">
        <v>138527.93656939871</v>
      </c>
      <c r="G3489">
        <v>2038</v>
      </c>
      <c r="H3489">
        <v>8</v>
      </c>
      <c r="I3489">
        <v>2</v>
      </c>
    </row>
    <row r="3490" spans="1:9" x14ac:dyDescent="0.35">
      <c r="A3490" t="str">
        <f t="shared" si="54"/>
        <v>DAenergy_boughtS1203882</v>
      </c>
      <c r="C3490" t="s">
        <v>99</v>
      </c>
      <c r="D3490" t="s">
        <v>111</v>
      </c>
      <c r="E3490" t="s">
        <v>110</v>
      </c>
      <c r="F3490">
        <v>1616.328034399575</v>
      </c>
      <c r="G3490">
        <v>2038</v>
      </c>
      <c r="H3490">
        <v>8</v>
      </c>
      <c r="I3490">
        <v>2</v>
      </c>
    </row>
    <row r="3491" spans="1:9" x14ac:dyDescent="0.35">
      <c r="A3491" t="str">
        <f t="shared" si="54"/>
        <v>DAenergy_soldS1203882</v>
      </c>
      <c r="C3491" t="s">
        <v>99</v>
      </c>
      <c r="D3491" t="s">
        <v>112</v>
      </c>
      <c r="E3491" t="s">
        <v>110</v>
      </c>
      <c r="F3491">
        <v>1286.5680046989471</v>
      </c>
      <c r="G3491">
        <v>2038</v>
      </c>
      <c r="H3491">
        <v>8</v>
      </c>
      <c r="I3491">
        <v>2</v>
      </c>
    </row>
    <row r="3492" spans="1:9" x14ac:dyDescent="0.35">
      <c r="A3492" t="str">
        <f t="shared" si="54"/>
        <v>DAhours_boughtS1203882</v>
      </c>
      <c r="C3492" t="s">
        <v>99</v>
      </c>
      <c r="D3492" t="s">
        <v>113</v>
      </c>
      <c r="E3492" t="s">
        <v>110</v>
      </c>
      <c r="F3492">
        <v>1882</v>
      </c>
      <c r="G3492">
        <v>2038</v>
      </c>
      <c r="H3492">
        <v>8</v>
      </c>
      <c r="I3492">
        <v>2</v>
      </c>
    </row>
    <row r="3493" spans="1:9" x14ac:dyDescent="0.35">
      <c r="A3493" t="str">
        <f t="shared" si="54"/>
        <v>DAhours_soldS1203882</v>
      </c>
      <c r="C3493" t="s">
        <v>99</v>
      </c>
      <c r="D3493" t="s">
        <v>114</v>
      </c>
      <c r="E3493" t="s">
        <v>110</v>
      </c>
      <c r="F3493">
        <v>433</v>
      </c>
      <c r="G3493">
        <v>2038</v>
      </c>
      <c r="H3493">
        <v>8</v>
      </c>
      <c r="I3493">
        <v>2</v>
      </c>
    </row>
    <row r="3494" spans="1:9" x14ac:dyDescent="0.35">
      <c r="A3494" t="str">
        <f t="shared" si="54"/>
        <v>DAco2_emissionS1203882</v>
      </c>
      <c r="C3494" t="s">
        <v>99</v>
      </c>
      <c r="D3494" t="s">
        <v>204</v>
      </c>
      <c r="E3494" t="s">
        <v>110</v>
      </c>
      <c r="F3494">
        <v>113142.96240797119</v>
      </c>
      <c r="G3494">
        <v>2038</v>
      </c>
      <c r="H3494">
        <v>8</v>
      </c>
      <c r="I3494">
        <v>2</v>
      </c>
    </row>
    <row r="3495" spans="1:9" x14ac:dyDescent="0.35">
      <c r="A3495" t="str">
        <f t="shared" si="54"/>
        <v>fcrincomeS1203882</v>
      </c>
      <c r="C3495" t="s">
        <v>102</v>
      </c>
      <c r="D3495" t="s">
        <v>101</v>
      </c>
      <c r="E3495" t="s">
        <v>110</v>
      </c>
      <c r="F3495">
        <v>0</v>
      </c>
      <c r="G3495">
        <v>2038</v>
      </c>
      <c r="H3495">
        <v>8</v>
      </c>
      <c r="I3495">
        <v>2</v>
      </c>
    </row>
    <row r="3496" spans="1:9" x14ac:dyDescent="0.35">
      <c r="A3496" t="str">
        <f t="shared" si="54"/>
        <v>fcractivation_hoursS1203882</v>
      </c>
      <c r="C3496" t="s">
        <v>102</v>
      </c>
      <c r="D3496" t="s">
        <v>115</v>
      </c>
      <c r="E3496" t="s">
        <v>110</v>
      </c>
      <c r="F3496">
        <v>0</v>
      </c>
      <c r="G3496">
        <v>2038</v>
      </c>
      <c r="H3496">
        <v>8</v>
      </c>
      <c r="I3496">
        <v>2</v>
      </c>
    </row>
    <row r="3497" spans="1:9" x14ac:dyDescent="0.35">
      <c r="A3497" t="str">
        <f t="shared" si="54"/>
        <v>afrrincomeS1203882</v>
      </c>
      <c r="C3497" t="s">
        <v>103</v>
      </c>
      <c r="D3497" t="s">
        <v>101</v>
      </c>
      <c r="E3497" t="s">
        <v>110</v>
      </c>
      <c r="F3497">
        <v>220730.79103048801</v>
      </c>
      <c r="G3497">
        <v>2038</v>
      </c>
      <c r="H3497">
        <v>8</v>
      </c>
      <c r="I3497">
        <v>2</v>
      </c>
    </row>
    <row r="3498" spans="1:9" x14ac:dyDescent="0.35">
      <c r="A3498" t="str">
        <f t="shared" si="54"/>
        <v>afrractivation_hoursS1203882</v>
      </c>
      <c r="C3498" t="s">
        <v>103</v>
      </c>
      <c r="D3498" t="s">
        <v>115</v>
      </c>
      <c r="E3498" t="s">
        <v>110</v>
      </c>
      <c r="F3498">
        <v>8554</v>
      </c>
      <c r="G3498">
        <v>2038</v>
      </c>
      <c r="H3498">
        <v>8</v>
      </c>
      <c r="I3498">
        <v>2</v>
      </c>
    </row>
    <row r="3499" spans="1:9" x14ac:dyDescent="0.35">
      <c r="A3499" t="str">
        <f t="shared" si="54"/>
        <v>networkturpe_power_costS1203982</v>
      </c>
      <c r="C3499" t="s">
        <v>96</v>
      </c>
      <c r="D3499" t="s">
        <v>97</v>
      </c>
      <c r="E3499" t="s">
        <v>110</v>
      </c>
      <c r="F3499">
        <v>15375.478434381261</v>
      </c>
      <c r="G3499">
        <v>2039</v>
      </c>
      <c r="H3499">
        <v>8</v>
      </c>
      <c r="I3499">
        <v>2</v>
      </c>
    </row>
    <row r="3500" spans="1:9" x14ac:dyDescent="0.35">
      <c r="A3500" t="str">
        <f t="shared" si="54"/>
        <v>networkturpe_energy_costS1203982</v>
      </c>
      <c r="C3500" t="s">
        <v>96</v>
      </c>
      <c r="D3500" t="s">
        <v>98</v>
      </c>
      <c r="E3500" t="s">
        <v>110</v>
      </c>
      <c r="F3500">
        <v>20933.878132897979</v>
      </c>
      <c r="G3500">
        <v>2039</v>
      </c>
      <c r="H3500">
        <v>8</v>
      </c>
      <c r="I3500">
        <v>2</v>
      </c>
    </row>
    <row r="3501" spans="1:9" x14ac:dyDescent="0.35">
      <c r="A3501" t="str">
        <f t="shared" si="54"/>
        <v>DAcostS1203982</v>
      </c>
      <c r="C3501" t="s">
        <v>99</v>
      </c>
      <c r="D3501" t="s">
        <v>100</v>
      </c>
      <c r="E3501" t="s">
        <v>110</v>
      </c>
      <c r="F3501">
        <v>55282.515442488977</v>
      </c>
      <c r="G3501">
        <v>2039</v>
      </c>
      <c r="H3501">
        <v>8</v>
      </c>
      <c r="I3501">
        <v>2</v>
      </c>
    </row>
    <row r="3502" spans="1:9" x14ac:dyDescent="0.35">
      <c r="A3502" t="str">
        <f t="shared" si="54"/>
        <v>DAincomeS1203982</v>
      </c>
      <c r="C3502" t="s">
        <v>99</v>
      </c>
      <c r="D3502" t="s">
        <v>101</v>
      </c>
      <c r="E3502" t="s">
        <v>110</v>
      </c>
      <c r="F3502">
        <v>115467.76043556329</v>
      </c>
      <c r="G3502">
        <v>2039</v>
      </c>
      <c r="H3502">
        <v>8</v>
      </c>
      <c r="I3502">
        <v>2</v>
      </c>
    </row>
    <row r="3503" spans="1:9" x14ac:dyDescent="0.35">
      <c r="A3503" t="str">
        <f t="shared" si="54"/>
        <v>DAenergy_boughtS1203982</v>
      </c>
      <c r="C3503" t="s">
        <v>99</v>
      </c>
      <c r="D3503" t="s">
        <v>111</v>
      </c>
      <c r="E3503" t="s">
        <v>110</v>
      </c>
      <c r="F3503">
        <v>1360.21719924527</v>
      </c>
      <c r="G3503">
        <v>2039</v>
      </c>
      <c r="H3503">
        <v>8</v>
      </c>
      <c r="I3503">
        <v>2</v>
      </c>
    </row>
    <row r="3504" spans="1:9" x14ac:dyDescent="0.35">
      <c r="A3504" t="str">
        <f t="shared" si="54"/>
        <v>DAenergy_soldS1203982</v>
      </c>
      <c r="C3504" t="s">
        <v>99</v>
      </c>
      <c r="D3504" t="s">
        <v>112</v>
      </c>
      <c r="E3504" t="s">
        <v>110</v>
      </c>
      <c r="F3504">
        <v>1079.704014045032</v>
      </c>
      <c r="G3504">
        <v>2039</v>
      </c>
      <c r="H3504">
        <v>8</v>
      </c>
      <c r="I3504">
        <v>2</v>
      </c>
    </row>
    <row r="3505" spans="1:9" x14ac:dyDescent="0.35">
      <c r="A3505" t="str">
        <f t="shared" si="54"/>
        <v>DAhours_boughtS1203982</v>
      </c>
      <c r="C3505" t="s">
        <v>99</v>
      </c>
      <c r="D3505" t="s">
        <v>113</v>
      </c>
      <c r="E3505" t="s">
        <v>110</v>
      </c>
      <c r="F3505">
        <v>1819</v>
      </c>
      <c r="G3505">
        <v>2039</v>
      </c>
      <c r="H3505">
        <v>8</v>
      </c>
      <c r="I3505">
        <v>2</v>
      </c>
    </row>
    <row r="3506" spans="1:9" x14ac:dyDescent="0.35">
      <c r="A3506" t="str">
        <f t="shared" si="54"/>
        <v>DAhours_soldS1203982</v>
      </c>
      <c r="C3506" t="s">
        <v>99</v>
      </c>
      <c r="D3506" t="s">
        <v>114</v>
      </c>
      <c r="E3506" t="s">
        <v>110</v>
      </c>
      <c r="F3506">
        <v>403</v>
      </c>
      <c r="G3506">
        <v>2039</v>
      </c>
      <c r="H3506">
        <v>8</v>
      </c>
      <c r="I3506">
        <v>2</v>
      </c>
    </row>
    <row r="3507" spans="1:9" x14ac:dyDescent="0.35">
      <c r="A3507" t="str">
        <f t="shared" si="54"/>
        <v>DAco2_emissionS1203982</v>
      </c>
      <c r="C3507" t="s">
        <v>99</v>
      </c>
      <c r="D3507" t="s">
        <v>204</v>
      </c>
      <c r="E3507" t="s">
        <v>110</v>
      </c>
      <c r="F3507">
        <v>95215.203947168979</v>
      </c>
      <c r="G3507">
        <v>2039</v>
      </c>
      <c r="H3507">
        <v>8</v>
      </c>
      <c r="I3507">
        <v>2</v>
      </c>
    </row>
    <row r="3508" spans="1:9" x14ac:dyDescent="0.35">
      <c r="A3508" t="str">
        <f t="shared" si="54"/>
        <v>fcrincomeS1203982</v>
      </c>
      <c r="C3508" t="s">
        <v>102</v>
      </c>
      <c r="D3508" t="s">
        <v>101</v>
      </c>
      <c r="E3508" t="s">
        <v>110</v>
      </c>
      <c r="F3508">
        <v>4.7762657816866207</v>
      </c>
      <c r="G3508">
        <v>2039</v>
      </c>
      <c r="H3508">
        <v>8</v>
      </c>
      <c r="I3508">
        <v>2</v>
      </c>
    </row>
    <row r="3509" spans="1:9" x14ac:dyDescent="0.35">
      <c r="A3509" t="str">
        <f t="shared" si="54"/>
        <v>fcractivation_hoursS1203982</v>
      </c>
      <c r="C3509" t="s">
        <v>102</v>
      </c>
      <c r="D3509" t="s">
        <v>115</v>
      </c>
      <c r="E3509" t="s">
        <v>110</v>
      </c>
      <c r="F3509">
        <v>4</v>
      </c>
      <c r="G3509">
        <v>2039</v>
      </c>
      <c r="H3509">
        <v>8</v>
      </c>
      <c r="I3509">
        <v>2</v>
      </c>
    </row>
    <row r="3510" spans="1:9" x14ac:dyDescent="0.35">
      <c r="A3510" t="str">
        <f t="shared" si="54"/>
        <v>afrrincomeS1203982</v>
      </c>
      <c r="C3510" t="s">
        <v>103</v>
      </c>
      <c r="D3510" t="s">
        <v>101</v>
      </c>
      <c r="E3510" t="s">
        <v>110</v>
      </c>
      <c r="F3510">
        <v>228885.2466245894</v>
      </c>
      <c r="G3510">
        <v>2039</v>
      </c>
      <c r="H3510">
        <v>8</v>
      </c>
      <c r="I3510">
        <v>2</v>
      </c>
    </row>
    <row r="3511" spans="1:9" x14ac:dyDescent="0.35">
      <c r="A3511" t="str">
        <f t="shared" si="54"/>
        <v>afrractivation_hoursS1203982</v>
      </c>
      <c r="C3511" t="s">
        <v>103</v>
      </c>
      <c r="D3511" t="s">
        <v>115</v>
      </c>
      <c r="E3511" t="s">
        <v>110</v>
      </c>
      <c r="F3511">
        <v>8574</v>
      </c>
      <c r="G3511">
        <v>2039</v>
      </c>
      <c r="H3511">
        <v>8</v>
      </c>
      <c r="I3511">
        <v>2</v>
      </c>
    </row>
    <row r="3512" spans="1:9" x14ac:dyDescent="0.35">
      <c r="A3512" t="str">
        <f t="shared" si="54"/>
        <v>networkturpe_power_costS1204082</v>
      </c>
      <c r="C3512" t="s">
        <v>96</v>
      </c>
      <c r="D3512" t="s">
        <v>97</v>
      </c>
      <c r="E3512" t="s">
        <v>110</v>
      </c>
      <c r="F3512">
        <v>14705.954877428059</v>
      </c>
      <c r="G3512">
        <v>2040</v>
      </c>
      <c r="H3512">
        <v>8</v>
      </c>
      <c r="I3512">
        <v>2</v>
      </c>
    </row>
    <row r="3513" spans="1:9" x14ac:dyDescent="0.35">
      <c r="A3513" t="str">
        <f t="shared" si="54"/>
        <v>networkturpe_energy_costS1204082</v>
      </c>
      <c r="C3513" t="s">
        <v>96</v>
      </c>
      <c r="D3513" t="s">
        <v>98</v>
      </c>
      <c r="E3513" t="s">
        <v>110</v>
      </c>
      <c r="F3513">
        <v>26390.585087709798</v>
      </c>
      <c r="G3513">
        <v>2040</v>
      </c>
      <c r="H3513">
        <v>8</v>
      </c>
      <c r="I3513">
        <v>2</v>
      </c>
    </row>
    <row r="3514" spans="1:9" x14ac:dyDescent="0.35">
      <c r="A3514" t="str">
        <f t="shared" si="54"/>
        <v>DAcostS1204082</v>
      </c>
      <c r="C3514" t="s">
        <v>99</v>
      </c>
      <c r="D3514" t="s">
        <v>100</v>
      </c>
      <c r="E3514" t="s">
        <v>110</v>
      </c>
      <c r="F3514">
        <v>63617.160230894282</v>
      </c>
      <c r="G3514">
        <v>2040</v>
      </c>
      <c r="H3514">
        <v>8</v>
      </c>
      <c r="I3514">
        <v>2</v>
      </c>
    </row>
    <row r="3515" spans="1:9" x14ac:dyDescent="0.35">
      <c r="A3515" t="str">
        <f t="shared" si="54"/>
        <v>DAincomeS1204082</v>
      </c>
      <c r="C3515" t="s">
        <v>99</v>
      </c>
      <c r="D3515" t="s">
        <v>101</v>
      </c>
      <c r="E3515" t="s">
        <v>110</v>
      </c>
      <c r="F3515">
        <v>139377.67677294911</v>
      </c>
      <c r="G3515">
        <v>2040</v>
      </c>
      <c r="H3515">
        <v>8</v>
      </c>
      <c r="I3515">
        <v>2</v>
      </c>
    </row>
    <row r="3516" spans="1:9" x14ac:dyDescent="0.35">
      <c r="A3516" t="str">
        <f t="shared" si="54"/>
        <v>DAenergy_boughtS1204082</v>
      </c>
      <c r="C3516" t="s">
        <v>99</v>
      </c>
      <c r="D3516" t="s">
        <v>111</v>
      </c>
      <c r="E3516" t="s">
        <v>110</v>
      </c>
      <c r="F3516">
        <v>1632.1871629586931</v>
      </c>
      <c r="G3516">
        <v>2040</v>
      </c>
      <c r="H3516">
        <v>8</v>
      </c>
      <c r="I3516">
        <v>2</v>
      </c>
    </row>
    <row r="3517" spans="1:9" x14ac:dyDescent="0.35">
      <c r="A3517" t="str">
        <f t="shared" si="54"/>
        <v>DAenergy_soldS1204082</v>
      </c>
      <c r="C3517" t="s">
        <v>99</v>
      </c>
      <c r="D3517" t="s">
        <v>112</v>
      </c>
      <c r="E3517" t="s">
        <v>110</v>
      </c>
      <c r="F3517">
        <v>1300.4074902779689</v>
      </c>
      <c r="G3517">
        <v>2040</v>
      </c>
      <c r="H3517">
        <v>8</v>
      </c>
      <c r="I3517">
        <v>2</v>
      </c>
    </row>
    <row r="3518" spans="1:9" x14ac:dyDescent="0.35">
      <c r="A3518" t="str">
        <f t="shared" si="54"/>
        <v>DAhours_boughtS1204082</v>
      </c>
      <c r="C3518" t="s">
        <v>99</v>
      </c>
      <c r="D3518" t="s">
        <v>113</v>
      </c>
      <c r="E3518" t="s">
        <v>110</v>
      </c>
      <c r="F3518">
        <v>1980</v>
      </c>
      <c r="G3518">
        <v>2040</v>
      </c>
      <c r="H3518">
        <v>8</v>
      </c>
      <c r="I3518">
        <v>2</v>
      </c>
    </row>
    <row r="3519" spans="1:9" x14ac:dyDescent="0.35">
      <c r="A3519" t="str">
        <f t="shared" si="54"/>
        <v>DAhours_soldS1204082</v>
      </c>
      <c r="C3519" t="s">
        <v>99</v>
      </c>
      <c r="D3519" t="s">
        <v>114</v>
      </c>
      <c r="E3519" t="s">
        <v>110</v>
      </c>
      <c r="F3519">
        <v>468</v>
      </c>
      <c r="G3519">
        <v>2040</v>
      </c>
      <c r="H3519">
        <v>8</v>
      </c>
      <c r="I3519">
        <v>2</v>
      </c>
    </row>
    <row r="3520" spans="1:9" x14ac:dyDescent="0.35">
      <c r="A3520" t="str">
        <f t="shared" si="54"/>
        <v>DAco2_emissionS1204082</v>
      </c>
      <c r="C3520" t="s">
        <v>99</v>
      </c>
      <c r="D3520" t="s">
        <v>204</v>
      </c>
      <c r="E3520" t="s">
        <v>110</v>
      </c>
      <c r="F3520">
        <v>114253.10140710929</v>
      </c>
      <c r="G3520">
        <v>2040</v>
      </c>
      <c r="H3520">
        <v>8</v>
      </c>
      <c r="I3520">
        <v>2</v>
      </c>
    </row>
    <row r="3521" spans="1:9" x14ac:dyDescent="0.35">
      <c r="A3521" t="str">
        <f t="shared" si="54"/>
        <v>fcrincomeS1204082</v>
      </c>
      <c r="C3521" t="s">
        <v>102</v>
      </c>
      <c r="D3521" t="s">
        <v>101</v>
      </c>
      <c r="E3521" t="s">
        <v>110</v>
      </c>
      <c r="F3521">
        <v>29.392314117011711</v>
      </c>
      <c r="G3521">
        <v>2040</v>
      </c>
      <c r="H3521">
        <v>8</v>
      </c>
      <c r="I3521">
        <v>2</v>
      </c>
    </row>
    <row r="3522" spans="1:9" x14ac:dyDescent="0.35">
      <c r="A3522" t="str">
        <f t="shared" si="54"/>
        <v>fcractivation_hoursS1204082</v>
      </c>
      <c r="C3522" t="s">
        <v>102</v>
      </c>
      <c r="D3522" t="s">
        <v>115</v>
      </c>
      <c r="E3522" t="s">
        <v>110</v>
      </c>
      <c r="F3522">
        <v>20</v>
      </c>
      <c r="G3522">
        <v>2040</v>
      </c>
      <c r="H3522">
        <v>8</v>
      </c>
      <c r="I3522">
        <v>2</v>
      </c>
    </row>
    <row r="3523" spans="1:9" x14ac:dyDescent="0.35">
      <c r="A3523" t="str">
        <f t="shared" ref="A3523:A3537" si="55">C3523&amp;D3523&amp;E3523&amp;G3523&amp;H3523&amp;I3523</f>
        <v>afrrincomeS1204082</v>
      </c>
      <c r="C3523" t="s">
        <v>103</v>
      </c>
      <c r="D3523" t="s">
        <v>101</v>
      </c>
      <c r="E3523" t="s">
        <v>110</v>
      </c>
      <c r="F3523">
        <v>164778.67352754661</v>
      </c>
      <c r="G3523">
        <v>2040</v>
      </c>
      <c r="H3523">
        <v>8</v>
      </c>
      <c r="I3523">
        <v>2</v>
      </c>
    </row>
    <row r="3524" spans="1:9" x14ac:dyDescent="0.35">
      <c r="A3524" t="str">
        <f t="shared" si="55"/>
        <v>afrractivation_hoursS1204082</v>
      </c>
      <c r="C3524" t="s">
        <v>103</v>
      </c>
      <c r="D3524" t="s">
        <v>115</v>
      </c>
      <c r="E3524" t="s">
        <v>110</v>
      </c>
      <c r="F3524">
        <v>8344</v>
      </c>
      <c r="G3524">
        <v>2040</v>
      </c>
      <c r="H3524">
        <v>8</v>
      </c>
      <c r="I3524">
        <v>2</v>
      </c>
    </row>
    <row r="3525" spans="1:9" x14ac:dyDescent="0.35">
      <c r="A3525" t="str">
        <f t="shared" si="55"/>
        <v>networkturpe_power_costS1204182</v>
      </c>
      <c r="C3525" t="s">
        <v>96</v>
      </c>
      <c r="D3525" t="s">
        <v>97</v>
      </c>
      <c r="E3525" t="s">
        <v>110</v>
      </c>
      <c r="F3525">
        <v>15164.925335299469</v>
      </c>
      <c r="G3525">
        <v>2041</v>
      </c>
      <c r="H3525">
        <v>8</v>
      </c>
      <c r="I3525">
        <v>2</v>
      </c>
    </row>
    <row r="3526" spans="1:9" x14ac:dyDescent="0.35">
      <c r="A3526" t="str">
        <f t="shared" si="55"/>
        <v>networkturpe_energy_costS1204182</v>
      </c>
      <c r="C3526" t="s">
        <v>96</v>
      </c>
      <c r="D3526" t="s">
        <v>98</v>
      </c>
      <c r="E3526" t="s">
        <v>110</v>
      </c>
      <c r="F3526">
        <v>29437.444219790868</v>
      </c>
      <c r="G3526">
        <v>2041</v>
      </c>
      <c r="H3526">
        <v>8</v>
      </c>
      <c r="I3526">
        <v>2</v>
      </c>
    </row>
    <row r="3527" spans="1:9" x14ac:dyDescent="0.35">
      <c r="A3527" t="str">
        <f t="shared" si="55"/>
        <v>DAcostS1204182</v>
      </c>
      <c r="C3527" t="s">
        <v>99</v>
      </c>
      <c r="D3527" t="s">
        <v>100</v>
      </c>
      <c r="E3527" t="s">
        <v>110</v>
      </c>
      <c r="F3527">
        <v>70018.809844919771</v>
      </c>
      <c r="G3527">
        <v>2041</v>
      </c>
      <c r="H3527">
        <v>8</v>
      </c>
      <c r="I3527">
        <v>2</v>
      </c>
    </row>
    <row r="3528" spans="1:9" x14ac:dyDescent="0.35">
      <c r="A3528" t="str">
        <f t="shared" si="55"/>
        <v>DAincomeS1204182</v>
      </c>
      <c r="C3528" t="s">
        <v>99</v>
      </c>
      <c r="D3528" t="s">
        <v>101</v>
      </c>
      <c r="E3528" t="s">
        <v>110</v>
      </c>
      <c r="F3528">
        <v>152159.21264526781</v>
      </c>
      <c r="G3528">
        <v>2041</v>
      </c>
      <c r="H3528">
        <v>8</v>
      </c>
      <c r="I3528">
        <v>2</v>
      </c>
    </row>
    <row r="3529" spans="1:9" x14ac:dyDescent="0.35">
      <c r="A3529" t="str">
        <f t="shared" si="55"/>
        <v>DAenergy_boughtS1204182</v>
      </c>
      <c r="C3529" t="s">
        <v>99</v>
      </c>
      <c r="D3529" t="s">
        <v>111</v>
      </c>
      <c r="E3529" t="s">
        <v>110</v>
      </c>
      <c r="F3529">
        <v>1787.466476592461</v>
      </c>
      <c r="G3529">
        <v>2041</v>
      </c>
      <c r="H3529">
        <v>8</v>
      </c>
      <c r="I3529">
        <v>2</v>
      </c>
    </row>
    <row r="3530" spans="1:9" x14ac:dyDescent="0.35">
      <c r="A3530" t="str">
        <f t="shared" si="55"/>
        <v>DAenergy_soldS1204182</v>
      </c>
      <c r="C3530" t="s">
        <v>99</v>
      </c>
      <c r="D3530" t="s">
        <v>112</v>
      </c>
      <c r="E3530" t="s">
        <v>110</v>
      </c>
      <c r="F3530">
        <v>1426.733626161548</v>
      </c>
      <c r="G3530">
        <v>2041</v>
      </c>
      <c r="H3530">
        <v>8</v>
      </c>
      <c r="I3530">
        <v>2</v>
      </c>
    </row>
    <row r="3531" spans="1:9" x14ac:dyDescent="0.35">
      <c r="A3531" t="str">
        <f t="shared" si="55"/>
        <v>DAhours_boughtS1204182</v>
      </c>
      <c r="C3531" t="s">
        <v>99</v>
      </c>
      <c r="D3531" t="s">
        <v>113</v>
      </c>
      <c r="E3531" t="s">
        <v>110</v>
      </c>
      <c r="F3531">
        <v>1880</v>
      </c>
      <c r="G3531">
        <v>2041</v>
      </c>
      <c r="H3531">
        <v>8</v>
      </c>
      <c r="I3531">
        <v>2</v>
      </c>
    </row>
    <row r="3532" spans="1:9" x14ac:dyDescent="0.35">
      <c r="A3532" t="str">
        <f t="shared" si="55"/>
        <v>DAhours_soldS1204182</v>
      </c>
      <c r="C3532" t="s">
        <v>99</v>
      </c>
      <c r="D3532" t="s">
        <v>114</v>
      </c>
      <c r="E3532" t="s">
        <v>110</v>
      </c>
      <c r="F3532">
        <v>493</v>
      </c>
      <c r="G3532">
        <v>2041</v>
      </c>
      <c r="H3532">
        <v>8</v>
      </c>
      <c r="I3532">
        <v>2</v>
      </c>
    </row>
    <row r="3533" spans="1:9" x14ac:dyDescent="0.35">
      <c r="A3533" t="str">
        <f t="shared" si="55"/>
        <v>DAco2_emissionS1204182</v>
      </c>
      <c r="C3533" t="s">
        <v>99</v>
      </c>
      <c r="D3533" t="s">
        <v>204</v>
      </c>
      <c r="E3533" t="s">
        <v>110</v>
      </c>
      <c r="F3533">
        <v>125122.6533614739</v>
      </c>
      <c r="G3533">
        <v>2041</v>
      </c>
      <c r="H3533">
        <v>8</v>
      </c>
      <c r="I3533">
        <v>2</v>
      </c>
    </row>
    <row r="3534" spans="1:9" x14ac:dyDescent="0.35">
      <c r="A3534" t="str">
        <f t="shared" si="55"/>
        <v>fcrincomeS1204182</v>
      </c>
      <c r="C3534" t="s">
        <v>102</v>
      </c>
      <c r="D3534" t="s">
        <v>101</v>
      </c>
      <c r="E3534" t="s">
        <v>110</v>
      </c>
      <c r="F3534">
        <v>36.460951100850643</v>
      </c>
      <c r="G3534">
        <v>2041</v>
      </c>
      <c r="H3534">
        <v>8</v>
      </c>
      <c r="I3534">
        <v>2</v>
      </c>
    </row>
    <row r="3535" spans="1:9" x14ac:dyDescent="0.35">
      <c r="A3535" t="str">
        <f t="shared" si="55"/>
        <v>fcractivation_hoursS1204182</v>
      </c>
      <c r="C3535" t="s">
        <v>102</v>
      </c>
      <c r="D3535" t="s">
        <v>115</v>
      </c>
      <c r="E3535" t="s">
        <v>110</v>
      </c>
      <c r="F3535">
        <v>28</v>
      </c>
      <c r="G3535">
        <v>2041</v>
      </c>
      <c r="H3535">
        <v>8</v>
      </c>
      <c r="I3535">
        <v>2</v>
      </c>
    </row>
    <row r="3536" spans="1:9" x14ac:dyDescent="0.35">
      <c r="A3536" t="str">
        <f t="shared" si="55"/>
        <v>afrrincomeS1204182</v>
      </c>
      <c r="C3536" t="s">
        <v>103</v>
      </c>
      <c r="D3536" t="s">
        <v>101</v>
      </c>
      <c r="E3536" t="s">
        <v>110</v>
      </c>
      <c r="F3536">
        <v>152935.4604171305</v>
      </c>
      <c r="G3536">
        <v>2041</v>
      </c>
      <c r="H3536">
        <v>8</v>
      </c>
      <c r="I3536">
        <v>2</v>
      </c>
    </row>
    <row r="3537" spans="1:9" x14ac:dyDescent="0.35">
      <c r="A3537" t="str">
        <f t="shared" si="55"/>
        <v>afrractivation_hoursS1204182</v>
      </c>
      <c r="C3537" t="s">
        <v>103</v>
      </c>
      <c r="D3537" t="s">
        <v>115</v>
      </c>
      <c r="E3537" t="s">
        <v>110</v>
      </c>
      <c r="F3537">
        <v>8128</v>
      </c>
      <c r="G3537">
        <v>2041</v>
      </c>
      <c r="H3537">
        <v>8</v>
      </c>
      <c r="I3537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1EDCA-ED5C-4425-A377-B82B46978496}">
  <sheetPr codeName="Feuil7"/>
  <dimension ref="A1:A9"/>
  <sheetViews>
    <sheetView workbookViewId="0">
      <selection activeCell="H14" sqref="H14"/>
    </sheetView>
  </sheetViews>
  <sheetFormatPr baseColWidth="10" defaultRowHeight="14.5" x14ac:dyDescent="0.35"/>
  <cols>
    <col min="1" max="1" width="15.6328125" bestFit="1" customWidth="1"/>
  </cols>
  <sheetData>
    <row r="1" spans="1:1" x14ac:dyDescent="0.35">
      <c r="A1" t="s">
        <v>166</v>
      </c>
    </row>
    <row r="2" spans="1:1" x14ac:dyDescent="0.35">
      <c r="A2">
        <v>1</v>
      </c>
    </row>
    <row r="3" spans="1:1" x14ac:dyDescent="0.35">
      <c r="A3">
        <v>2</v>
      </c>
    </row>
    <row r="4" spans="1:1" x14ac:dyDescent="0.35">
      <c r="A4">
        <v>3</v>
      </c>
    </row>
    <row r="5" spans="1:1" x14ac:dyDescent="0.35">
      <c r="A5">
        <v>4</v>
      </c>
    </row>
    <row r="6" spans="1:1" x14ac:dyDescent="0.35">
      <c r="A6">
        <v>5</v>
      </c>
    </row>
    <row r="7" spans="1:1" x14ac:dyDescent="0.35">
      <c r="A7">
        <v>6</v>
      </c>
    </row>
    <row r="8" spans="1:1" x14ac:dyDescent="0.35">
      <c r="A8">
        <v>7</v>
      </c>
    </row>
    <row r="9" spans="1:1" x14ac:dyDescent="0.35">
      <c r="A9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5D2E1B07F8D044BB41D6F9A34DD512" ma:contentTypeVersion="14" ma:contentTypeDescription="Create a new document." ma:contentTypeScope="" ma:versionID="707bd19da3b2ca03442c8bfb39998b06">
  <xsd:schema xmlns:xsd="http://www.w3.org/2001/XMLSchema" xmlns:xs="http://www.w3.org/2001/XMLSchema" xmlns:p="http://schemas.microsoft.com/office/2006/metadata/properties" xmlns:ns2="1a2a4914-658d-42d2-90e7-5bd7d0f4239d" xmlns:ns3="e46a36f1-79e1-459a-8738-4c8e5443ac0f" targetNamespace="http://schemas.microsoft.com/office/2006/metadata/properties" ma:root="true" ma:fieldsID="bc7c9bd64c6c11dec623831b54b80a00" ns2:_="" ns3:_="">
    <xsd:import namespace="1a2a4914-658d-42d2-90e7-5bd7d0f4239d"/>
    <xsd:import namespace="e46a36f1-79e1-459a-8738-4c8e5443ac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2a4914-658d-42d2-90e7-5bd7d0f42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e0f9064-9556-4499-90c2-9deb3b38ca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6a36f1-79e1-459a-8738-4c8e5443ac0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906a80f-2367-4b16-923b-d7190db300fe}" ma:internalName="TaxCatchAll" ma:showField="CatchAllData" ma:web="e46a36f1-79e1-459a-8738-4c8e5443ac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a2a4914-658d-42d2-90e7-5bd7d0f4239d">
      <Terms xmlns="http://schemas.microsoft.com/office/infopath/2007/PartnerControls"/>
    </lcf76f155ced4ddcb4097134ff3c332f>
    <TaxCatchAll xmlns="e46a36f1-79e1-459a-8738-4c8e5443ac0f" xsi:nil="true"/>
  </documentManagement>
</p:properties>
</file>

<file path=customXml/itemProps1.xml><?xml version="1.0" encoding="utf-8"?>
<ds:datastoreItem xmlns:ds="http://schemas.openxmlformats.org/officeDocument/2006/customXml" ds:itemID="{7063C259-DDE7-4103-A051-69D1CB99BC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5A67B3-D8D4-4EE2-8912-B6C07DE9FB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2a4914-658d-42d2-90e7-5bd7d0f4239d"/>
    <ds:schemaRef ds:uri="e46a36f1-79e1-459a-8738-4c8e5443ac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292996-8E2C-45F9-B9FD-AAD5BF14EA24}">
  <ds:schemaRefs>
    <ds:schemaRef ds:uri="http://schemas.microsoft.com/office/2006/metadata/properties"/>
    <ds:schemaRef ds:uri="http://schemas.microsoft.com/office/infopath/2007/PartnerControls"/>
    <ds:schemaRef ds:uri="1a2a4914-658d-42d2-90e7-5bd7d0f4239d"/>
    <ds:schemaRef ds:uri="e46a36f1-79e1-459a-8738-4c8e5443ac0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Hypothèses</vt:lpstr>
      <vt:lpstr>BP</vt:lpstr>
      <vt:lpstr>Dimensionnement</vt:lpstr>
      <vt:lpstr>Figures</vt:lpstr>
      <vt:lpstr>Sensibilité</vt:lpstr>
      <vt:lpstr>versys</vt:lpstr>
      <vt:lpstr>aux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Raphaël d’Oliveira</dc:creator>
  <cp:keywords/>
  <dc:description/>
  <cp:lastModifiedBy>Hugo Radet</cp:lastModifiedBy>
  <cp:revision/>
  <dcterms:created xsi:type="dcterms:W3CDTF">2014-03-13T16:25:19Z</dcterms:created>
  <dcterms:modified xsi:type="dcterms:W3CDTF">2023-08-24T09:10:02Z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0x0101004C5D2E1B07F8D044BB41D6F9A34DD512</vt:lpwstr>
  </property>
  <property fmtid="{D5CDD505-2E9C-101B-9397-08002B2CF9AE}" pid="3" name="Order">
    <vt:r8>23474400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</Properties>
</file>