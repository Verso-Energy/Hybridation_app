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versoenergy.sharepoint.com/sites/versoenergy/Shared Documents/VERSO/08-Technique/03 - Modélisation/01 - Etudes amonts/01 - Dimensionnement batterie + PV/hybridation_app/"/>
    </mc:Choice>
  </mc:AlternateContent>
  <xr:revisionPtr revIDLastSave="17370" documentId="8_{9DF5838D-38AD-44D4-919B-F448950855E8}" xr6:coauthVersionLast="47" xr6:coauthVersionMax="47" xr10:uidLastSave="{F5FB8DCC-1F5E-4C7D-9C78-DC7F15C20421}"/>
  <bookViews>
    <workbookView xWindow="-110" yWindow="-110" windowWidth="22780" windowHeight="14540" tabRatio="748" activeTab="5" xr2:uid="{00000000-000D-0000-FFFF-FFFF00000000}"/>
  </bookViews>
  <sheets>
    <sheet name="Hypothèses" sheetId="29" r:id="rId1"/>
    <sheet name="BP" sheetId="14" r:id="rId2"/>
    <sheet name="Dimensionnement" sheetId="38" r:id="rId3"/>
    <sheet name="Figures" sheetId="31" r:id="rId4"/>
    <sheet name="Sensibilité" sheetId="40" r:id="rId5"/>
    <sheet name="versys" sheetId="30" r:id="rId6"/>
    <sheet name="aux" sheetId="39" state="hidden" r:id="rId7"/>
  </sheets>
  <definedNames>
    <definedName name="_AtRisk_SimSetting_AutomaticallyGenerateReports" hidden="1">FALSE</definedName>
    <definedName name="_AtRisk_SimSetting_AutomaticResultsDisplayMode" hidden="1">3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41565.6457407406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8"/>
  <pivotCaches>
    <pivotCache cacheId="0" r:id="rId8"/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39" l="1" a="1"/>
  <c r="B2" i="39" s="1"/>
  <c r="A2" i="39" a="1"/>
  <c r="A2" i="39" s="1"/>
  <c r="A1" i="39"/>
  <c r="B1" i="39"/>
  <c r="C21" i="14"/>
  <c r="E27" i="38" l="1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D43" i="29"/>
  <c r="F105" i="14" l="1"/>
  <c r="G105" i="14" s="1"/>
  <c r="H105" i="14" s="1"/>
  <c r="I105" i="14" s="1"/>
  <c r="J105" i="14" s="1"/>
  <c r="K105" i="14" s="1"/>
  <c r="L105" i="14" s="1"/>
  <c r="M105" i="14" s="1"/>
  <c r="N105" i="14" s="1"/>
  <c r="O105" i="14" s="1"/>
  <c r="P105" i="14" s="1"/>
  <c r="Q105" i="14" s="1"/>
  <c r="R105" i="14" s="1"/>
  <c r="S105" i="14" s="1"/>
  <c r="T105" i="14" s="1"/>
  <c r="E105" i="14"/>
  <c r="E57" i="14" l="1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D77" i="14"/>
  <c r="D75" i="14"/>
  <c r="D73" i="14"/>
  <c r="D72" i="14"/>
  <c r="D70" i="14"/>
  <c r="D68" i="14"/>
  <c r="D66" i="14"/>
  <c r="D64" i="14"/>
  <c r="D62" i="14"/>
  <c r="D61" i="14"/>
  <c r="D59" i="14"/>
  <c r="D57" i="14"/>
  <c r="AE58" i="14" l="1"/>
  <c r="G58" i="14"/>
  <c r="AA69" i="14"/>
  <c r="S69" i="14"/>
  <c r="K69" i="14"/>
  <c r="Z63" i="14"/>
  <c r="AG58" i="14"/>
  <c r="Y58" i="14"/>
  <c r="Q58" i="14"/>
  <c r="I58" i="14"/>
  <c r="AD60" i="14"/>
  <c r="V60" i="14"/>
  <c r="N60" i="14"/>
  <c r="F60" i="14"/>
  <c r="N69" i="14"/>
  <c r="AC58" i="14"/>
  <c r="T58" i="14"/>
  <c r="L58" i="14"/>
  <c r="AB65" i="14"/>
  <c r="T65" i="14"/>
  <c r="L65" i="14"/>
  <c r="AD58" i="14"/>
  <c r="V58" i="14"/>
  <c r="N58" i="14"/>
  <c r="F58" i="14"/>
  <c r="U63" i="14"/>
  <c r="AD63" i="14"/>
  <c r="F63" i="14"/>
  <c r="AA65" i="14"/>
  <c r="AF63" i="14"/>
  <c r="X63" i="14"/>
  <c r="P63" i="14"/>
  <c r="H63" i="14"/>
  <c r="Z60" i="14"/>
  <c r="R60" i="14"/>
  <c r="J60" i="14"/>
  <c r="AA58" i="14"/>
  <c r="S58" i="14"/>
  <c r="K58" i="14"/>
  <c r="AG65" i="14"/>
  <c r="Y65" i="14"/>
  <c r="Q65" i="14"/>
  <c r="I65" i="14"/>
  <c r="Z58" i="14"/>
  <c r="R58" i="14"/>
  <c r="J58" i="14"/>
  <c r="AD74" i="14"/>
  <c r="V74" i="14"/>
  <c r="N74" i="14"/>
  <c r="F74" i="14"/>
  <c r="AE65" i="14"/>
  <c r="W65" i="14"/>
  <c r="O65" i="14"/>
  <c r="G65" i="14"/>
  <c r="AC63" i="14"/>
  <c r="M63" i="14"/>
  <c r="AE60" i="14"/>
  <c r="W60" i="14"/>
  <c r="O60" i="14"/>
  <c r="G60" i="14"/>
  <c r="AF58" i="14"/>
  <c r="X58" i="14"/>
  <c r="P58" i="14"/>
  <c r="H58" i="14"/>
  <c r="R63" i="14"/>
  <c r="J63" i="14"/>
  <c r="AB60" i="14"/>
  <c r="T60" i="14"/>
  <c r="L60" i="14"/>
  <c r="AC65" i="14"/>
  <c r="U65" i="14"/>
  <c r="M65" i="14"/>
  <c r="E65" i="14"/>
  <c r="AA63" i="14"/>
  <c r="S63" i="14"/>
  <c r="AC60" i="14"/>
  <c r="U60" i="14"/>
  <c r="M60" i="14"/>
  <c r="W58" i="14"/>
  <c r="O58" i="14"/>
  <c r="AA76" i="14"/>
  <c r="S76" i="14"/>
  <c r="AE69" i="14"/>
  <c r="W69" i="14"/>
  <c r="O69" i="14"/>
  <c r="G69" i="14"/>
  <c r="S65" i="14"/>
  <c r="K65" i="14"/>
  <c r="AG63" i="14"/>
  <c r="Y63" i="14"/>
  <c r="Q63" i="14"/>
  <c r="I63" i="14"/>
  <c r="E60" i="14"/>
  <c r="AF65" i="14"/>
  <c r="X65" i="14"/>
  <c r="P65" i="14"/>
  <c r="H65" i="14"/>
  <c r="V63" i="14"/>
  <c r="N63" i="14"/>
  <c r="E63" i="14"/>
  <c r="AD65" i="14"/>
  <c r="V65" i="14"/>
  <c r="N65" i="14"/>
  <c r="F65" i="14"/>
  <c r="AG60" i="14"/>
  <c r="Y60" i="14"/>
  <c r="Q60" i="14"/>
  <c r="I60" i="14"/>
  <c r="L63" i="14"/>
  <c r="AE63" i="14"/>
  <c r="W63" i="14"/>
  <c r="O63" i="14"/>
  <c r="G63" i="14"/>
  <c r="AF60" i="14"/>
  <c r="X60" i="14"/>
  <c r="P60" i="14"/>
  <c r="H60" i="14"/>
  <c r="R65" i="14"/>
  <c r="AB63" i="14"/>
  <c r="S60" i="14"/>
  <c r="U58" i="14"/>
  <c r="K63" i="14"/>
  <c r="AB58" i="14"/>
  <c r="Z65" i="14"/>
  <c r="AA60" i="14"/>
  <c r="M58" i="14"/>
  <c r="J65" i="14"/>
  <c r="T63" i="14"/>
  <c r="K60" i="14"/>
  <c r="E58" i="14"/>
  <c r="AB76" i="14"/>
  <c r="T76" i="14"/>
  <c r="L76" i="14"/>
  <c r="AF69" i="14"/>
  <c r="X69" i="14"/>
  <c r="P69" i="14"/>
  <c r="H69" i="14"/>
  <c r="AD69" i="14"/>
  <c r="F69" i="14"/>
  <c r="AF74" i="14"/>
  <c r="X74" i="14"/>
  <c r="P74" i="14"/>
  <c r="H74" i="14"/>
  <c r="AA74" i="14"/>
  <c r="S74" i="14"/>
  <c r="K74" i="14"/>
  <c r="AC71" i="14"/>
  <c r="U71" i="14"/>
  <c r="M71" i="14"/>
  <c r="AE76" i="14"/>
  <c r="W76" i="14"/>
  <c r="O76" i="14"/>
  <c r="G76" i="14"/>
  <c r="AB69" i="14"/>
  <c r="U69" i="14"/>
  <c r="L69" i="14"/>
  <c r="AF76" i="14"/>
  <c r="X76" i="14"/>
  <c r="P76" i="14"/>
  <c r="H76" i="14"/>
  <c r="U74" i="14"/>
  <c r="AE71" i="14"/>
  <c r="W71" i="14"/>
  <c r="O71" i="14"/>
  <c r="G71" i="14"/>
  <c r="AG69" i="14"/>
  <c r="Y69" i="14"/>
  <c r="Q69" i="14"/>
  <c r="I69" i="14"/>
  <c r="AC76" i="14"/>
  <c r="U76" i="14"/>
  <c r="M76" i="14"/>
  <c r="Z74" i="14"/>
  <c r="R74" i="14"/>
  <c r="J74" i="14"/>
  <c r="AB71" i="14"/>
  <c r="T71" i="14"/>
  <c r="L71" i="14"/>
  <c r="V69" i="14"/>
  <c r="E71" i="14"/>
  <c r="K76" i="14"/>
  <c r="AG74" i="14"/>
  <c r="Y74" i="14"/>
  <c r="Q74" i="14"/>
  <c r="I74" i="14"/>
  <c r="AD71" i="14"/>
  <c r="V71" i="14"/>
  <c r="N71" i="14"/>
  <c r="F71" i="14"/>
  <c r="Z69" i="14"/>
  <c r="R69" i="14"/>
  <c r="J69" i="14"/>
  <c r="AG76" i="14"/>
  <c r="Y76" i="14"/>
  <c r="Q76" i="14"/>
  <c r="J76" i="14"/>
  <c r="AC74" i="14"/>
  <c r="M74" i="14"/>
  <c r="E74" i="14"/>
  <c r="Z71" i="14"/>
  <c r="R71" i="14"/>
  <c r="J71" i="14"/>
  <c r="AD76" i="14"/>
  <c r="V76" i="14"/>
  <c r="N76" i="14"/>
  <c r="F76" i="14"/>
  <c r="AG71" i="14"/>
  <c r="Y71" i="14"/>
  <c r="Q71" i="14"/>
  <c r="I71" i="14"/>
  <c r="E76" i="14"/>
  <c r="AE74" i="14"/>
  <c r="W74" i="14"/>
  <c r="O74" i="14"/>
  <c r="G74" i="14"/>
  <c r="AF71" i="14"/>
  <c r="X71" i="14"/>
  <c r="P71" i="14"/>
  <c r="H71" i="14"/>
  <c r="R76" i="14"/>
  <c r="T74" i="14"/>
  <c r="S71" i="14"/>
  <c r="AC69" i="14"/>
  <c r="M69" i="14"/>
  <c r="I76" i="14"/>
  <c r="T69" i="14"/>
  <c r="Z76" i="14"/>
  <c r="AB74" i="14"/>
  <c r="L74" i="14"/>
  <c r="AA71" i="14"/>
  <c r="K71" i="14"/>
  <c r="E69" i="14"/>
  <c r="F17" i="40" l="1"/>
  <c r="D17" i="40"/>
  <c r="E17" i="40"/>
  <c r="C17" i="40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2" i="30"/>
  <c r="D106" i="14"/>
  <c r="D26" i="29" l="1"/>
  <c r="D19" i="29"/>
  <c r="E104" i="14"/>
  <c r="F104" i="14"/>
  <c r="G104" i="14"/>
  <c r="H104" i="14"/>
  <c r="I104" i="14"/>
  <c r="J104" i="14"/>
  <c r="K104" i="14"/>
  <c r="L104" i="14"/>
  <c r="M104" i="14"/>
  <c r="N104" i="14"/>
  <c r="O104" i="14"/>
  <c r="P104" i="14"/>
  <c r="Q104" i="14"/>
  <c r="R104" i="14"/>
  <c r="S104" i="14"/>
  <c r="T104" i="14"/>
  <c r="U104" i="14"/>
  <c r="V104" i="14"/>
  <c r="W104" i="14"/>
  <c r="X104" i="14"/>
  <c r="Y104" i="14"/>
  <c r="Z104" i="14"/>
  <c r="AA104" i="14"/>
  <c r="AB104" i="14"/>
  <c r="AC104" i="14"/>
  <c r="AD104" i="14"/>
  <c r="AE104" i="14"/>
  <c r="AF104" i="14"/>
  <c r="AG104" i="14"/>
  <c r="D104" i="14"/>
  <c r="C36" i="14"/>
  <c r="F101" i="14" s="1"/>
  <c r="C22" i="14"/>
  <c r="E110" i="14"/>
  <c r="F110" i="14"/>
  <c r="G110" i="14"/>
  <c r="H110" i="14"/>
  <c r="I110" i="14"/>
  <c r="J110" i="14"/>
  <c r="K110" i="14"/>
  <c r="L110" i="14"/>
  <c r="M110" i="14"/>
  <c r="N110" i="14"/>
  <c r="O110" i="14"/>
  <c r="P110" i="14"/>
  <c r="Q110" i="14"/>
  <c r="R110" i="14"/>
  <c r="S110" i="14"/>
  <c r="T110" i="14"/>
  <c r="U110" i="14"/>
  <c r="V110" i="14"/>
  <c r="W110" i="14"/>
  <c r="X110" i="14"/>
  <c r="Y110" i="14"/>
  <c r="Z110" i="14"/>
  <c r="AA110" i="14"/>
  <c r="AB110" i="14"/>
  <c r="AC110" i="14"/>
  <c r="AD110" i="14"/>
  <c r="AE110" i="14"/>
  <c r="AF110" i="14"/>
  <c r="AG110" i="14"/>
  <c r="D110" i="14"/>
  <c r="E87" i="14" l="1"/>
  <c r="M87" i="14"/>
  <c r="U87" i="14"/>
  <c r="AC87" i="14"/>
  <c r="Q87" i="14"/>
  <c r="J87" i="14"/>
  <c r="F87" i="14"/>
  <c r="N87" i="14"/>
  <c r="V87" i="14"/>
  <c r="AD87" i="14"/>
  <c r="AG87" i="14"/>
  <c r="D87" i="14"/>
  <c r="G87" i="14"/>
  <c r="O87" i="14"/>
  <c r="W87" i="14"/>
  <c r="AE87" i="14"/>
  <c r="I87" i="14"/>
  <c r="Z87" i="14"/>
  <c r="H87" i="14"/>
  <c r="P87" i="14"/>
  <c r="X87" i="14"/>
  <c r="AF87" i="14"/>
  <c r="Y87" i="14"/>
  <c r="R87" i="14"/>
  <c r="K87" i="14"/>
  <c r="S87" i="14"/>
  <c r="AA87" i="14"/>
  <c r="L87" i="14"/>
  <c r="T87" i="14"/>
  <c r="AB87" i="14"/>
  <c r="S101" i="14"/>
  <c r="E101" i="14"/>
  <c r="AG101" i="14"/>
  <c r="AD100" i="14"/>
  <c r="AC100" i="14"/>
  <c r="AC101" i="14"/>
  <c r="R101" i="14"/>
  <c r="AB100" i="14"/>
  <c r="AB101" i="14"/>
  <c r="Q101" i="14"/>
  <c r="AA100" i="14"/>
  <c r="AA101" i="14"/>
  <c r="M101" i="14"/>
  <c r="Z101" i="14"/>
  <c r="L101" i="14"/>
  <c r="Y101" i="14"/>
  <c r="K101" i="14"/>
  <c r="U101" i="14"/>
  <c r="J101" i="14"/>
  <c r="AE100" i="14"/>
  <c r="D101" i="14"/>
  <c r="T101" i="14"/>
  <c r="I101" i="14"/>
  <c r="D21" i="29"/>
  <c r="D25" i="29" s="1"/>
  <c r="U100" i="14" s="1"/>
  <c r="Z100" i="14"/>
  <c r="AF101" i="14"/>
  <c r="X101" i="14"/>
  <c r="P101" i="14"/>
  <c r="H101" i="14"/>
  <c r="AG100" i="14"/>
  <c r="Y100" i="14"/>
  <c r="AE101" i="14"/>
  <c r="W101" i="14"/>
  <c r="O101" i="14"/>
  <c r="G101" i="14"/>
  <c r="AF100" i="14"/>
  <c r="X100" i="14"/>
  <c r="AD101" i="14"/>
  <c r="V101" i="14"/>
  <c r="N101" i="14"/>
  <c r="W100" i="14" l="1"/>
  <c r="V100" i="14"/>
  <c r="C13" i="14"/>
  <c r="D100" i="14"/>
  <c r="N100" i="14"/>
  <c r="F100" i="14"/>
  <c r="M100" i="14"/>
  <c r="J100" i="14"/>
  <c r="L100" i="14"/>
  <c r="O100" i="14"/>
  <c r="G100" i="14"/>
  <c r="R100" i="14"/>
  <c r="T100" i="14"/>
  <c r="Q100" i="14"/>
  <c r="S100" i="14"/>
  <c r="P100" i="14"/>
  <c r="E100" i="14"/>
  <c r="K100" i="14"/>
  <c r="H100" i="14"/>
  <c r="I100" i="14"/>
  <c r="J44" i="14" l="1"/>
  <c r="D18" i="14"/>
  <c r="H7" i="31" l="1"/>
  <c r="AF44" i="14"/>
  <c r="I44" i="14"/>
  <c r="AC44" i="14"/>
  <c r="T44" i="14"/>
  <c r="Q44" i="14"/>
  <c r="AG44" i="14"/>
  <c r="K44" i="14"/>
  <c r="AE44" i="14"/>
  <c r="H44" i="14"/>
  <c r="X44" i="14"/>
  <c r="U44" i="14"/>
  <c r="AD44" i="14"/>
  <c r="S44" i="14"/>
  <c r="E44" i="14"/>
  <c r="AB44" i="14"/>
  <c r="P44" i="14"/>
  <c r="AA44" i="14"/>
  <c r="M44" i="14"/>
  <c r="D44" i="14"/>
  <c r="Y44" i="14"/>
  <c r="L44" i="14"/>
  <c r="W44" i="14"/>
  <c r="O44" i="14"/>
  <c r="G44" i="14"/>
  <c r="V44" i="14"/>
  <c r="N44" i="14"/>
  <c r="F44" i="14"/>
  <c r="Z44" i="14"/>
  <c r="R44" i="14"/>
  <c r="D79" i="14"/>
  <c r="D50" i="14"/>
  <c r="D53" i="14"/>
  <c r="D85" i="14"/>
  <c r="D55" i="14"/>
  <c r="D83" i="14"/>
  <c r="D48" i="14"/>
  <c r="D81" i="14"/>
  <c r="D51" i="14"/>
  <c r="D46" i="14"/>
  <c r="D97" i="14" l="1"/>
  <c r="D96" i="14"/>
  <c r="C7" i="31"/>
  <c r="P7" i="31"/>
  <c r="J7" i="31"/>
  <c r="Q7" i="31"/>
  <c r="O7" i="31"/>
  <c r="R7" i="31"/>
  <c r="D7" i="31"/>
  <c r="B7" i="31"/>
  <c r="L7" i="31"/>
  <c r="K7" i="31"/>
  <c r="G7" i="31"/>
  <c r="F7" i="31"/>
  <c r="E7" i="31"/>
  <c r="N7" i="31"/>
  <c r="M7" i="31"/>
  <c r="I7" i="31"/>
  <c r="B5" i="31"/>
  <c r="B6" i="31"/>
  <c r="C11" i="14"/>
  <c r="B4" i="31" l="1"/>
  <c r="AG91" i="14" l="1"/>
  <c r="AF91" i="14"/>
  <c r="AE91" i="14"/>
  <c r="AD91" i="14"/>
  <c r="AC91" i="14"/>
  <c r="AB91" i="14"/>
  <c r="AA91" i="14"/>
  <c r="Z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C35" i="14" l="1"/>
  <c r="E119" i="14" l="1"/>
  <c r="M119" i="14"/>
  <c r="U119" i="14"/>
  <c r="U118" i="14" s="1"/>
  <c r="AC119" i="14"/>
  <c r="AC118" i="14" s="1"/>
  <c r="Z119" i="14"/>
  <c r="Z118" i="14" s="1"/>
  <c r="F119" i="14"/>
  <c r="N119" i="14"/>
  <c r="V119" i="14"/>
  <c r="V118" i="14" s="1"/>
  <c r="AD119" i="14"/>
  <c r="AD118" i="14" s="1"/>
  <c r="G119" i="14"/>
  <c r="G118" i="14" s="1"/>
  <c r="O119" i="14"/>
  <c r="W119" i="14"/>
  <c r="W118" i="14" s="1"/>
  <c r="AE119" i="14"/>
  <c r="AE118" i="14" s="1"/>
  <c r="H119" i="14"/>
  <c r="P119" i="14"/>
  <c r="X119" i="14"/>
  <c r="X118" i="14" s="1"/>
  <c r="AF119" i="14"/>
  <c r="AF118" i="14" s="1"/>
  <c r="I119" i="14"/>
  <c r="I118" i="14" s="1"/>
  <c r="Q119" i="14"/>
  <c r="Y119" i="14"/>
  <c r="Y118" i="14" s="1"/>
  <c r="AG119" i="14"/>
  <c r="AG118" i="14" s="1"/>
  <c r="K119" i="14"/>
  <c r="S119" i="14"/>
  <c r="S118" i="14" s="1"/>
  <c r="AA119" i="14"/>
  <c r="AA118" i="14" s="1"/>
  <c r="J119" i="14"/>
  <c r="L119" i="14"/>
  <c r="T119" i="14"/>
  <c r="T118" i="14" s="1"/>
  <c r="AB119" i="14"/>
  <c r="AB118" i="14" s="1"/>
  <c r="R119" i="14"/>
  <c r="D119" i="14"/>
  <c r="D118" i="14" s="1"/>
  <c r="C20" i="14" l="1"/>
  <c r="C153" i="14" s="1"/>
  <c r="C155" i="14" s="1"/>
  <c r="F118" i="14"/>
  <c r="O118" i="14"/>
  <c r="R118" i="14"/>
  <c r="H118" i="14"/>
  <c r="Q118" i="14"/>
  <c r="P118" i="14"/>
  <c r="N118" i="14"/>
  <c r="J118" i="14"/>
  <c r="K118" i="14"/>
  <c r="L118" i="14"/>
  <c r="E118" i="14"/>
  <c r="M118" i="14"/>
  <c r="AG160" i="14" l="1"/>
  <c r="AF160" i="14"/>
  <c r="AE160" i="14"/>
  <c r="AD160" i="14"/>
  <c r="AC160" i="14"/>
  <c r="AB160" i="14"/>
  <c r="AA160" i="14"/>
  <c r="Z160" i="14"/>
  <c r="Y160" i="14"/>
  <c r="X160" i="14"/>
  <c r="D150" i="14" l="1"/>
  <c r="B3" i="31" l="1"/>
  <c r="E39" i="14"/>
  <c r="E48" i="14"/>
  <c r="E106" i="14"/>
  <c r="E53" i="14"/>
  <c r="E85" i="14"/>
  <c r="E50" i="14"/>
  <c r="E51" i="14"/>
  <c r="E55" i="14"/>
  <c r="E83" i="14"/>
  <c r="E81" i="14"/>
  <c r="E79" i="14"/>
  <c r="E46" i="14"/>
  <c r="E96" i="14" l="1"/>
  <c r="E97" i="14"/>
  <c r="C6" i="31"/>
  <c r="C5" i="31"/>
  <c r="C3" i="31"/>
  <c r="F39" i="14"/>
  <c r="F83" i="14"/>
  <c r="F53" i="14"/>
  <c r="F48" i="14"/>
  <c r="F85" i="14"/>
  <c r="F55" i="14"/>
  <c r="F81" i="14"/>
  <c r="F79" i="14"/>
  <c r="F51" i="14"/>
  <c r="F106" i="14"/>
  <c r="F46" i="14"/>
  <c r="F50" i="14"/>
  <c r="F96" i="14" l="1"/>
  <c r="F97" i="14"/>
  <c r="C4" i="31"/>
  <c r="D6" i="31"/>
  <c r="D5" i="31"/>
  <c r="D3" i="31"/>
  <c r="E84" i="14"/>
  <c r="D95" i="14"/>
  <c r="E80" i="14"/>
  <c r="G39" i="14"/>
  <c r="G79" i="14"/>
  <c r="G53" i="14"/>
  <c r="G83" i="14"/>
  <c r="G55" i="14"/>
  <c r="G81" i="14"/>
  <c r="G48" i="14"/>
  <c r="G50" i="14"/>
  <c r="G51" i="14"/>
  <c r="G106" i="14"/>
  <c r="G46" i="14"/>
  <c r="G85" i="14"/>
  <c r="D103" i="14" l="1"/>
  <c r="D99" i="14" s="1"/>
  <c r="G96" i="14"/>
  <c r="G97" i="14"/>
  <c r="D4" i="31"/>
  <c r="E6" i="31"/>
  <c r="E5" i="31"/>
  <c r="D164" i="14"/>
  <c r="E3" i="31"/>
  <c r="F80" i="14"/>
  <c r="F84" i="14"/>
  <c r="H39" i="14"/>
  <c r="H53" i="14"/>
  <c r="H83" i="14"/>
  <c r="H85" i="14"/>
  <c r="H81" i="14"/>
  <c r="H48" i="14"/>
  <c r="H46" i="14"/>
  <c r="H79" i="14"/>
  <c r="H106" i="14"/>
  <c r="H50" i="14"/>
  <c r="H51" i="14"/>
  <c r="H55" i="14"/>
  <c r="H96" i="14" l="1"/>
  <c r="H97" i="14"/>
  <c r="D108" i="14"/>
  <c r="E4" i="31"/>
  <c r="F6" i="31"/>
  <c r="F5" i="31"/>
  <c r="F3" i="31"/>
  <c r="G84" i="14"/>
  <c r="G80" i="14"/>
  <c r="I39" i="14"/>
  <c r="I50" i="14"/>
  <c r="I53" i="14"/>
  <c r="I48" i="14"/>
  <c r="I46" i="14"/>
  <c r="I81" i="14"/>
  <c r="I85" i="14"/>
  <c r="I79" i="14"/>
  <c r="I51" i="14"/>
  <c r="I106" i="14"/>
  <c r="I83" i="14"/>
  <c r="I55" i="14"/>
  <c r="I96" i="14" l="1"/>
  <c r="I97" i="14"/>
  <c r="F4" i="31"/>
  <c r="G6" i="31"/>
  <c r="G5" i="31"/>
  <c r="G3" i="31"/>
  <c r="H80" i="14"/>
  <c r="H84" i="14"/>
  <c r="J39" i="14"/>
  <c r="J46" i="14"/>
  <c r="J81" i="14"/>
  <c r="J48" i="14"/>
  <c r="J106" i="14"/>
  <c r="J50" i="14"/>
  <c r="J53" i="14"/>
  <c r="J85" i="14"/>
  <c r="J55" i="14"/>
  <c r="J83" i="14"/>
  <c r="J79" i="14"/>
  <c r="J51" i="14"/>
  <c r="J96" i="14" l="1"/>
  <c r="J97" i="14"/>
  <c r="G4" i="31"/>
  <c r="H5" i="31"/>
  <c r="H6" i="31"/>
  <c r="H3" i="31"/>
  <c r="I80" i="14"/>
  <c r="I84" i="14"/>
  <c r="K39" i="14"/>
  <c r="K55" i="14"/>
  <c r="K48" i="14"/>
  <c r="K81" i="14"/>
  <c r="K79" i="14"/>
  <c r="K85" i="14"/>
  <c r="K50" i="14"/>
  <c r="K51" i="14"/>
  <c r="K83" i="14"/>
  <c r="K53" i="14"/>
  <c r="K46" i="14"/>
  <c r="K106" i="14"/>
  <c r="K96" i="14" l="1"/>
  <c r="K97" i="14"/>
  <c r="H4" i="31"/>
  <c r="I5" i="31"/>
  <c r="I6" i="31"/>
  <c r="I3" i="31"/>
  <c r="J84" i="14"/>
  <c r="J80" i="14"/>
  <c r="L39" i="14"/>
  <c r="L55" i="14"/>
  <c r="L46" i="14"/>
  <c r="L83" i="14"/>
  <c r="L85" i="14"/>
  <c r="L48" i="14"/>
  <c r="L53" i="14"/>
  <c r="L51" i="14"/>
  <c r="L81" i="14"/>
  <c r="L79" i="14"/>
  <c r="L106" i="14"/>
  <c r="L50" i="14"/>
  <c r="L96" i="14" l="1"/>
  <c r="L97" i="14"/>
  <c r="I4" i="31"/>
  <c r="J5" i="31"/>
  <c r="J6" i="31"/>
  <c r="J3" i="31"/>
  <c r="K84" i="14"/>
  <c r="K80" i="14"/>
  <c r="G95" i="14"/>
  <c r="G103" i="14" s="1"/>
  <c r="J95" i="14"/>
  <c r="J103" i="14" s="1"/>
  <c r="F95" i="14"/>
  <c r="F103" i="14" s="1"/>
  <c r="I95" i="14"/>
  <c r="I103" i="14" s="1"/>
  <c r="E95" i="14"/>
  <c r="H95" i="14"/>
  <c r="H103" i="14" s="1"/>
  <c r="M39" i="14"/>
  <c r="E47" i="14"/>
  <c r="D113" i="14"/>
  <c r="D109" i="14" s="1"/>
  <c r="M48" i="14"/>
  <c r="M83" i="14"/>
  <c r="M79" i="14"/>
  <c r="M106" i="14"/>
  <c r="M53" i="14"/>
  <c r="M55" i="14"/>
  <c r="M81" i="14"/>
  <c r="M46" i="14"/>
  <c r="M50" i="14"/>
  <c r="M51" i="14"/>
  <c r="M85" i="14"/>
  <c r="E103" i="14" l="1"/>
  <c r="M96" i="14"/>
  <c r="M97" i="14"/>
  <c r="J4" i="31"/>
  <c r="K6" i="31"/>
  <c r="K5" i="31"/>
  <c r="I164" i="14"/>
  <c r="J164" i="14"/>
  <c r="E164" i="14"/>
  <c r="H164" i="14"/>
  <c r="F164" i="14"/>
  <c r="G164" i="14"/>
  <c r="K3" i="31"/>
  <c r="K95" i="14"/>
  <c r="K103" i="14" s="1"/>
  <c r="L80" i="14"/>
  <c r="L84" i="14"/>
  <c r="N39" i="14"/>
  <c r="E52" i="14"/>
  <c r="F47" i="14"/>
  <c r="L47" i="14"/>
  <c r="J47" i="14"/>
  <c r="N48" i="14"/>
  <c r="N106" i="14"/>
  <c r="N79" i="14"/>
  <c r="N85" i="14"/>
  <c r="N53" i="14"/>
  <c r="N83" i="14"/>
  <c r="N50" i="14"/>
  <c r="N51" i="14"/>
  <c r="N55" i="14"/>
  <c r="N46" i="14"/>
  <c r="N81" i="14"/>
  <c r="N96" i="14" l="1"/>
  <c r="N97" i="14"/>
  <c r="K4" i="31"/>
  <c r="L6" i="31"/>
  <c r="L5" i="31"/>
  <c r="K164" i="14"/>
  <c r="L3" i="31"/>
  <c r="M84" i="14"/>
  <c r="L95" i="14"/>
  <c r="L103" i="14" s="1"/>
  <c r="M80" i="14"/>
  <c r="O39" i="14"/>
  <c r="M47" i="14"/>
  <c r="G47" i="14"/>
  <c r="H47" i="14"/>
  <c r="I47" i="14"/>
  <c r="K47" i="14"/>
  <c r="M49" i="14"/>
  <c r="J49" i="14"/>
  <c r="E49" i="14"/>
  <c r="H49" i="14"/>
  <c r="F49" i="14"/>
  <c r="G49" i="14"/>
  <c r="K49" i="14"/>
  <c r="I49" i="14"/>
  <c r="L49" i="14"/>
  <c r="O50" i="14"/>
  <c r="O46" i="14"/>
  <c r="O53" i="14"/>
  <c r="O81" i="14"/>
  <c r="O83" i="14"/>
  <c r="O51" i="14"/>
  <c r="O79" i="14"/>
  <c r="O55" i="14"/>
  <c r="O85" i="14"/>
  <c r="O48" i="14"/>
  <c r="O106" i="14"/>
  <c r="O96" i="14" l="1"/>
  <c r="O97" i="14"/>
  <c r="L4" i="31"/>
  <c r="M6" i="31"/>
  <c r="M5" i="31"/>
  <c r="L164" i="14"/>
  <c r="N49" i="14"/>
  <c r="M3" i="31"/>
  <c r="M95" i="14"/>
  <c r="M103" i="14" s="1"/>
  <c r="N84" i="14"/>
  <c r="N80" i="14"/>
  <c r="N47" i="14"/>
  <c r="P39" i="14"/>
  <c r="F52" i="14"/>
  <c r="E54" i="14"/>
  <c r="P51" i="14"/>
  <c r="P55" i="14"/>
  <c r="P53" i="14"/>
  <c r="P50" i="14"/>
  <c r="P81" i="14"/>
  <c r="P46" i="14"/>
  <c r="P79" i="14"/>
  <c r="P85" i="14"/>
  <c r="P48" i="14"/>
  <c r="P106" i="14"/>
  <c r="P83" i="14"/>
  <c r="P96" i="14" l="1"/>
  <c r="P97" i="14"/>
  <c r="M4" i="31"/>
  <c r="N6" i="31"/>
  <c r="P52" i="14"/>
  <c r="N5" i="31"/>
  <c r="M164" i="14"/>
  <c r="O49" i="14"/>
  <c r="N3" i="31"/>
  <c r="O84" i="14"/>
  <c r="N95" i="14"/>
  <c r="N103" i="14" s="1"/>
  <c r="O80" i="14"/>
  <c r="O47" i="14"/>
  <c r="Q39" i="14"/>
  <c r="J52" i="14"/>
  <c r="M52" i="14"/>
  <c r="N54" i="14"/>
  <c r="F54" i="14"/>
  <c r="I54" i="14"/>
  <c r="L52" i="14"/>
  <c r="N52" i="14"/>
  <c r="G52" i="14"/>
  <c r="O52" i="14"/>
  <c r="L54" i="14"/>
  <c r="H52" i="14"/>
  <c r="K54" i="14"/>
  <c r="G54" i="14"/>
  <c r="M54" i="14"/>
  <c r="K52" i="14"/>
  <c r="I52" i="14"/>
  <c r="J54" i="14"/>
  <c r="H54" i="14"/>
  <c r="O54" i="14"/>
  <c r="Q81" i="14"/>
  <c r="Q51" i="14"/>
  <c r="Q55" i="14"/>
  <c r="Q83" i="14"/>
  <c r="Q53" i="14"/>
  <c r="Q48" i="14"/>
  <c r="Q106" i="14"/>
  <c r="Q46" i="14"/>
  <c r="Q85" i="14"/>
  <c r="Q50" i="14"/>
  <c r="Q79" i="14"/>
  <c r="Q96" i="14" l="1"/>
  <c r="Q97" i="14"/>
  <c r="N4" i="31"/>
  <c r="O6" i="31"/>
  <c r="Q52" i="14"/>
  <c r="O5" i="31"/>
  <c r="N164" i="14"/>
  <c r="P54" i="14"/>
  <c r="P49" i="14"/>
  <c r="O3" i="31"/>
  <c r="O95" i="14"/>
  <c r="O103" i="14" s="1"/>
  <c r="P80" i="14"/>
  <c r="P84" i="14"/>
  <c r="P47" i="14"/>
  <c r="R39" i="14"/>
  <c r="R106" i="14"/>
  <c r="R53" i="14"/>
  <c r="R81" i="14"/>
  <c r="R50" i="14"/>
  <c r="R85" i="14"/>
  <c r="R83" i="14"/>
  <c r="R79" i="14"/>
  <c r="R46" i="14"/>
  <c r="R51" i="14"/>
  <c r="R48" i="14"/>
  <c r="R55" i="14"/>
  <c r="R96" i="14" l="1"/>
  <c r="R97" i="14"/>
  <c r="O4" i="31"/>
  <c r="P5" i="31"/>
  <c r="P6" i="31"/>
  <c r="R52" i="14"/>
  <c r="O164" i="14"/>
  <c r="Q54" i="14"/>
  <c r="Q49" i="14"/>
  <c r="P3" i="31"/>
  <c r="P95" i="14"/>
  <c r="P103" i="14" s="1"/>
  <c r="Q80" i="14"/>
  <c r="Q47" i="14"/>
  <c r="Q84" i="14"/>
  <c r="S39" i="14"/>
  <c r="C18" i="14"/>
  <c r="C17" i="14" s="1"/>
  <c r="C25" i="14" s="1"/>
  <c r="S106" i="14"/>
  <c r="S81" i="14"/>
  <c r="S79" i="14"/>
  <c r="S50" i="14"/>
  <c r="S85" i="14"/>
  <c r="S83" i="14"/>
  <c r="S53" i="14"/>
  <c r="S46" i="14"/>
  <c r="S51" i="14"/>
  <c r="S55" i="14"/>
  <c r="S48" i="14"/>
  <c r="S96" i="14" l="1"/>
  <c r="S97" i="14"/>
  <c r="P4" i="31"/>
  <c r="Q5" i="31"/>
  <c r="S52" i="14"/>
  <c r="Q6" i="31"/>
  <c r="P164" i="14"/>
  <c r="R54" i="14"/>
  <c r="R49" i="14"/>
  <c r="Q3" i="31"/>
  <c r="Q95" i="14"/>
  <c r="Q103" i="14" s="1"/>
  <c r="R84" i="14"/>
  <c r="R47" i="14"/>
  <c r="R80" i="14"/>
  <c r="T39" i="14"/>
  <c r="T46" i="14"/>
  <c r="T51" i="14"/>
  <c r="T53" i="14"/>
  <c r="T79" i="14"/>
  <c r="T50" i="14"/>
  <c r="T48" i="14"/>
  <c r="T85" i="14"/>
  <c r="T106" i="14"/>
  <c r="T81" i="14"/>
  <c r="T83" i="14"/>
  <c r="T55" i="14"/>
  <c r="T96" i="14" l="1"/>
  <c r="T97" i="14"/>
  <c r="Q4" i="31"/>
  <c r="T52" i="14"/>
  <c r="R5" i="31"/>
  <c r="R6" i="31"/>
  <c r="Q164" i="14"/>
  <c r="S49" i="14"/>
  <c r="S54" i="14"/>
  <c r="R3" i="31"/>
  <c r="R95" i="14"/>
  <c r="R103" i="14" s="1"/>
  <c r="S47" i="14"/>
  <c r="S84" i="14"/>
  <c r="S80" i="14"/>
  <c r="U39" i="14"/>
  <c r="U53" i="14"/>
  <c r="U55" i="14"/>
  <c r="U48" i="14"/>
  <c r="U83" i="14"/>
  <c r="U85" i="14"/>
  <c r="U46" i="14"/>
  <c r="U106" i="14"/>
  <c r="U51" i="14"/>
  <c r="U79" i="14"/>
  <c r="U81" i="14"/>
  <c r="U50" i="14"/>
  <c r="U96" i="14" l="1"/>
  <c r="U97" i="14"/>
  <c r="R4" i="31"/>
  <c r="U52" i="14"/>
  <c r="U49" i="14"/>
  <c r="U54" i="14"/>
  <c r="R164" i="14"/>
  <c r="T54" i="14"/>
  <c r="T49" i="14"/>
  <c r="T80" i="14"/>
  <c r="T47" i="14"/>
  <c r="T84" i="14"/>
  <c r="S95" i="14"/>
  <c r="S103" i="14" s="1"/>
  <c r="V39" i="14"/>
  <c r="D19" i="14"/>
  <c r="V106" i="14"/>
  <c r="V46" i="14"/>
  <c r="V55" i="14"/>
  <c r="V81" i="14"/>
  <c r="V83" i="14"/>
  <c r="V50" i="14"/>
  <c r="V51" i="14"/>
  <c r="V79" i="14"/>
  <c r="V85" i="14"/>
  <c r="V48" i="14"/>
  <c r="V53" i="14"/>
  <c r="V96" i="14" l="1"/>
  <c r="V97" i="14"/>
  <c r="V54" i="14"/>
  <c r="V49" i="14"/>
  <c r="V52" i="14"/>
  <c r="S164" i="14"/>
  <c r="U84" i="14"/>
  <c r="U80" i="14"/>
  <c r="U47" i="14"/>
  <c r="T95" i="14"/>
  <c r="W39" i="14"/>
  <c r="W79" i="14"/>
  <c r="W85" i="14"/>
  <c r="W53" i="14"/>
  <c r="W50" i="14"/>
  <c r="W81" i="14"/>
  <c r="W48" i="14"/>
  <c r="W83" i="14"/>
  <c r="W46" i="14"/>
  <c r="W106" i="14"/>
  <c r="W55" i="14"/>
  <c r="W51" i="14"/>
  <c r="T103" i="14" l="1"/>
  <c r="W96" i="14"/>
  <c r="W97" i="14"/>
  <c r="S99" i="14"/>
  <c r="S108" i="14" s="1"/>
  <c r="W49" i="14"/>
  <c r="W54" i="14"/>
  <c r="W52" i="14"/>
  <c r="U95" i="14"/>
  <c r="U103" i="14" s="1"/>
  <c r="T164" i="14"/>
  <c r="V80" i="14"/>
  <c r="V84" i="14"/>
  <c r="V47" i="14"/>
  <c r="X39" i="14"/>
  <c r="X83" i="14"/>
  <c r="X79" i="14"/>
  <c r="X53" i="14"/>
  <c r="X106" i="14"/>
  <c r="X51" i="14"/>
  <c r="X55" i="14"/>
  <c r="X48" i="14"/>
  <c r="X50" i="14"/>
  <c r="X81" i="14"/>
  <c r="X46" i="14"/>
  <c r="X85" i="14"/>
  <c r="X96" i="14" l="1"/>
  <c r="X97" i="14"/>
  <c r="T99" i="14"/>
  <c r="T108" i="14" s="1"/>
  <c r="X49" i="14"/>
  <c r="X54" i="14"/>
  <c r="X52" i="14"/>
  <c r="V95" i="14"/>
  <c r="V103" i="14" s="1"/>
  <c r="U164" i="14"/>
  <c r="W84" i="14"/>
  <c r="W47" i="14"/>
  <c r="W80" i="14"/>
  <c r="Y39" i="14"/>
  <c r="Y55" i="14"/>
  <c r="Y46" i="14"/>
  <c r="Y85" i="14"/>
  <c r="Y79" i="14"/>
  <c r="Y50" i="14"/>
  <c r="Y81" i="14"/>
  <c r="Y48" i="14"/>
  <c r="Y83" i="14"/>
  <c r="Y106" i="14"/>
  <c r="Y51" i="14"/>
  <c r="Y53" i="14"/>
  <c r="Y96" i="14" l="1"/>
  <c r="Y97" i="14"/>
  <c r="U99" i="14"/>
  <c r="U108" i="14" s="1"/>
  <c r="Y49" i="14"/>
  <c r="Y54" i="14"/>
  <c r="Y52" i="14"/>
  <c r="W95" i="14"/>
  <c r="W103" i="14" s="1"/>
  <c r="V164" i="14"/>
  <c r="X80" i="14"/>
  <c r="X47" i="14"/>
  <c r="X84" i="14"/>
  <c r="Z39" i="14"/>
  <c r="D163" i="14"/>
  <c r="Z50" i="14"/>
  <c r="Z81" i="14"/>
  <c r="Z48" i="14"/>
  <c r="Z55" i="14"/>
  <c r="Z85" i="14"/>
  <c r="Z53" i="14"/>
  <c r="Z51" i="14"/>
  <c r="Z83" i="14"/>
  <c r="Z46" i="14"/>
  <c r="Z79" i="14"/>
  <c r="Z106" i="14"/>
  <c r="Z96" i="14" l="1"/>
  <c r="Z97" i="14"/>
  <c r="V99" i="14"/>
  <c r="V108" i="14" s="1"/>
  <c r="Z49" i="14"/>
  <c r="Z54" i="14"/>
  <c r="W99" i="14"/>
  <c r="W108" i="14" s="1"/>
  <c r="W164" i="14"/>
  <c r="X95" i="14"/>
  <c r="X103" i="14" s="1"/>
  <c r="D117" i="14"/>
  <c r="Y47" i="14"/>
  <c r="Y84" i="14"/>
  <c r="Y80" i="14"/>
  <c r="AA39" i="14"/>
  <c r="AA53" i="14"/>
  <c r="AA106" i="14"/>
  <c r="AA46" i="14"/>
  <c r="AA55" i="14"/>
  <c r="AA85" i="14"/>
  <c r="AA83" i="14"/>
  <c r="AA81" i="14"/>
  <c r="AA79" i="14"/>
  <c r="AA51" i="14"/>
  <c r="AA50" i="14"/>
  <c r="AA48" i="14"/>
  <c r="AA96" i="14" l="1"/>
  <c r="AA97" i="14"/>
  <c r="AA52" i="14"/>
  <c r="AA49" i="14"/>
  <c r="AA54" i="14"/>
  <c r="Y95" i="14"/>
  <c r="Y103" i="14" s="1"/>
  <c r="X164" i="14"/>
  <c r="D122" i="14"/>
  <c r="D153" i="14"/>
  <c r="D155" i="14" s="1"/>
  <c r="Z84" i="14"/>
  <c r="X113" i="14"/>
  <c r="Z80" i="14"/>
  <c r="Z47" i="14"/>
  <c r="Z52" i="14"/>
  <c r="AB39" i="14"/>
  <c r="E113" i="14"/>
  <c r="F113" i="14"/>
  <c r="G113" i="14"/>
  <c r="H113" i="14"/>
  <c r="I113" i="14"/>
  <c r="J113" i="14"/>
  <c r="K113" i="14"/>
  <c r="L113" i="14"/>
  <c r="L99" i="14"/>
  <c r="K99" i="14"/>
  <c r="J99" i="14"/>
  <c r="I99" i="14"/>
  <c r="H99" i="14"/>
  <c r="G99" i="14"/>
  <c r="F99" i="14"/>
  <c r="E99" i="14"/>
  <c r="AB106" i="14"/>
  <c r="AB48" i="14"/>
  <c r="AB50" i="14"/>
  <c r="AB83" i="14"/>
  <c r="AB46" i="14"/>
  <c r="AB79" i="14"/>
  <c r="AB53" i="14"/>
  <c r="AB81" i="14"/>
  <c r="AB85" i="14"/>
  <c r="AB51" i="14"/>
  <c r="AB55" i="14"/>
  <c r="AB96" i="14" l="1"/>
  <c r="AB97" i="14"/>
  <c r="X99" i="14"/>
  <c r="X108" i="14" s="1"/>
  <c r="AB49" i="14"/>
  <c r="AB54" i="14"/>
  <c r="Z95" i="14"/>
  <c r="Z103" i="14" s="1"/>
  <c r="Y164" i="14"/>
  <c r="E108" i="14"/>
  <c r="F108" i="14"/>
  <c r="F163" i="14" s="1"/>
  <c r="I108" i="14"/>
  <c r="I163" i="14" s="1"/>
  <c r="L108" i="14"/>
  <c r="L163" i="14" s="1"/>
  <c r="J108" i="14"/>
  <c r="J163" i="14" s="1"/>
  <c r="K108" i="14"/>
  <c r="K163" i="14" s="1"/>
  <c r="G108" i="14"/>
  <c r="G163" i="14" s="1"/>
  <c r="H108" i="14"/>
  <c r="H163" i="14" s="1"/>
  <c r="D156" i="14"/>
  <c r="AA80" i="14"/>
  <c r="Y113" i="14"/>
  <c r="AA84" i="14"/>
  <c r="AA47" i="14"/>
  <c r="AC39" i="14"/>
  <c r="D154" i="14"/>
  <c r="M99" i="14"/>
  <c r="M113" i="14"/>
  <c r="AC51" i="14"/>
  <c r="AC48" i="14"/>
  <c r="AC79" i="14"/>
  <c r="AC46" i="14"/>
  <c r="AC81" i="14"/>
  <c r="AC83" i="14"/>
  <c r="AC55" i="14"/>
  <c r="AC50" i="14"/>
  <c r="AC53" i="14"/>
  <c r="AC85" i="14"/>
  <c r="AC106" i="14"/>
  <c r="AC96" i="14" l="1"/>
  <c r="AC97" i="14"/>
  <c r="Y99" i="14"/>
  <c r="Y108" i="14" s="1"/>
  <c r="AC54" i="14"/>
  <c r="AC49" i="14"/>
  <c r="Z99" i="14"/>
  <c r="Z108" i="14" s="1"/>
  <c r="Z113" i="14"/>
  <c r="Z109" i="14" s="1"/>
  <c r="Z164" i="14"/>
  <c r="AA95" i="14"/>
  <c r="AA103" i="14" s="1"/>
  <c r="M108" i="14"/>
  <c r="M163" i="14" s="1"/>
  <c r="AB84" i="14"/>
  <c r="AB47" i="14"/>
  <c r="AB80" i="14"/>
  <c r="AB52" i="14"/>
  <c r="AD39" i="14"/>
  <c r="H109" i="14"/>
  <c r="K109" i="14"/>
  <c r="J109" i="14"/>
  <c r="L109" i="14"/>
  <c r="E109" i="14"/>
  <c r="I109" i="14"/>
  <c r="F109" i="14"/>
  <c r="F117" i="14" s="1"/>
  <c r="F122" i="14" s="1"/>
  <c r="E163" i="14"/>
  <c r="N99" i="14"/>
  <c r="N113" i="14"/>
  <c r="AD48" i="14"/>
  <c r="AD46" i="14"/>
  <c r="AD81" i="14"/>
  <c r="AD53" i="14"/>
  <c r="AD79" i="14"/>
  <c r="AD83" i="14"/>
  <c r="AD106" i="14"/>
  <c r="AD50" i="14"/>
  <c r="AD51" i="14"/>
  <c r="AD55" i="14"/>
  <c r="AD85" i="14"/>
  <c r="AD96" i="14" l="1"/>
  <c r="AD97" i="14"/>
  <c r="AD54" i="14"/>
  <c r="AD52" i="14"/>
  <c r="AD49" i="14"/>
  <c r="Z117" i="14"/>
  <c r="Z163" i="14" s="1"/>
  <c r="AB95" i="14"/>
  <c r="AB103" i="14" s="1"/>
  <c r="AA164" i="14"/>
  <c r="N108" i="14"/>
  <c r="N163" i="14" s="1"/>
  <c r="AC84" i="14"/>
  <c r="AC80" i="14"/>
  <c r="AC47" i="14"/>
  <c r="AA113" i="14"/>
  <c r="AC52" i="14"/>
  <c r="AE39" i="14"/>
  <c r="K117" i="14"/>
  <c r="K122" i="14" s="1"/>
  <c r="H117" i="14"/>
  <c r="I117" i="14"/>
  <c r="I122" i="14" s="1"/>
  <c r="E117" i="14"/>
  <c r="E122" i="14" s="1"/>
  <c r="L117" i="14"/>
  <c r="L122" i="14" s="1"/>
  <c r="J117" i="14"/>
  <c r="J122" i="14" s="1"/>
  <c r="M109" i="14"/>
  <c r="O113" i="14"/>
  <c r="O99" i="14"/>
  <c r="AE46" i="14"/>
  <c r="AE53" i="14"/>
  <c r="AE85" i="14"/>
  <c r="AE48" i="14"/>
  <c r="AE55" i="14"/>
  <c r="AE79" i="14"/>
  <c r="AE83" i="14"/>
  <c r="AE50" i="14"/>
  <c r="AE81" i="14"/>
  <c r="AE106" i="14"/>
  <c r="AE51" i="14"/>
  <c r="AE96" i="14" l="1"/>
  <c r="AE97" i="14"/>
  <c r="AA99" i="14"/>
  <c r="AA108" i="14" s="1"/>
  <c r="AE49" i="14"/>
  <c r="AE54" i="14"/>
  <c r="Z153" i="14"/>
  <c r="Z122" i="14"/>
  <c r="AC95" i="14"/>
  <c r="AC103" i="14" s="1"/>
  <c r="O108" i="14"/>
  <c r="O163" i="14" s="1"/>
  <c r="AB113" i="14"/>
  <c r="AA109" i="14"/>
  <c r="AD80" i="14"/>
  <c r="AD47" i="14"/>
  <c r="AD84" i="14"/>
  <c r="AF39" i="14"/>
  <c r="H153" i="14"/>
  <c r="H122" i="14"/>
  <c r="L153" i="14"/>
  <c r="J153" i="14"/>
  <c r="F153" i="14"/>
  <c r="K153" i="14"/>
  <c r="M117" i="14"/>
  <c r="I153" i="14"/>
  <c r="E153" i="14"/>
  <c r="E154" i="14" s="1"/>
  <c r="N109" i="14"/>
  <c r="P113" i="14"/>
  <c r="P99" i="14"/>
  <c r="AF85" i="14"/>
  <c r="AF53" i="14"/>
  <c r="AF81" i="14"/>
  <c r="AF79" i="14"/>
  <c r="AF46" i="14"/>
  <c r="AF55" i="14"/>
  <c r="AF48" i="14"/>
  <c r="AF50" i="14"/>
  <c r="AF106" i="14"/>
  <c r="AF83" i="14"/>
  <c r="AF51" i="14"/>
  <c r="AF96" i="14" l="1"/>
  <c r="AF97" i="14"/>
  <c r="AA117" i="14"/>
  <c r="AA153" i="14" s="1"/>
  <c r="AB99" i="14"/>
  <c r="AB108" i="14" s="1"/>
  <c r="AF49" i="14"/>
  <c r="AF54" i="14"/>
  <c r="AF52" i="14"/>
  <c r="AD95" i="14"/>
  <c r="AD103" i="14" s="1"/>
  <c r="P108" i="14"/>
  <c r="P163" i="14" s="1"/>
  <c r="AB109" i="14"/>
  <c r="AC113" i="14"/>
  <c r="AE47" i="14"/>
  <c r="AE80" i="14"/>
  <c r="AE84" i="14"/>
  <c r="AG39" i="14"/>
  <c r="AE52" i="14"/>
  <c r="M153" i="14"/>
  <c r="M122" i="14"/>
  <c r="F154" i="14"/>
  <c r="N117" i="14"/>
  <c r="N122" i="14" s="1"/>
  <c r="O109" i="14"/>
  <c r="Q113" i="14"/>
  <c r="Q99" i="14"/>
  <c r="AG83" i="14"/>
  <c r="AG50" i="14"/>
  <c r="AG81" i="14"/>
  <c r="AG55" i="14"/>
  <c r="AG48" i="14"/>
  <c r="AG79" i="14"/>
  <c r="AG85" i="14"/>
  <c r="AG53" i="14"/>
  <c r="AG51" i="14"/>
  <c r="AG46" i="14"/>
  <c r="AG106" i="14"/>
  <c r="AG96" i="14" l="1"/>
  <c r="AG97" i="14"/>
  <c r="AA163" i="14"/>
  <c r="AA122" i="14"/>
  <c r="AB117" i="14"/>
  <c r="AB122" i="14" s="1"/>
  <c r="AC99" i="14"/>
  <c r="AC108" i="14" s="1"/>
  <c r="AG49" i="14"/>
  <c r="AG54" i="14"/>
  <c r="AG52" i="14"/>
  <c r="AD99" i="14"/>
  <c r="AD108" i="14" s="1"/>
  <c r="AE95" i="14"/>
  <c r="AE103" i="14" s="1"/>
  <c r="AC109" i="14"/>
  <c r="Q108" i="14"/>
  <c r="Q163" i="14" s="1"/>
  <c r="AD113" i="14"/>
  <c r="AF80" i="14"/>
  <c r="AF84" i="14"/>
  <c r="AF47" i="14"/>
  <c r="N153" i="14"/>
  <c r="O117" i="14"/>
  <c r="P109" i="14"/>
  <c r="R113" i="14"/>
  <c r="R99" i="14"/>
  <c r="C99" i="14" s="1"/>
  <c r="AC117" i="14" l="1"/>
  <c r="AC122" i="14" s="1"/>
  <c r="AB153" i="14"/>
  <c r="AE99" i="14"/>
  <c r="AE108" i="14" s="1"/>
  <c r="AF95" i="14"/>
  <c r="AF103" i="14" s="1"/>
  <c r="R108" i="14"/>
  <c r="R163" i="14" s="1"/>
  <c r="AD109" i="14"/>
  <c r="AD117" i="14" s="1"/>
  <c r="AD122" i="14" s="1"/>
  <c r="AG84" i="14"/>
  <c r="AG47" i="14"/>
  <c r="AG80" i="14"/>
  <c r="AE113" i="14"/>
  <c r="O153" i="14"/>
  <c r="O122" i="14"/>
  <c r="P117" i="14"/>
  <c r="P122" i="14" s="1"/>
  <c r="Q109" i="14"/>
  <c r="S113" i="14"/>
  <c r="AC153" i="14" l="1"/>
  <c r="AF99" i="14"/>
  <c r="AF108" i="14" s="1"/>
  <c r="AG95" i="14"/>
  <c r="AG103" i="14" s="1"/>
  <c r="AF113" i="14"/>
  <c r="AE109" i="14"/>
  <c r="AE117" i="14" s="1"/>
  <c r="AE153" i="14" s="1"/>
  <c r="AD153" i="14"/>
  <c r="P153" i="14"/>
  <c r="Q117" i="14"/>
  <c r="Q122" i="14" s="1"/>
  <c r="R109" i="14"/>
  <c r="S163" i="14"/>
  <c r="T113" i="14"/>
  <c r="AG99" i="14" l="1"/>
  <c r="AG108" i="14" s="1"/>
  <c r="AG113" i="14"/>
  <c r="AE122" i="14"/>
  <c r="AF109" i="14"/>
  <c r="AF117" i="14" s="1"/>
  <c r="AF122" i="14" s="1"/>
  <c r="Q153" i="14"/>
  <c r="R117" i="14"/>
  <c r="R122" i="14" s="1"/>
  <c r="S109" i="14"/>
  <c r="T163" i="14"/>
  <c r="U113" i="14"/>
  <c r="AG109" i="14" l="1"/>
  <c r="AG117" i="14" s="1"/>
  <c r="AG122" i="14" s="1"/>
  <c r="AF153" i="14"/>
  <c r="R153" i="14"/>
  <c r="S117" i="14"/>
  <c r="S122" i="14" s="1"/>
  <c r="T109" i="14"/>
  <c r="U163" i="14"/>
  <c r="V113" i="14"/>
  <c r="AG153" i="14" l="1"/>
  <c r="S153" i="14"/>
  <c r="T117" i="14"/>
  <c r="T122" i="14" s="1"/>
  <c r="U109" i="14"/>
  <c r="X109" i="14"/>
  <c r="V163" i="14"/>
  <c r="W113" i="14"/>
  <c r="T153" i="14" l="1"/>
  <c r="X117" i="14"/>
  <c r="U117" i="14"/>
  <c r="U122" i="14" s="1"/>
  <c r="V109" i="14"/>
  <c r="Y109" i="14"/>
  <c r="W163" i="14"/>
  <c r="X163" i="14" l="1"/>
  <c r="X122" i="14"/>
  <c r="U153" i="14"/>
  <c r="X153" i="14"/>
  <c r="Y117" i="14"/>
  <c r="V117" i="14"/>
  <c r="W109" i="14"/>
  <c r="V153" i="14" l="1"/>
  <c r="V122" i="14"/>
  <c r="Y163" i="14"/>
  <c r="Y122" i="14"/>
  <c r="Y153" i="14"/>
  <c r="W117" i="14"/>
  <c r="W122" i="14" s="1"/>
  <c r="W153" i="14" l="1"/>
  <c r="G109" i="14"/>
  <c r="G117" i="14" l="1"/>
  <c r="G153" i="14" l="1"/>
  <c r="AA154" i="14" s="1"/>
  <c r="G122" i="14"/>
  <c r="Z154" i="14" l="1"/>
  <c r="Q154" i="14"/>
  <c r="M154" i="14"/>
  <c r="O154" i="14"/>
  <c r="G154" i="14"/>
  <c r="V154" i="14"/>
  <c r="AF154" i="14"/>
  <c r="AC154" i="14"/>
  <c r="AG154" i="14"/>
  <c r="Y154" i="14"/>
  <c r="R154" i="14"/>
  <c r="T154" i="14"/>
  <c r="W154" i="14"/>
  <c r="J154" i="14"/>
  <c r="U154" i="14"/>
  <c r="P154" i="14"/>
  <c r="K154" i="14"/>
  <c r="S154" i="14"/>
  <c r="I154" i="14"/>
  <c r="L154" i="14"/>
  <c r="X154" i="14"/>
  <c r="AE154" i="14"/>
  <c r="AD154" i="14"/>
  <c r="H154" i="14"/>
  <c r="AB154" i="14"/>
  <c r="N154" i="14"/>
  <c r="D20" i="14"/>
  <c r="C157" i="14"/>
  <c r="D144" i="14"/>
  <c r="U138" i="14"/>
  <c r="U146" i="14" s="1"/>
  <c r="J138" i="14"/>
  <c r="J146" i="14" s="1"/>
  <c r="N138" i="14"/>
  <c r="N146" i="14" s="1"/>
  <c r="O138" i="14"/>
  <c r="O146" i="14" s="1"/>
  <c r="AB138" i="14"/>
  <c r="AB146" i="14" s="1"/>
  <c r="P138" i="14"/>
  <c r="P146" i="14" s="1"/>
  <c r="E138" i="14"/>
  <c r="E146" i="14" s="1"/>
  <c r="I138" i="14"/>
  <c r="I146" i="14" s="1"/>
  <c r="G138" i="14"/>
  <c r="G146" i="14" s="1"/>
  <c r="L138" i="14"/>
  <c r="L146" i="14" s="1"/>
  <c r="Q138" i="14"/>
  <c r="Q146" i="14" s="1"/>
  <c r="T138" i="14"/>
  <c r="T146" i="14" s="1"/>
  <c r="AA138" i="14"/>
  <c r="AA146" i="14" s="1"/>
  <c r="Y138" i="14"/>
  <c r="Y146" i="14" s="1"/>
  <c r="AG138" i="14"/>
  <c r="AG146" i="14" s="1"/>
  <c r="W138" i="14"/>
  <c r="W146" i="14" s="1"/>
  <c r="S138" i="14"/>
  <c r="S146" i="14" s="1"/>
  <c r="AF138" i="14"/>
  <c r="AF146" i="14" s="1"/>
  <c r="M138" i="14"/>
  <c r="M146" i="14" s="1"/>
  <c r="H138" i="14"/>
  <c r="H146" i="14" s="1"/>
  <c r="X138" i="14"/>
  <c r="X146" i="14" s="1"/>
  <c r="AD138" i="14"/>
  <c r="AD146" i="14" s="1"/>
  <c r="AC138" i="14"/>
  <c r="AC146" i="14" s="1"/>
  <c r="R138" i="14"/>
  <c r="R146" i="14" s="1"/>
  <c r="Z138" i="14"/>
  <c r="Z146" i="14" s="1"/>
  <c r="K138" i="14"/>
  <c r="K146" i="14" s="1"/>
  <c r="D138" i="14"/>
  <c r="D146" i="14" s="1"/>
  <c r="V138" i="14"/>
  <c r="V146" i="14" s="1"/>
  <c r="AE138" i="14"/>
  <c r="AE146" i="14" s="1"/>
  <c r="F138" i="14"/>
  <c r="F146" i="14" s="1"/>
  <c r="D124" i="14" l="1"/>
  <c r="D157" i="14" s="1"/>
  <c r="D148" i="14"/>
  <c r="E144" i="14" s="1"/>
  <c r="D127" i="14" l="1"/>
  <c r="E124" i="14"/>
  <c r="E148" i="14"/>
  <c r="F144" i="14" s="1"/>
  <c r="D165" i="14"/>
  <c r="D145" i="14"/>
  <c r="D147" i="14" s="1"/>
  <c r="D151" i="14" l="1"/>
  <c r="E150" i="14"/>
  <c r="D158" i="14"/>
  <c r="F148" i="14"/>
  <c r="G144" i="14" s="1"/>
  <c r="F124" i="14"/>
  <c r="E127" i="14"/>
  <c r="E145" i="14"/>
  <c r="E147" i="14" s="1"/>
  <c r="E165" i="14"/>
  <c r="D128" i="14" l="1"/>
  <c r="G124" i="14"/>
  <c r="G148" i="14"/>
  <c r="H144" i="14" s="1"/>
  <c r="E151" i="14"/>
  <c r="F150" i="14"/>
  <c r="F145" i="14"/>
  <c r="F147" i="14" s="1"/>
  <c r="F127" i="14"/>
  <c r="F165" i="14"/>
  <c r="E128" i="14" l="1"/>
  <c r="D129" i="14"/>
  <c r="E155" i="14"/>
  <c r="E157" i="14"/>
  <c r="E158" i="14" s="1"/>
  <c r="D160" i="14"/>
  <c r="D131" i="14"/>
  <c r="G150" i="14"/>
  <c r="F151" i="14"/>
  <c r="H124" i="14"/>
  <c r="H148" i="14"/>
  <c r="I144" i="14" s="1"/>
  <c r="G165" i="14"/>
  <c r="G145" i="14"/>
  <c r="G147" i="14" s="1"/>
  <c r="G127" i="14"/>
  <c r="E131" i="14" l="1"/>
  <c r="E160" i="14"/>
  <c r="F155" i="14"/>
  <c r="F157" i="14"/>
  <c r="F158" i="14" s="1"/>
  <c r="E129" i="14"/>
  <c r="E156" i="14"/>
  <c r="F128" i="14"/>
  <c r="G155" i="14" s="1"/>
  <c r="H150" i="14"/>
  <c r="G151" i="14"/>
  <c r="I148" i="14"/>
  <c r="J144" i="14" s="1"/>
  <c r="I124" i="14"/>
  <c r="H127" i="14"/>
  <c r="H165" i="14"/>
  <c r="H145" i="14"/>
  <c r="H147" i="14" s="1"/>
  <c r="F156" i="14" l="1"/>
  <c r="G157" i="14"/>
  <c r="G158" i="14" s="1"/>
  <c r="F129" i="14"/>
  <c r="F160" i="14"/>
  <c r="G128" i="14"/>
  <c r="G129" i="14" s="1"/>
  <c r="F131" i="14"/>
  <c r="J148" i="14"/>
  <c r="K144" i="14" s="1"/>
  <c r="J124" i="14"/>
  <c r="H151" i="14"/>
  <c r="I150" i="14"/>
  <c r="G156" i="14"/>
  <c r="I127" i="14"/>
  <c r="I145" i="14"/>
  <c r="I147" i="14" s="1"/>
  <c r="I165" i="14"/>
  <c r="H128" i="14" l="1"/>
  <c r="H129" i="14" s="1"/>
  <c r="G131" i="14"/>
  <c r="H155" i="14"/>
  <c r="H157" i="14"/>
  <c r="H158" i="14" s="1"/>
  <c r="G160" i="14"/>
  <c r="J127" i="14"/>
  <c r="J165" i="14"/>
  <c r="J145" i="14"/>
  <c r="J147" i="14" s="1"/>
  <c r="K148" i="14"/>
  <c r="L144" i="14" s="1"/>
  <c r="K124" i="14"/>
  <c r="I151" i="14"/>
  <c r="J150" i="14"/>
  <c r="I157" i="14" l="1"/>
  <c r="I158" i="14" s="1"/>
  <c r="I155" i="14"/>
  <c r="H156" i="14"/>
  <c r="H160" i="14"/>
  <c r="I128" i="14"/>
  <c r="H131" i="14"/>
  <c r="L148" i="14"/>
  <c r="M144" i="14" s="1"/>
  <c r="L124" i="14"/>
  <c r="J151" i="14"/>
  <c r="K150" i="14"/>
  <c r="K145" i="14"/>
  <c r="K147" i="14" s="1"/>
  <c r="K165" i="14"/>
  <c r="K127" i="14"/>
  <c r="I156" i="14" l="1"/>
  <c r="J157" i="14"/>
  <c r="J158" i="14" s="1"/>
  <c r="I160" i="14"/>
  <c r="J155" i="14"/>
  <c r="I131" i="14"/>
  <c r="I129" i="14"/>
  <c r="J128" i="14"/>
  <c r="K151" i="14"/>
  <c r="L150" i="14"/>
  <c r="L145" i="14"/>
  <c r="L147" i="14" s="1"/>
  <c r="L165" i="14"/>
  <c r="L127" i="14"/>
  <c r="M148" i="14"/>
  <c r="N144" i="14" s="1"/>
  <c r="M124" i="14"/>
  <c r="J156" i="14" l="1"/>
  <c r="K157" i="14"/>
  <c r="K158" i="14" s="1"/>
  <c r="J129" i="14"/>
  <c r="K155" i="14"/>
  <c r="J160" i="14"/>
  <c r="J131" i="14"/>
  <c r="K128" i="14"/>
  <c r="L157" i="14" s="1"/>
  <c r="M150" i="14"/>
  <c r="L151" i="14"/>
  <c r="M127" i="14"/>
  <c r="M165" i="14"/>
  <c r="M145" i="14"/>
  <c r="M147" i="14" s="1"/>
  <c r="N148" i="14"/>
  <c r="O144" i="14" s="1"/>
  <c r="N124" i="14"/>
  <c r="K160" i="14" l="1"/>
  <c r="L158" i="14"/>
  <c r="L155" i="14"/>
  <c r="K156" i="14"/>
  <c r="K129" i="14"/>
  <c r="L128" i="14"/>
  <c r="K131" i="14"/>
  <c r="O148" i="14"/>
  <c r="P144" i="14" s="1"/>
  <c r="O124" i="14"/>
  <c r="N127" i="14"/>
  <c r="N165" i="14"/>
  <c r="N145" i="14"/>
  <c r="N147" i="14" s="1"/>
  <c r="M151" i="14"/>
  <c r="N150" i="14"/>
  <c r="L156" i="14" l="1"/>
  <c r="M157" i="14"/>
  <c r="M158" i="14" s="1"/>
  <c r="L131" i="14"/>
  <c r="L129" i="14"/>
  <c r="L160" i="14"/>
  <c r="M155" i="14"/>
  <c r="M128" i="14"/>
  <c r="M160" i="14" s="1"/>
  <c r="N151" i="14"/>
  <c r="O150" i="14"/>
  <c r="P124" i="14"/>
  <c r="P148" i="14"/>
  <c r="Q144" i="14" s="1"/>
  <c r="O127" i="14"/>
  <c r="O165" i="14"/>
  <c r="O145" i="14"/>
  <c r="O147" i="14" s="1"/>
  <c r="N155" i="14" l="1"/>
  <c r="N157" i="14"/>
  <c r="N158" i="14" s="1"/>
  <c r="M129" i="14"/>
  <c r="M156" i="14"/>
  <c r="N128" i="14"/>
  <c r="M131" i="14"/>
  <c r="O151" i="14"/>
  <c r="P150" i="14"/>
  <c r="P127" i="14"/>
  <c r="P145" i="14"/>
  <c r="P147" i="14" s="1"/>
  <c r="P165" i="14"/>
  <c r="Q148" i="14"/>
  <c r="R144" i="14" s="1"/>
  <c r="Q124" i="14"/>
  <c r="N156" i="14" l="1"/>
  <c r="N160" i="14"/>
  <c r="O157" i="14"/>
  <c r="O158" i="14" s="1"/>
  <c r="O155" i="14"/>
  <c r="O156" i="14" s="1"/>
  <c r="O128" i="14"/>
  <c r="N131" i="14"/>
  <c r="N129" i="14"/>
  <c r="Q145" i="14"/>
  <c r="Q147" i="14" s="1"/>
  <c r="Q165" i="14"/>
  <c r="Q127" i="14"/>
  <c r="P151" i="14"/>
  <c r="Q150" i="14"/>
  <c r="R148" i="14"/>
  <c r="S144" i="14" s="1"/>
  <c r="R124" i="14"/>
  <c r="P155" i="14" l="1"/>
  <c r="O129" i="14"/>
  <c r="O160" i="14"/>
  <c r="P157" i="14"/>
  <c r="P158" i="14" s="1"/>
  <c r="O131" i="14"/>
  <c r="P128" i="14"/>
  <c r="P160" i="14" s="1"/>
  <c r="R145" i="14"/>
  <c r="R147" i="14" s="1"/>
  <c r="R127" i="14"/>
  <c r="R165" i="14"/>
  <c r="S124" i="14"/>
  <c r="S148" i="14"/>
  <c r="T144" i="14" s="1"/>
  <c r="R150" i="14"/>
  <c r="Q151" i="14"/>
  <c r="P156" i="14" l="1"/>
  <c r="Q157" i="14"/>
  <c r="Q158" i="14" s="1"/>
  <c r="P129" i="14"/>
  <c r="Q155" i="14"/>
  <c r="Q156" i="14" s="1"/>
  <c r="Q128" i="14"/>
  <c r="R157" i="14" s="1"/>
  <c r="P131" i="14"/>
  <c r="S165" i="14"/>
  <c r="S145" i="14"/>
  <c r="S147" i="14" s="1"/>
  <c r="S127" i="14"/>
  <c r="R151" i="14"/>
  <c r="S150" i="14"/>
  <c r="T148" i="14"/>
  <c r="U144" i="14" s="1"/>
  <c r="T124" i="14"/>
  <c r="R158" i="14" l="1"/>
  <c r="H15" i="14" s="1"/>
  <c r="R155" i="14"/>
  <c r="Q129" i="14"/>
  <c r="Q160" i="14"/>
  <c r="R128" i="14"/>
  <c r="R129" i="14" s="1"/>
  <c r="Q131" i="14"/>
  <c r="U124" i="14"/>
  <c r="U148" i="14"/>
  <c r="V144" i="14" s="1"/>
  <c r="T127" i="14"/>
  <c r="T145" i="14"/>
  <c r="T147" i="14" s="1"/>
  <c r="T165" i="14"/>
  <c r="T150" i="14"/>
  <c r="S151" i="14"/>
  <c r="R156" i="14" l="1"/>
  <c r="H11" i="14" s="1"/>
  <c r="S155" i="14"/>
  <c r="S156" i="14" s="1"/>
  <c r="R160" i="14"/>
  <c r="S157" i="14"/>
  <c r="S158" i="14" s="1"/>
  <c r="S128" i="14"/>
  <c r="S160" i="14" s="1"/>
  <c r="R131" i="14"/>
  <c r="T151" i="14"/>
  <c r="U150" i="14"/>
  <c r="V124" i="14"/>
  <c r="V148" i="14"/>
  <c r="W144" i="14" s="1"/>
  <c r="U165" i="14"/>
  <c r="U145" i="14"/>
  <c r="U147" i="14" s="1"/>
  <c r="U127" i="14"/>
  <c r="T128" i="14" l="1"/>
  <c r="T129" i="14" s="1"/>
  <c r="S131" i="14"/>
  <c r="T157" i="14"/>
  <c r="T158" i="14" s="1"/>
  <c r="I15" i="14" s="1"/>
  <c r="T155" i="14"/>
  <c r="S129" i="14"/>
  <c r="V150" i="14"/>
  <c r="U151" i="14"/>
  <c r="V165" i="14"/>
  <c r="V127" i="14"/>
  <c r="V145" i="14"/>
  <c r="V147" i="14" s="1"/>
  <c r="W148" i="14"/>
  <c r="X144" i="14" s="1"/>
  <c r="W124" i="14"/>
  <c r="T160" i="14" l="1"/>
  <c r="U155" i="14"/>
  <c r="U156" i="14" s="1"/>
  <c r="U157" i="14"/>
  <c r="U158" i="14" s="1"/>
  <c r="T156" i="14"/>
  <c r="U128" i="14"/>
  <c r="U129" i="14" s="1"/>
  <c r="T131" i="14"/>
  <c r="X148" i="14"/>
  <c r="Y144" i="14" s="1"/>
  <c r="X124" i="14"/>
  <c r="W127" i="14"/>
  <c r="W165" i="14"/>
  <c r="W145" i="14"/>
  <c r="W147" i="14" s="1"/>
  <c r="V151" i="14"/>
  <c r="W150" i="14"/>
  <c r="U160" i="14" l="1"/>
  <c r="V157" i="14"/>
  <c r="V158" i="14" s="1"/>
  <c r="U131" i="14"/>
  <c r="V155" i="14"/>
  <c r="V156" i="14" s="1"/>
  <c r="V128" i="14"/>
  <c r="W155" i="14" s="1"/>
  <c r="W156" i="14" s="1"/>
  <c r="I11" i="14"/>
  <c r="W151" i="14"/>
  <c r="X150" i="14"/>
  <c r="X127" i="14"/>
  <c r="X145" i="14"/>
  <c r="X147" i="14" s="1"/>
  <c r="Y148" i="14"/>
  <c r="Z144" i="14" s="1"/>
  <c r="Y124" i="14"/>
  <c r="V160" i="14" l="1"/>
  <c r="W157" i="14"/>
  <c r="W158" i="14" s="1"/>
  <c r="V131" i="14"/>
  <c r="V129" i="14"/>
  <c r="W128" i="14"/>
  <c r="X157" i="14" s="1"/>
  <c r="X158" i="14" s="1"/>
  <c r="Y145" i="14"/>
  <c r="Y147" i="14" s="1"/>
  <c r="Y127" i="14"/>
  <c r="Z148" i="14"/>
  <c r="AA144" i="14" s="1"/>
  <c r="Z124" i="14"/>
  <c r="X151" i="14"/>
  <c r="X128" i="14" s="1"/>
  <c r="X131" i="14" s="1"/>
  <c r="Y150" i="14"/>
  <c r="W160" i="14" l="1"/>
  <c r="W131" i="14"/>
  <c r="W129" i="14"/>
  <c r="X155" i="14"/>
  <c r="X156" i="14" s="1"/>
  <c r="Z127" i="14"/>
  <c r="Z145" i="14"/>
  <c r="Z147" i="14" s="1"/>
  <c r="AA148" i="14"/>
  <c r="AB144" i="14" s="1"/>
  <c r="AA124" i="14"/>
  <c r="Y151" i="14"/>
  <c r="Y128" i="14" s="1"/>
  <c r="Z150" i="14"/>
  <c r="Y157" i="14"/>
  <c r="Y158" i="14" s="1"/>
  <c r="X129" i="14"/>
  <c r="Y155" i="14"/>
  <c r="Y156" i="14" s="1"/>
  <c r="AA127" i="14" l="1"/>
  <c r="AA145" i="14"/>
  <c r="AA147" i="14" s="1"/>
  <c r="AB148" i="14"/>
  <c r="AC144" i="14" s="1"/>
  <c r="AB124" i="14"/>
  <c r="Y129" i="14"/>
  <c r="Z155" i="14"/>
  <c r="Z156" i="14" s="1"/>
  <c r="Z157" i="14"/>
  <c r="Z158" i="14" s="1"/>
  <c r="Y131" i="14"/>
  <c r="Z151" i="14"/>
  <c r="Z128" i="14" s="1"/>
  <c r="AA150" i="14"/>
  <c r="AB145" i="14" l="1"/>
  <c r="AB147" i="14" s="1"/>
  <c r="AB127" i="14"/>
  <c r="AC148" i="14"/>
  <c r="AD144" i="14" s="1"/>
  <c r="AC124" i="14"/>
  <c r="Z129" i="14"/>
  <c r="AA157" i="14"/>
  <c r="AA158" i="14" s="1"/>
  <c r="AA155" i="14"/>
  <c r="AA156" i="14" s="1"/>
  <c r="Z131" i="14"/>
  <c r="AA151" i="14"/>
  <c r="AA128" i="14" s="1"/>
  <c r="AB150" i="14"/>
  <c r="AC145" i="14" l="1"/>
  <c r="AC147" i="14" s="1"/>
  <c r="AC127" i="14"/>
  <c r="AD124" i="14"/>
  <c r="AD148" i="14"/>
  <c r="AE144" i="14" s="1"/>
  <c r="AB155" i="14"/>
  <c r="AB156" i="14" s="1"/>
  <c r="AB157" i="14"/>
  <c r="AB158" i="14" s="1"/>
  <c r="AA129" i="14"/>
  <c r="AB151" i="14"/>
  <c r="AB128" i="14" s="1"/>
  <c r="AB131" i="14" s="1"/>
  <c r="AC150" i="14"/>
  <c r="AA131" i="14"/>
  <c r="AE124" i="14" l="1"/>
  <c r="AE148" i="14"/>
  <c r="AF144" i="14" s="1"/>
  <c r="AD145" i="14"/>
  <c r="AD147" i="14" s="1"/>
  <c r="AD127" i="14"/>
  <c r="AC151" i="14"/>
  <c r="AC128" i="14" s="1"/>
  <c r="AD150" i="14"/>
  <c r="AB129" i="14"/>
  <c r="AC157" i="14"/>
  <c r="AC158" i="14" s="1"/>
  <c r="AC155" i="14"/>
  <c r="AC156" i="14" s="1"/>
  <c r="AC129" i="14" l="1"/>
  <c r="AD155" i="14"/>
  <c r="AD156" i="14" s="1"/>
  <c r="AD157" i="14"/>
  <c r="AD158" i="14" s="1"/>
  <c r="AF148" i="14"/>
  <c r="AG144" i="14" s="1"/>
  <c r="AF124" i="14"/>
  <c r="AE150" i="14"/>
  <c r="AD151" i="14"/>
  <c r="AD128" i="14" s="1"/>
  <c r="AD131" i="14" s="1"/>
  <c r="AC131" i="14"/>
  <c r="AE145" i="14"/>
  <c r="AE147" i="14" s="1"/>
  <c r="AE127" i="14"/>
  <c r="AG148" i="14" l="1"/>
  <c r="AG124" i="14"/>
  <c r="AE151" i="14"/>
  <c r="AE128" i="14" s="1"/>
  <c r="AE131" i="14" s="1"/>
  <c r="AF150" i="14"/>
  <c r="AD129" i="14"/>
  <c r="AE155" i="14"/>
  <c r="AE156" i="14" s="1"/>
  <c r="AE157" i="14"/>
  <c r="AE158" i="14" s="1"/>
  <c r="AF145" i="14"/>
  <c r="AF147" i="14" s="1"/>
  <c r="AF127" i="14"/>
  <c r="AF155" i="14" l="1"/>
  <c r="AF156" i="14" s="1"/>
  <c r="AE129" i="14"/>
  <c r="AF157" i="14"/>
  <c r="AF158" i="14" s="1"/>
  <c r="AG150" i="14"/>
  <c r="AF151" i="14"/>
  <c r="AF128" i="14" s="1"/>
  <c r="AF131" i="14" s="1"/>
  <c r="AG127" i="14"/>
  <c r="AG145" i="14"/>
  <c r="AG147" i="14" s="1"/>
  <c r="AG151" i="14" l="1"/>
  <c r="AG128" i="14" s="1"/>
  <c r="AG129" i="14" s="1"/>
  <c r="AG155" i="14"/>
  <c r="AG156" i="14" s="1"/>
  <c r="AG157" i="14"/>
  <c r="AG158" i="14" s="1"/>
  <c r="AF129" i="14"/>
  <c r="AG131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Hugo Radet</author>
  </authors>
  <commentList>
    <comment ref="C43" authorId="0" shapeId="0" xr:uid="{8870F28A-277B-4E4E-B3A0-E34729268A09}">
      <text>
        <r>
          <rPr>
            <sz val="9"/>
            <color indexed="81"/>
            <rFont val="Tahoma"/>
            <family val="2"/>
          </rPr>
          <t>L'exercice "0" désigne la période pré-exploitation, peu importe sa durée réelle</t>
        </r>
      </text>
    </comment>
    <comment ref="B133" authorId="0" shapeId="0" xr:uid="{50C69576-834E-403B-A21E-A89721CCBF51}">
      <text>
        <r>
          <rPr>
            <sz val="9"/>
            <color indexed="81"/>
            <rFont val="Tahoma"/>
            <family val="2"/>
          </rPr>
          <t>Flux entrant en (+) et flux sortants en (-)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<sst xmlns="http://schemas.openxmlformats.org/spreadsheetml/2006/main" count="419" uniqueCount="208">
  <si>
    <t>Légende :</t>
  </si>
  <si>
    <t>Cellules à compléter</t>
  </si>
  <si>
    <t>Cellules à ne pas modifier</t>
  </si>
  <si>
    <t>Investissement</t>
  </si>
  <si>
    <t>EUR</t>
  </si>
  <si>
    <t>Montant total brut de l'investissement</t>
  </si>
  <si>
    <t>TRI projet (AI)</t>
  </si>
  <si>
    <t>Montant total brut de l'investissement en EUR/W</t>
  </si>
  <si>
    <t>Montant brut de l'investissement hors raccordement</t>
  </si>
  <si>
    <t>%</t>
  </si>
  <si>
    <t>Financement</t>
  </si>
  <si>
    <t>Montant de l'apport en fonds propres</t>
  </si>
  <si>
    <t>Montant de l'apport en dette</t>
  </si>
  <si>
    <t>Montant des avantages et subventions à l'investissement</t>
  </si>
  <si>
    <t>Montant total de l'investissement net des avantages et subventions</t>
  </si>
  <si>
    <t>Taux d'intérêt de l'emprunt</t>
  </si>
  <si>
    <t>Durée de l'emprunt (en années)</t>
  </si>
  <si>
    <t>Charges</t>
  </si>
  <si>
    <t>Montant à amortir (= investissement net)</t>
  </si>
  <si>
    <t>Durée d'amortissement (en années)</t>
  </si>
  <si>
    <t>Linéaire</t>
  </si>
  <si>
    <t>Hypothèse d'inflation</t>
  </si>
  <si>
    <t>Pré-exploitation</t>
  </si>
  <si>
    <t>Exploitation sous contrat de complément de rémunération</t>
  </si>
  <si>
    <t>Exploitation hors soutien public</t>
  </si>
  <si>
    <r>
      <rPr>
        <b/>
        <sz val="11"/>
        <color theme="1"/>
        <rFont val="Arial"/>
        <family val="2"/>
      </rPr>
      <t>Exercices</t>
    </r>
    <r>
      <rPr>
        <sz val="11"/>
        <color theme="1"/>
        <rFont val="Arial"/>
        <family val="2"/>
      </rPr>
      <t xml:space="preserve"> (calendaires - 12 mois)</t>
    </r>
  </si>
  <si>
    <t>Variation annuelle</t>
  </si>
  <si>
    <t>Revenus du marché de capacité (EUR/an)</t>
  </si>
  <si>
    <t>Compte de Résultat (EUR)</t>
  </si>
  <si>
    <t>Produits d'exploitation (PEX)</t>
  </si>
  <si>
    <t>Revenus de la vente d'électricité</t>
  </si>
  <si>
    <t>Autres revenus d'exploitation*</t>
  </si>
  <si>
    <t>Charges d'exploitation (CEX)</t>
  </si>
  <si>
    <t>Charges d'exploitation et de maintenance</t>
  </si>
  <si>
    <t>Assurances</t>
  </si>
  <si>
    <t>Charges de location</t>
  </si>
  <si>
    <t>Frais de gestion (administrative, comptable…)</t>
  </si>
  <si>
    <t>Impôts, taxes et versements assimilés (ITVA)</t>
  </si>
  <si>
    <t>IFER</t>
  </si>
  <si>
    <t>CFE</t>
  </si>
  <si>
    <t>CVAE</t>
  </si>
  <si>
    <t>C3S</t>
  </si>
  <si>
    <t>Taxe foncière</t>
  </si>
  <si>
    <t>Autres taxes</t>
  </si>
  <si>
    <t>Excédent brut d'exploitation (EBE) = VA - ITVA</t>
  </si>
  <si>
    <t>Dotation aux provisions (DP)</t>
  </si>
  <si>
    <t>Résultat d'exploitation (REX) = EBE - DA - DP</t>
  </si>
  <si>
    <t>Produits financiers</t>
  </si>
  <si>
    <t>Intérêts bancaires sur l'emprunt bancaire (INT)</t>
  </si>
  <si>
    <t>Autres charges financières</t>
  </si>
  <si>
    <t>Résultat courant avant impôt (RCAI) = REX - INT</t>
  </si>
  <si>
    <t>Impôt sur les sociétés (IS)</t>
  </si>
  <si>
    <t>Taux effectif d'IS</t>
  </si>
  <si>
    <t>Résultat net de l'exercice (RN) = RCAI - IS</t>
  </si>
  <si>
    <t>Tableau de flux</t>
  </si>
  <si>
    <t>Flux d'investissement</t>
  </si>
  <si>
    <t>Tirage de la subvention et avantages</t>
  </si>
  <si>
    <t>Tirage sur facilité d'emprunt</t>
  </si>
  <si>
    <t>Remboursement du capital de l'emprunt</t>
  </si>
  <si>
    <t>Tirage des fonds propres</t>
  </si>
  <si>
    <t>Paiement de dividendes</t>
  </si>
  <si>
    <t>Tableau d'amortissement de l'emprunt</t>
  </si>
  <si>
    <t>Montant du capital emprunté restant en début de période</t>
  </si>
  <si>
    <t>Intérêts payés</t>
  </si>
  <si>
    <t>Capital remboursé</t>
  </si>
  <si>
    <t>Annuité</t>
  </si>
  <si>
    <t>Montant du capital emprunté restant en fin de période</t>
  </si>
  <si>
    <t>Report d'imposition</t>
  </si>
  <si>
    <t>Résultat imposable</t>
  </si>
  <si>
    <t>TRI projet avant impot</t>
  </si>
  <si>
    <t>TRI projet après impot</t>
  </si>
  <si>
    <t>TRI investisseurs</t>
  </si>
  <si>
    <t>DSCR</t>
  </si>
  <si>
    <t>EBITDA/CA</t>
  </si>
  <si>
    <t>Amortissement/CA</t>
  </si>
  <si>
    <t>Intérêts sur CA</t>
  </si>
  <si>
    <t>Location</t>
  </si>
  <si>
    <t>Puissance stockage</t>
  </si>
  <si>
    <t>Energie utile</t>
  </si>
  <si>
    <t>Energie installée</t>
  </si>
  <si>
    <t>Coût de développement stokage</t>
  </si>
  <si>
    <t>Réserve primaire</t>
  </si>
  <si>
    <t>Revenus liés à la réserve primaire (EUR/an)</t>
  </si>
  <si>
    <t>Réserve secondaire</t>
  </si>
  <si>
    <t>Revenus liés à la réserve secondaire (EUR/an)</t>
  </si>
  <si>
    <t>Mécanisme de capacité</t>
  </si>
  <si>
    <t>Investissement système PV</t>
  </si>
  <si>
    <t>Investissement initial système de stokage</t>
  </si>
  <si>
    <t>Dotation aux amortissements (DA) pour le système de stockage - initial</t>
  </si>
  <si>
    <t>Dotation aux amortissements (DA) totale</t>
  </si>
  <si>
    <t>Asset</t>
  </si>
  <si>
    <t>Parameter</t>
  </si>
  <si>
    <t>Value</t>
  </si>
  <si>
    <t>Scenario</t>
  </si>
  <si>
    <t>Year</t>
  </si>
  <si>
    <t>node</t>
  </si>
  <si>
    <t>network</t>
  </si>
  <si>
    <t>turpe_power_cost</t>
  </si>
  <si>
    <t>turpe_energy_cost</t>
  </si>
  <si>
    <t>DA</t>
  </si>
  <si>
    <t>cost</t>
  </si>
  <si>
    <t>income</t>
  </si>
  <si>
    <t>fcr</t>
  </si>
  <si>
    <t>afrr</t>
  </si>
  <si>
    <t>Facteur de de-rating</t>
  </si>
  <si>
    <t>Day-ahead (net)</t>
  </si>
  <si>
    <t>Reserve primaire</t>
  </si>
  <si>
    <t>Reserve secondaire</t>
  </si>
  <si>
    <t>Années</t>
  </si>
  <si>
    <t>Puissance crête (MWc)</t>
  </si>
  <si>
    <t>S1</t>
  </si>
  <si>
    <t>energy_bought</t>
  </si>
  <si>
    <t>energy_sold</t>
  </si>
  <si>
    <t>hours_bought</t>
  </si>
  <si>
    <t>hours_sold</t>
  </si>
  <si>
    <t>activation_hours</t>
  </si>
  <si>
    <t xml:space="preserve">TRI investisseur </t>
  </si>
  <si>
    <t xml:space="preserve">SPV </t>
  </si>
  <si>
    <t xml:space="preserve">Année </t>
  </si>
  <si>
    <t xml:space="preserve">Nombre d'heures de vente d'énergie </t>
  </si>
  <si>
    <t xml:space="preserve">Nombre d'heures d'achat d'énergie </t>
  </si>
  <si>
    <t>Nombre d'heure 'd'activation aFRR</t>
  </si>
  <si>
    <t>Nombre d'heure 'd'activation fcr</t>
  </si>
  <si>
    <t>YALD</t>
  </si>
  <si>
    <t xml:space="preserve">Valeur ajoutée (VA) = PEX - CEX </t>
  </si>
  <si>
    <t xml:space="preserve">Frais de comptage et de gestion </t>
  </si>
  <si>
    <t>Montant respectif investi</t>
  </si>
  <si>
    <t>Marché J-1</t>
  </si>
  <si>
    <t>Marché infra-journalier</t>
  </si>
  <si>
    <t>Revenus liés à la vente sur le marché infra-journalier (EUR/an)</t>
  </si>
  <si>
    <t>Energie vendue sur le marché infra-journalier (MWh/an)</t>
  </si>
  <si>
    <t>Charges liées à l'achat sur le marché infra-journalier - HORS TURPE (EUR/an)</t>
  </si>
  <si>
    <t>Energie achetée sur le marché infra-journalier (MWh/an)</t>
  </si>
  <si>
    <t>Revenus liés à la vente sur le marché J-1 (EUR/an)</t>
  </si>
  <si>
    <t>Energie vendue sur le marché J-1 (MWh/an)</t>
  </si>
  <si>
    <t>Charges liées à l'achat sur le marché J-1 - HORS TURPE (EUR/an)</t>
  </si>
  <si>
    <t>Energie achetée sur le marché J-1 (MWh/an)</t>
  </si>
  <si>
    <t>Marché d'ajustement</t>
  </si>
  <si>
    <t>Revenus liés à la vente sur le marché d'ajustement (EUR/an)</t>
  </si>
  <si>
    <t>Energie vendue sur le marché d'ajustement (MWh/an)</t>
  </si>
  <si>
    <t>Charges liées à l'achat sur le marché d'ajustement - HORS TURPE (EUR/an)</t>
  </si>
  <si>
    <t>Energie achetée sur le marché d'ajustement (MWh/an)</t>
  </si>
  <si>
    <t>Information générales</t>
  </si>
  <si>
    <t>Durée du projet (années)</t>
  </si>
  <si>
    <t>Puissance de raccordement (MWc)</t>
  </si>
  <si>
    <t>Stockage</t>
  </si>
  <si>
    <t>Raccordement</t>
  </si>
  <si>
    <t>Autres</t>
  </si>
  <si>
    <t>Hypothèses technico-économiques</t>
  </si>
  <si>
    <t>MW</t>
  </si>
  <si>
    <t>MWh</t>
  </si>
  <si>
    <t>DOD</t>
  </si>
  <si>
    <t>€/kW</t>
  </si>
  <si>
    <t>€</t>
  </si>
  <si>
    <t>CAPEX total</t>
  </si>
  <si>
    <t>CAPEX énergie</t>
  </si>
  <si>
    <t>CAPEX puissance</t>
  </si>
  <si>
    <t>OPEX Stockage</t>
  </si>
  <si>
    <t>% CAPEX</t>
  </si>
  <si>
    <t>Coût de raccordement</t>
  </si>
  <si>
    <t>Charge de location du terrain</t>
  </si>
  <si>
    <t>Nom du projet</t>
  </si>
  <si>
    <t xml:space="preserve">Assurance </t>
  </si>
  <si>
    <t>Durée de stockage</t>
  </si>
  <si>
    <t>h</t>
  </si>
  <si>
    <t>Frais d'agrégation</t>
  </si>
  <si>
    <t>-</t>
  </si>
  <si>
    <t>0 ou 1 si activé</t>
  </si>
  <si>
    <t>TRI projet (%)</t>
  </si>
  <si>
    <t>Durée (h)</t>
  </si>
  <si>
    <t>Puissance (MW)</t>
  </si>
  <si>
    <t>TRI investisseur (%)</t>
  </si>
  <si>
    <t>Dimensionnement</t>
  </si>
  <si>
    <t>optimiste</t>
  </si>
  <si>
    <t>pessimiste</t>
  </si>
  <si>
    <t>Durée de vie (années)</t>
  </si>
  <si>
    <t>CAPEX puissance (€/kW)</t>
  </si>
  <si>
    <t>CAPEX energie (€/kWh)</t>
  </si>
  <si>
    <t>OPEX</t>
  </si>
  <si>
    <t>Étiquettes de lignes</t>
  </si>
  <si>
    <t>Total général</t>
  </si>
  <si>
    <t>Étiquettes de colonnes</t>
  </si>
  <si>
    <t>Somme de TRI projet (%)</t>
  </si>
  <si>
    <t>€/kWh</t>
  </si>
  <si>
    <t>Facteur x prix MECAPA</t>
  </si>
  <si>
    <t>Facteur multiplicatif pour sensibilité sur le prix du méca capa</t>
  </si>
  <si>
    <t>Sensibilité aux CAPEX et prix du méca capa à dimensions fixées</t>
  </si>
  <si>
    <t>Prix moyen méca capa (€/MW)</t>
  </si>
  <si>
    <t>Paramètres sensibles</t>
  </si>
  <si>
    <t>Dimensions fixes</t>
  </si>
  <si>
    <t>Résultats</t>
  </si>
  <si>
    <t>Hypothèses batterie</t>
  </si>
  <si>
    <t>Scénario de prix</t>
  </si>
  <si>
    <t>Frais agrégation</t>
  </si>
  <si>
    <t>Compensation pour ecrêtement (méca capa)</t>
  </si>
  <si>
    <t xml:space="preserve">TURPE </t>
  </si>
  <si>
    <t>Prix mécanisme de capacité - COR-E (€/MW/an)</t>
  </si>
  <si>
    <t>Prix mécanisme de capacité - B1 (€/MW/an)</t>
  </si>
  <si>
    <t>Prix mécanisme de capacité - B3 (€/MW/an)</t>
  </si>
  <si>
    <t>Disponibilité pour méca capa et maintenance</t>
  </si>
  <si>
    <t>Colonne1</t>
  </si>
  <si>
    <t>co2_emission</t>
  </si>
  <si>
    <t>(vide)</t>
  </si>
  <si>
    <t>versys</t>
  </si>
  <si>
    <t>Battery power (MW)</t>
  </si>
  <si>
    <t>Battery duration (h)</t>
  </si>
  <si>
    <t>Network power (MW)</t>
  </si>
  <si>
    <t>PV power (MW)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</si>
</sst>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0.0%"/>
    <numFmt numFmtId="166" formatCode="#,##0_ ;\-#,##0\ "/>
    <numFmt numFmtId="167" formatCode="_-* #,##0\ &quot;€&quot;_-;\-* #,##0\ &quot;€&quot;_-;_-* &quot;-&quot;??\ &quot;€&quot;_-;_-@_-"/>
    <numFmt numFmtId="168" formatCode="_(&quot;€&quot;* #,##0.00_);_(&quot;€&quot;* \(#,##0.00\);_(&quot;€&quot;* &quot;-&quot;??_);_(@_)"/>
    <numFmt numFmtId="169" formatCode="#,##0.00\ &quot;€&quot;"/>
    <numFmt numFmtId="170" formatCode="0.0"/>
    <numFmt numFmtId="171" formatCode="#,##0\ &quot;€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9"/>
      <color indexed="81"/>
      <name val="Tahoma"/>
      <family val="2"/>
    </font>
    <font>
      <i/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 tint="-0.499984740745262"/>
      <name val="Arial"/>
      <family val="2"/>
    </font>
    <font>
      <b/>
      <sz val="10"/>
      <color theme="1"/>
      <name val="Century Gothic"/>
      <family val="2"/>
    </font>
    <font>
      <b/>
      <sz val="9"/>
      <color rgb="FFC00000"/>
      <name val="Century Gothic"/>
      <family val="2"/>
    </font>
    <font>
      <sz val="9"/>
      <color theme="1"/>
      <name val="Century Gothic"/>
      <family val="2"/>
    </font>
    <font>
      <b/>
      <sz val="9"/>
      <color theme="1"/>
      <name val="Century Gothic"/>
      <family val="2"/>
    </font>
    <font>
      <sz val="12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9"/>
      <color theme="0"/>
      <name val="Century Gothic"/>
      <family val="2"/>
    </font>
    <font>
      <sz val="9"/>
      <color theme="1"/>
      <name val="Century Gothic"/>
      <family val="2"/>
    </font>
    <font>
      <i/>
      <sz val="9"/>
      <color theme="1"/>
      <name val="Century Gothic"/>
      <family val="2"/>
    </font>
    <font>
      <sz val="9"/>
      <color theme="0"/>
      <name val="Century Gothic"/>
      <family val="2"/>
    </font>
    <font>
      <b/>
      <sz val="11"/>
      <color theme="0"/>
      <name val="Century Gothic"/>
      <family val="2"/>
    </font>
    <font>
      <b/>
      <sz val="10"/>
      <color theme="1"/>
      <name val="Century Gothic"/>
      <family val="2"/>
    </font>
    <font>
      <i/>
      <sz val="10"/>
      <color theme="1"/>
      <name val="Century Gothic"/>
      <family val="2"/>
    </font>
    <font>
      <b/>
      <sz val="11"/>
      <color theme="0"/>
      <name val="Century Gothic"/>
      <family val="2"/>
    </font>
    <font>
      <b/>
      <sz val="11"/>
      <color theme="0" tint="-0.34998626667073579"/>
      <name val="Century Gothic"/>
      <family val="2"/>
    </font>
    <font>
      <i/>
      <sz val="10"/>
      <color theme="1"/>
      <name val="Century Gothic"/>
      <family val="2"/>
    </font>
    <font>
      <sz val="11"/>
      <color rgb="FF000000"/>
      <name val="Calibri"/>
      <family val="2"/>
    </font>
    <font>
      <b/>
      <sz val="11"/>
      <name val="Arial"/>
      <family val="2"/>
    </font>
    <font>
      <i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4" fillId="0" borderId="0"/>
  </cellStyleXfs>
  <cellXfs count="170">
    <xf numFmtId="0" fontId="0" fillId="0" borderId="0" xfId="0"/>
    <xf numFmtId="0" fontId="2" fillId="2" borderId="1" xfId="0" applyFont="1" applyFill="1" applyBorder="1"/>
    <xf numFmtId="164" fontId="2" fillId="3" borderId="1" xfId="1" applyFont="1" applyFill="1" applyBorder="1"/>
    <xf numFmtId="0" fontId="2" fillId="3" borderId="1" xfId="0" applyFont="1" applyFill="1" applyBorder="1"/>
    <xf numFmtId="0" fontId="3" fillId="3" borderId="1" xfId="0" applyFont="1" applyFill="1" applyBorder="1" applyAlignment="1">
      <alignment horizontal="left"/>
    </xf>
    <xf numFmtId="0" fontId="3" fillId="3" borderId="1" xfId="0" applyFont="1" applyFill="1" applyBorder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0" xfId="0" applyFont="1" applyAlignment="1">
      <alignment horizontal="left" indent="2"/>
    </xf>
    <xf numFmtId="0" fontId="6" fillId="4" borderId="1" xfId="0" applyFont="1" applyFill="1" applyBorder="1" applyAlignment="1">
      <alignment horizontal="center" vertical="center"/>
    </xf>
    <xf numFmtId="0" fontId="8" fillId="0" borderId="0" xfId="0" applyFont="1"/>
    <xf numFmtId="166" fontId="3" fillId="7" borderId="0" xfId="1" applyNumberFormat="1" applyFont="1" applyFill="1" applyProtection="1">
      <protection locked="0"/>
    </xf>
    <xf numFmtId="0" fontId="9" fillId="0" borderId="0" xfId="0" applyFont="1" applyAlignment="1">
      <alignment horizontal="left" indent="2"/>
    </xf>
    <xf numFmtId="166" fontId="9" fillId="0" borderId="0" xfId="0" applyNumberFormat="1" applyFont="1"/>
    <xf numFmtId="0" fontId="9" fillId="0" borderId="0" xfId="0" applyFont="1"/>
    <xf numFmtId="0" fontId="2" fillId="0" borderId="0" xfId="0" applyFont="1"/>
    <xf numFmtId="165" fontId="3" fillId="0" borderId="0" xfId="0" applyNumberFormat="1" applyFont="1"/>
    <xf numFmtId="9" fontId="9" fillId="0" borderId="0" xfId="2" applyFont="1" applyFill="1"/>
    <xf numFmtId="166" fontId="2" fillId="0" borderId="0" xfId="0" applyNumberFormat="1" applyFont="1"/>
    <xf numFmtId="166" fontId="2" fillId="0" borderId="0" xfId="1" applyNumberFormat="1" applyFont="1" applyFill="1"/>
    <xf numFmtId="0" fontId="3" fillId="0" borderId="0" xfId="0" applyFont="1"/>
    <xf numFmtId="0" fontId="2" fillId="0" borderId="0" xfId="0" applyFont="1" applyAlignment="1">
      <alignment horizontal="left" vertical="center" indent="2"/>
    </xf>
    <xf numFmtId="0" fontId="2" fillId="0" borderId="0" xfId="0" applyFont="1" applyAlignment="1">
      <alignment horizontal="left" indent="4"/>
    </xf>
    <xf numFmtId="164" fontId="2" fillId="0" borderId="0" xfId="1" applyFont="1" applyFill="1"/>
    <xf numFmtId="0" fontId="5" fillId="0" borderId="0" xfId="0" applyFont="1" applyAlignment="1">
      <alignment horizontal="left" indent="3"/>
    </xf>
    <xf numFmtId="0" fontId="2" fillId="0" borderId="2" xfId="0" applyFont="1" applyBorder="1" applyAlignment="1">
      <alignment horizontal="center" vertical="center"/>
    </xf>
    <xf numFmtId="10" fontId="2" fillId="0" borderId="0" xfId="2" applyNumberFormat="1" applyFont="1" applyFill="1" applyProtection="1">
      <protection locked="0"/>
    </xf>
    <xf numFmtId="0" fontId="5" fillId="0" borderId="0" xfId="0" applyFont="1"/>
    <xf numFmtId="0" fontId="2" fillId="0" borderId="0" xfId="0" applyFont="1" applyAlignment="1" applyProtection="1">
      <alignment vertical="top"/>
      <protection locked="0"/>
    </xf>
    <xf numFmtId="166" fontId="2" fillId="0" borderId="0" xfId="1" applyNumberFormat="1" applyFont="1" applyFill="1" applyProtection="1">
      <protection locked="0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right" indent="2"/>
    </xf>
    <xf numFmtId="0" fontId="3" fillId="0" borderId="0" xfId="0" applyFont="1" applyAlignment="1">
      <alignment horizontal="right" indent="2"/>
    </xf>
    <xf numFmtId="165" fontId="2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left" wrapText="1"/>
    </xf>
    <xf numFmtId="166" fontId="2" fillId="9" borderId="0" xfId="1" applyNumberFormat="1" applyFont="1" applyFill="1"/>
    <xf numFmtId="165" fontId="6" fillId="6" borderId="3" xfId="0" applyNumberFormat="1" applyFont="1" applyFill="1" applyBorder="1" applyAlignment="1">
      <alignment horizontal="center" wrapText="1"/>
    </xf>
    <xf numFmtId="166" fontId="2" fillId="9" borderId="0" xfId="1" applyNumberFormat="1" applyFont="1" applyFill="1" applyProtection="1"/>
    <xf numFmtId="166" fontId="2" fillId="9" borderId="0" xfId="0" applyNumberFormat="1" applyFont="1" applyFill="1"/>
    <xf numFmtId="165" fontId="2" fillId="9" borderId="0" xfId="2" applyNumberFormat="1" applyFont="1" applyFill="1" applyAlignment="1">
      <alignment horizontal="center"/>
    </xf>
    <xf numFmtId="165" fontId="2" fillId="9" borderId="0" xfId="0" applyNumberFormat="1" applyFont="1" applyFill="1" applyAlignment="1">
      <alignment horizontal="center"/>
    </xf>
    <xf numFmtId="10" fontId="2" fillId="9" borderId="0" xfId="2" applyNumberFormat="1" applyFont="1" applyFill="1" applyProtection="1">
      <protection locked="0"/>
    </xf>
    <xf numFmtId="166" fontId="2" fillId="9" borderId="0" xfId="1" applyNumberFormat="1" applyFont="1" applyFill="1" applyProtection="1">
      <protection locked="0"/>
    </xf>
    <xf numFmtId="166" fontId="3" fillId="9" borderId="0" xfId="1" applyNumberFormat="1" applyFont="1" applyFill="1" applyAlignment="1">
      <alignment horizontal="right"/>
    </xf>
    <xf numFmtId="0" fontId="6" fillId="6" borderId="3" xfId="0" applyFont="1" applyFill="1" applyBorder="1"/>
    <xf numFmtId="165" fontId="6" fillId="6" borderId="3" xfId="0" applyNumberFormat="1" applyFont="1" applyFill="1" applyBorder="1"/>
    <xf numFmtId="0" fontId="2" fillId="2" borderId="0" xfId="0" applyFont="1" applyFill="1" applyAlignment="1">
      <alignment horizontal="left" indent="2"/>
    </xf>
    <xf numFmtId="0" fontId="2" fillId="2" borderId="0" xfId="0" applyFont="1" applyFill="1"/>
    <xf numFmtId="0" fontId="2" fillId="2" borderId="0" xfId="0" applyFont="1" applyFill="1" applyAlignment="1">
      <alignment horizontal="left" indent="4"/>
    </xf>
    <xf numFmtId="0" fontId="2" fillId="0" borderId="0" xfId="0" applyFont="1" applyAlignment="1" applyProtection="1">
      <alignment horizontal="right"/>
      <protection locked="0"/>
    </xf>
    <xf numFmtId="0" fontId="11" fillId="2" borderId="0" xfId="0" applyFont="1" applyFill="1"/>
    <xf numFmtId="0" fontId="12" fillId="2" borderId="0" xfId="0" applyFont="1" applyFill="1"/>
    <xf numFmtId="0" fontId="13" fillId="2" borderId="0" xfId="0" applyFont="1" applyFill="1"/>
    <xf numFmtId="0" fontId="8" fillId="0" borderId="3" xfId="0" applyFont="1" applyBorder="1" applyAlignment="1">
      <alignment horizontal="center" vertical="top"/>
    </xf>
    <xf numFmtId="9" fontId="0" fillId="0" borderId="0" xfId="2" applyFont="1"/>
    <xf numFmtId="0" fontId="8" fillId="0" borderId="0" xfId="0" applyFont="1" applyAlignment="1">
      <alignment horizontal="center" vertical="top"/>
    </xf>
    <xf numFmtId="0" fontId="2" fillId="0" borderId="0" xfId="0" quotePrefix="1" applyFont="1"/>
    <xf numFmtId="0" fontId="3" fillId="0" borderId="0" xfId="0" applyFont="1" applyAlignment="1">
      <alignment horizontal="center" wrapText="1"/>
    </xf>
    <xf numFmtId="165" fontId="2" fillId="0" borderId="0" xfId="0" applyNumberFormat="1" applyFont="1" applyAlignment="1" applyProtection="1">
      <alignment horizontal="center" vertical="top"/>
      <protection locked="0"/>
    </xf>
    <xf numFmtId="166" fontId="3" fillId="9" borderId="0" xfId="1" applyNumberFormat="1" applyFont="1" applyFill="1" applyProtection="1">
      <protection locked="0"/>
    </xf>
    <xf numFmtId="169" fontId="0" fillId="0" borderId="0" xfId="0" applyNumberFormat="1"/>
    <xf numFmtId="166" fontId="3" fillId="0" borderId="0" xfId="1" applyNumberFormat="1" applyFont="1" applyFill="1"/>
    <xf numFmtId="10" fontId="12" fillId="2" borderId="0" xfId="0" applyNumberFormat="1" applyFont="1" applyFill="1"/>
    <xf numFmtId="44" fontId="12" fillId="2" borderId="0" xfId="3" applyFont="1" applyFill="1" applyBorder="1" applyAlignment="1">
      <alignment horizontal="center" vertical="center"/>
    </xf>
    <xf numFmtId="0" fontId="15" fillId="2" borderId="0" xfId="0" applyFont="1" applyFill="1"/>
    <xf numFmtId="165" fontId="6" fillId="2" borderId="0" xfId="0" applyNumberFormat="1" applyFont="1" applyFill="1" applyProtection="1">
      <protection locked="0"/>
    </xf>
    <xf numFmtId="166" fontId="16" fillId="9" borderId="0" xfId="1" applyNumberFormat="1" applyFont="1" applyFill="1"/>
    <xf numFmtId="165" fontId="16" fillId="2" borderId="0" xfId="2" applyNumberFormat="1" applyFont="1" applyFill="1" applyAlignment="1">
      <alignment horizontal="right"/>
    </xf>
    <xf numFmtId="165" fontId="16" fillId="9" borderId="0" xfId="2" applyNumberFormat="1" applyFont="1" applyFill="1" applyAlignment="1">
      <alignment horizontal="right"/>
    </xf>
    <xf numFmtId="166" fontId="17" fillId="9" borderId="0" xfId="1" applyNumberFormat="1" applyFont="1" applyFill="1"/>
    <xf numFmtId="166" fontId="16" fillId="2" borderId="0" xfId="1" applyNumberFormat="1" applyFont="1" applyFill="1" applyProtection="1">
      <protection locked="0"/>
    </xf>
    <xf numFmtId="166" fontId="16" fillId="9" borderId="0" xfId="1" applyNumberFormat="1" applyFont="1" applyFill="1" applyProtection="1">
      <protection locked="0"/>
    </xf>
    <xf numFmtId="0" fontId="16" fillId="0" borderId="0" xfId="0" applyFont="1"/>
    <xf numFmtId="0" fontId="3" fillId="2" borderId="0" xfId="0" applyFont="1" applyFill="1"/>
    <xf numFmtId="166" fontId="16" fillId="2" borderId="0" xfId="1" applyNumberFormat="1" applyFont="1" applyFill="1"/>
    <xf numFmtId="0" fontId="16" fillId="0" borderId="0" xfId="0" applyFont="1" applyAlignment="1">
      <alignment horizontal="left" indent="2"/>
    </xf>
    <xf numFmtId="0" fontId="19" fillId="2" borderId="0" xfId="0" applyFont="1" applyFill="1"/>
    <xf numFmtId="0" fontId="16" fillId="0" borderId="0" xfId="0" applyFont="1" applyAlignment="1">
      <alignment horizontal="center" vertical="center"/>
    </xf>
    <xf numFmtId="0" fontId="16" fillId="2" borderId="0" xfId="0" applyFont="1" applyFill="1"/>
    <xf numFmtId="0" fontId="18" fillId="2" borderId="0" xfId="0" applyFont="1" applyFill="1" applyAlignment="1">
      <alignment horizontal="right" indent="2"/>
    </xf>
    <xf numFmtId="0" fontId="17" fillId="2" borderId="0" xfId="0" applyFont="1" applyFill="1"/>
    <xf numFmtId="0" fontId="20" fillId="2" borderId="0" xfId="0" applyFont="1" applyFill="1"/>
    <xf numFmtId="0" fontId="18" fillId="0" borderId="0" xfId="0" applyFont="1" applyAlignment="1">
      <alignment horizontal="left" indent="3"/>
    </xf>
    <xf numFmtId="0" fontId="11" fillId="10" borderId="0" xfId="0" applyFont="1" applyFill="1"/>
    <xf numFmtId="0" fontId="25" fillId="10" borderId="0" xfId="0" applyFont="1" applyFill="1"/>
    <xf numFmtId="0" fontId="25" fillId="2" borderId="0" xfId="0" applyFont="1" applyFill="1"/>
    <xf numFmtId="0" fontId="12" fillId="2" borderId="3" xfId="0" applyFont="1" applyFill="1" applyBorder="1"/>
    <xf numFmtId="0" fontId="10" fillId="2" borderId="3" xfId="0" applyFont="1" applyFill="1" applyBorder="1"/>
    <xf numFmtId="0" fontId="12" fillId="2" borderId="3" xfId="0" applyFont="1" applyFill="1" applyBorder="1" applyAlignment="1">
      <alignment horizontal="center" vertical="center"/>
    </xf>
    <xf numFmtId="0" fontId="23" fillId="2" borderId="3" xfId="0" applyFont="1" applyFill="1" applyBorder="1" applyAlignment="1">
      <alignment horizontal="right"/>
    </xf>
    <xf numFmtId="0" fontId="12" fillId="11" borderId="0" xfId="0" applyFont="1" applyFill="1"/>
    <xf numFmtId="0" fontId="25" fillId="11" borderId="0" xfId="0" applyFont="1" applyFill="1"/>
    <xf numFmtId="0" fontId="13" fillId="11" borderId="0" xfId="0" applyFont="1" applyFill="1" applyAlignment="1">
      <alignment vertical="center"/>
    </xf>
    <xf numFmtId="0" fontId="25" fillId="11" borderId="0" xfId="0" applyFont="1" applyFill="1" applyAlignment="1">
      <alignment vertical="center"/>
    </xf>
    <xf numFmtId="0" fontId="21" fillId="11" borderId="0" xfId="0" applyFont="1" applyFill="1"/>
    <xf numFmtId="0" fontId="26" fillId="2" borderId="3" xfId="0" applyFont="1" applyFill="1" applyBorder="1"/>
    <xf numFmtId="167" fontId="12" fillId="2" borderId="0" xfId="3" applyNumberFormat="1" applyFont="1" applyFill="1" applyBorder="1" applyAlignment="1">
      <alignment horizontal="center" vertical="center"/>
    </xf>
    <xf numFmtId="0" fontId="24" fillId="11" borderId="0" xfId="0" applyFont="1" applyFill="1"/>
    <xf numFmtId="0" fontId="13" fillId="2" borderId="0" xfId="0" applyFont="1" applyFill="1" applyAlignment="1">
      <alignment vertical="center"/>
    </xf>
    <xf numFmtId="0" fontId="26" fillId="2" borderId="4" xfId="0" applyFont="1" applyFill="1" applyBorder="1"/>
    <xf numFmtId="167" fontId="12" fillId="2" borderId="4" xfId="3" applyNumberFormat="1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left"/>
    </xf>
    <xf numFmtId="0" fontId="13" fillId="2" borderId="3" xfId="0" applyFont="1" applyFill="1" applyBorder="1" applyAlignment="1">
      <alignment horizontal="left"/>
    </xf>
    <xf numFmtId="0" fontId="27" fillId="2" borderId="4" xfId="0" applyFont="1" applyFill="1" applyBorder="1" applyAlignment="1">
      <alignment horizontal="right"/>
    </xf>
    <xf numFmtId="0" fontId="22" fillId="2" borderId="0" xfId="0" applyFont="1" applyFill="1"/>
    <xf numFmtId="0" fontId="12" fillId="9" borderId="3" xfId="0" applyFont="1" applyFill="1" applyBorder="1" applyAlignment="1">
      <alignment horizontal="center" vertical="center"/>
    </xf>
    <xf numFmtId="167" fontId="22" fillId="9" borderId="1" xfId="3" applyNumberFormat="1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22" fillId="8" borderId="1" xfId="0" applyFont="1" applyFill="1" applyBorder="1" applyAlignment="1">
      <alignment horizontal="center" vertical="center"/>
    </xf>
    <xf numFmtId="9" fontId="22" fillId="8" borderId="1" xfId="2" applyFont="1" applyFill="1" applyBorder="1" applyAlignment="1">
      <alignment horizontal="center" vertical="center"/>
    </xf>
    <xf numFmtId="167" fontId="22" fillId="8" borderId="1" xfId="3" applyNumberFormat="1" applyFont="1" applyFill="1" applyBorder="1" applyAlignment="1">
      <alignment horizontal="center" vertical="center"/>
    </xf>
    <xf numFmtId="44" fontId="22" fillId="8" borderId="3" xfId="3" applyFont="1" applyFill="1" applyBorder="1" applyAlignment="1">
      <alignment horizontal="center" vertical="center"/>
    </xf>
    <xf numFmtId="44" fontId="12" fillId="8" borderId="3" xfId="3" applyFont="1" applyFill="1" applyBorder="1" applyAlignment="1">
      <alignment horizontal="center" vertical="center"/>
    </xf>
    <xf numFmtId="0" fontId="2" fillId="8" borderId="0" xfId="0" applyFont="1" applyFill="1"/>
    <xf numFmtId="165" fontId="2" fillId="8" borderId="0" xfId="2" applyNumberFormat="1" applyFont="1" applyFill="1" applyAlignment="1">
      <alignment horizontal="center"/>
    </xf>
    <xf numFmtId="9" fontId="2" fillId="8" borderId="0" xfId="2" applyFont="1" applyFill="1"/>
    <xf numFmtId="10" fontId="2" fillId="8" borderId="0" xfId="2" applyNumberFormat="1" applyFont="1" applyFill="1" applyProtection="1">
      <protection locked="0"/>
    </xf>
    <xf numFmtId="0" fontId="28" fillId="2" borderId="0" xfId="0" applyFont="1" applyFill="1"/>
    <xf numFmtId="0" fontId="22" fillId="11" borderId="0" xfId="0" applyFont="1" applyFill="1"/>
    <xf numFmtId="0" fontId="29" fillId="2" borderId="0" xfId="0" applyFont="1" applyFill="1"/>
    <xf numFmtId="0" fontId="17" fillId="2" borderId="0" xfId="0" applyFont="1" applyFill="1" applyAlignment="1">
      <alignment horizontal="right" indent="2"/>
    </xf>
    <xf numFmtId="0" fontId="16" fillId="2" borderId="0" xfId="0" applyFont="1" applyFill="1" applyAlignment="1">
      <alignment horizontal="right" indent="2"/>
    </xf>
    <xf numFmtId="0" fontId="11" fillId="8" borderId="5" xfId="0" applyFont="1" applyFill="1" applyBorder="1"/>
    <xf numFmtId="0" fontId="11" fillId="9" borderId="3" xfId="0" applyFont="1" applyFill="1" applyBorder="1"/>
    <xf numFmtId="0" fontId="16" fillId="3" borderId="1" xfId="0" applyFont="1" applyFill="1" applyBorder="1" applyAlignment="1">
      <alignment horizontal="center"/>
    </xf>
    <xf numFmtId="9" fontId="22" fillId="8" borderId="1" xfId="0" applyNumberFormat="1" applyFont="1" applyFill="1" applyBorder="1" applyAlignment="1">
      <alignment horizontal="center" vertical="center"/>
    </xf>
    <xf numFmtId="44" fontId="22" fillId="8" borderId="4" xfId="3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right"/>
    </xf>
    <xf numFmtId="9" fontId="22" fillId="8" borderId="4" xfId="2" applyFont="1" applyFill="1" applyBorder="1" applyAlignment="1">
      <alignment horizontal="center" vertical="center"/>
    </xf>
    <xf numFmtId="170" fontId="22" fillId="9" borderId="1" xfId="0" applyNumberFormat="1" applyFont="1" applyFill="1" applyBorder="1" applyAlignment="1">
      <alignment horizontal="center" vertical="center"/>
    </xf>
    <xf numFmtId="9" fontId="22" fillId="9" borderId="1" xfId="2" applyFont="1" applyFill="1" applyBorder="1" applyAlignment="1">
      <alignment horizontal="center" vertical="center"/>
    </xf>
    <xf numFmtId="9" fontId="16" fillId="9" borderId="0" xfId="2" applyFont="1" applyFill="1"/>
    <xf numFmtId="9" fontId="5" fillId="9" borderId="0" xfId="2" applyFont="1" applyFill="1"/>
    <xf numFmtId="0" fontId="12" fillId="2" borderId="3" xfId="0" applyFont="1" applyFill="1" applyBorder="1" applyAlignment="1">
      <alignment horizontal="left" vertical="center"/>
    </xf>
    <xf numFmtId="0" fontId="0" fillId="10" borderId="0" xfId="0" applyFill="1"/>
    <xf numFmtId="0" fontId="7" fillId="10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69" fontId="6" fillId="2" borderId="0" xfId="0" applyNumberFormat="1" applyFont="1" applyFill="1"/>
    <xf numFmtId="10" fontId="0" fillId="0" borderId="0" xfId="2" applyNumberFormat="1" applyFont="1"/>
    <xf numFmtId="165" fontId="0" fillId="0" borderId="0" xfId="0" applyNumberFormat="1"/>
    <xf numFmtId="171" fontId="32" fillId="9" borderId="0" xfId="0" applyNumberFormat="1" applyFont="1" applyFill="1"/>
    <xf numFmtId="0" fontId="33" fillId="0" borderId="3" xfId="0" applyFont="1" applyBorder="1" applyAlignment="1">
      <alignment horizontal="right"/>
    </xf>
    <xf numFmtId="0" fontId="8" fillId="0" borderId="3" xfId="0" applyFont="1" applyBorder="1"/>
    <xf numFmtId="0" fontId="8" fillId="0" borderId="3" xfId="0" applyFont="1" applyBorder="1" applyAlignment="1">
      <alignment horizontal="center" vertical="center"/>
    </xf>
    <xf numFmtId="0" fontId="8" fillId="0" borderId="4" xfId="0" applyFont="1" applyBorder="1"/>
    <xf numFmtId="0" fontId="0" fillId="8" borderId="3" xfId="0" applyFill="1" applyBorder="1" applyAlignment="1">
      <alignment horizontal="center" vertical="center"/>
    </xf>
    <xf numFmtId="9" fontId="0" fillId="8" borderId="3" xfId="2" applyFont="1" applyFill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22" fillId="0" borderId="0" xfId="0" applyFont="1"/>
    <xf numFmtId="0" fontId="25" fillId="0" borderId="0" xfId="0" applyFont="1"/>
    <xf numFmtId="0" fontId="1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4" fillId="10" borderId="0" xfId="0" applyFont="1" applyFill="1"/>
    <xf numFmtId="167" fontId="0" fillId="0" borderId="0" xfId="3" applyNumberFormat="1" applyFon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167" fontId="0" fillId="0" borderId="0" xfId="0" applyNumberFormat="1" applyAlignment="1">
      <alignment horizontal="left"/>
    </xf>
    <xf numFmtId="0" fontId="22" fillId="9" borderId="1" xfId="0" applyFont="1" applyFill="1" applyBorder="1" applyAlignment="1">
      <alignment horizontal="center" vertical="center"/>
    </xf>
    <xf numFmtId="0" fontId="2" fillId="0" borderId="0" xfId="0" quotePrefix="1" applyFont="1" applyAlignment="1">
      <alignment horizontal="left" wrapText="1"/>
    </xf>
    <xf numFmtId="9" fontId="12" fillId="8" borderId="3" xfId="2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wrapText="1"/>
    </xf>
    <xf numFmtId="10" fontId="0" fillId="0" borderId="0" xfId="0" applyNumberFormat="1"/>
    <xf numFmtId="166" fontId="16" fillId="2" borderId="0" xfId="1" applyNumberFormat="1" applyFont="1" applyFill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</cellXfs>
  <cellStyles count="6">
    <cellStyle name="Milliers" xfId="1" builtinId="3"/>
    <cellStyle name="Monétaire" xfId="3" builtinId="4"/>
    <cellStyle name="Monétaire 2" xfId="4" xr:uid="{5324495E-E280-48E7-B06F-9E3E6959E76E}"/>
    <cellStyle name="Normal" xfId="0" builtinId="0"/>
    <cellStyle name="Normal 3" xfId="5" xr:uid="{325CA55B-2562-44A7-8F43-654449769146}"/>
    <cellStyle name="Pourcentage" xfId="2" builtinId="5"/>
  </cellStyles>
  <dxfs count="5">
    <dxf>
      <alignment horizontal="center" vertical="center" textRotation="0" wrapText="0" indent="0" justifyLastLine="0" shrinkToFit="0" readingOrder="0"/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[BP hybride.xlsm]Dimensionnement!Tableau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TRI</a:t>
            </a:r>
            <a:r>
              <a:rPr lang="fr-FR" sz="1600" b="1" baseline="0"/>
              <a:t> du projet (%) en fonction des dimensions de la batterie</a:t>
            </a:r>
            <a:endParaRPr lang="fr-F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Dimensionnement!$J$9:$J$10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Dimensionnement!$I$11:$I$20</c:f>
              <c:strCach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(vide)</c:v>
                </c:pt>
              </c:strCache>
            </c:strRef>
          </c:cat>
          <c:val>
            <c:numRef>
              <c:f>Dimensionnement!$J$11:$J$20</c:f>
              <c:numCache>
                <c:formatCode>General</c:formatCode>
                <c:ptCount val="9"/>
                <c:pt idx="0">
                  <c:v>-2.6941434930203512E-2</c:v>
                </c:pt>
                <c:pt idx="1">
                  <c:v>2.2426216155170264E-2</c:v>
                </c:pt>
                <c:pt idx="2">
                  <c:v>3.6460737035688195E-2</c:v>
                </c:pt>
                <c:pt idx="3">
                  <c:v>4.0940783651871815E-2</c:v>
                </c:pt>
                <c:pt idx="4">
                  <c:v>4.3056888490810907E-2</c:v>
                </c:pt>
                <c:pt idx="5">
                  <c:v>4.4323926074768538E-2</c:v>
                </c:pt>
                <c:pt idx="6">
                  <c:v>3.6709436671381823E-2</c:v>
                </c:pt>
                <c:pt idx="7">
                  <c:v>2.9537938254954987E-2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01-48B7-9FA0-5D7D165AD91B}"/>
            </c:ext>
          </c:extLst>
        </c:ser>
        <c:ser>
          <c:idx val="1"/>
          <c:order val="1"/>
          <c:tx>
            <c:strRef>
              <c:f>Dimensionnement!$K$9:$K$10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Dimensionnement!$I$11:$I$20</c:f>
              <c:strCach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(vide)</c:v>
                </c:pt>
              </c:strCache>
            </c:strRef>
          </c:cat>
          <c:val>
            <c:numRef>
              <c:f>Dimensionnement!$K$11:$K$20</c:f>
              <c:numCache>
                <c:formatCode>General</c:formatCode>
                <c:ptCount val="9"/>
                <c:pt idx="0">
                  <c:v>-3.3566137866953838E-2</c:v>
                </c:pt>
                <c:pt idx="1">
                  <c:v>-1.4549847233652491E-3</c:v>
                </c:pt>
                <c:pt idx="2">
                  <c:v>5.7810949471410744E-3</c:v>
                </c:pt>
                <c:pt idx="3">
                  <c:v>7.8785850464353491E-3</c:v>
                </c:pt>
                <c:pt idx="4">
                  <c:v>8.7259207476881873E-3</c:v>
                </c:pt>
                <c:pt idx="5">
                  <c:v>8.956144663192056E-3</c:v>
                </c:pt>
                <c:pt idx="6">
                  <c:v>5.4813196363379113E-4</c:v>
                </c:pt>
                <c:pt idx="7">
                  <c:v>-6.4031155680859264E-3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01-48B7-9FA0-5D7D165AD91B}"/>
            </c:ext>
          </c:extLst>
        </c:ser>
        <c:ser>
          <c:idx val="2"/>
          <c:order val="2"/>
          <c:tx>
            <c:strRef>
              <c:f>Dimensionnement!$L$9:$L$10</c:f>
              <c:strCache>
                <c:ptCount val="1"/>
                <c:pt idx="0">
                  <c:v>(vide)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Dimensionnement!$I$11:$I$20</c:f>
              <c:strCach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(vide)</c:v>
                </c:pt>
              </c:strCache>
            </c:strRef>
          </c:cat>
          <c:val>
            <c:numRef>
              <c:f>Dimensionnement!$L$11:$L$20</c:f>
              <c:numCache>
                <c:formatCode>General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B2-4C12-A123-1C1E21144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6362719"/>
        <c:axId val="1818446463"/>
      </c:lineChart>
      <c:catAx>
        <c:axId val="13763627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400" b="1"/>
                  <a:t>Puissance de la batterie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8446463"/>
        <c:crosses val="autoZero"/>
        <c:auto val="1"/>
        <c:lblAlgn val="ctr"/>
        <c:lblOffset val="100"/>
        <c:noMultiLvlLbl val="0"/>
      </c:catAx>
      <c:valAx>
        <c:axId val="1818446463"/>
        <c:scaling>
          <c:orientation val="minMax"/>
          <c:min val="-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400" b="1"/>
                  <a:t>TRI du projet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76362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000" b="1"/>
              <a:t>Répartition des revenus sur la durée de vie du projet</a:t>
            </a:r>
          </a:p>
          <a:p>
            <a:pPr>
              <a:defRPr sz="2000" b="1"/>
            </a:pPr>
            <a:r>
              <a:rPr lang="fr-FR" sz="2000" b="1"/>
              <a:t>Sc B1</a:t>
            </a:r>
            <a:r>
              <a:rPr lang="fr-FR" sz="2000" b="1" baseline="0"/>
              <a:t> </a:t>
            </a:r>
            <a:r>
              <a:rPr lang="fr-FR" sz="2000" b="1"/>
              <a:t>Batterie 6MW,1h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9591359400448193E-2"/>
          <c:y val="0.10365234821114706"/>
          <c:w val="0.63805586510084378"/>
          <c:h val="0.87767787692318433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Figures!$A$4</c:f>
              <c:strCache>
                <c:ptCount val="1"/>
                <c:pt idx="0">
                  <c:v>Day-ahead (net)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Figures!$B$4:$R$4</c:f>
              <c:numCache>
                <c:formatCode>#\ ##0.00\ "€"</c:formatCode>
                <c:ptCount val="17"/>
                <c:pt idx="0">
                  <c:v>-120520.47564619943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42-402B-8BB7-9BADF2D19097}"/>
            </c:ext>
          </c:extLst>
        </c:ser>
        <c:ser>
          <c:idx val="3"/>
          <c:order val="1"/>
          <c:tx>
            <c:strRef>
              <c:f>Figures!$A$5</c:f>
              <c:strCache>
                <c:ptCount val="1"/>
                <c:pt idx="0">
                  <c:v>Reserve primaire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Figures!$B$5:$R$5</c:f>
              <c:numCache>
                <c:formatCode>#\ ##0.00\ "€"</c:formatCode>
                <c:ptCount val="17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42-402B-8BB7-9BADF2D19097}"/>
            </c:ext>
          </c:extLst>
        </c:ser>
        <c:ser>
          <c:idx val="4"/>
          <c:order val="2"/>
          <c:tx>
            <c:strRef>
              <c:f>Figures!$A$6</c:f>
              <c:strCache>
                <c:ptCount val="1"/>
                <c:pt idx="0">
                  <c:v>Reserve secondaire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Figures!$B$6:$R$6</c:f>
              <c:numCache>
                <c:formatCode>#\ ##0.00\ "€"</c:formatCode>
                <c:ptCount val="17"/>
                <c:pt idx="0">
                  <c:v>564972.48745850986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42-402B-8BB7-9BADF2D19097}"/>
            </c:ext>
          </c:extLst>
        </c:ser>
        <c:ser>
          <c:idx val="5"/>
          <c:order val="3"/>
          <c:tx>
            <c:strRef>
              <c:f>Figures!$A$7</c:f>
              <c:strCache>
                <c:ptCount val="1"/>
                <c:pt idx="0">
                  <c:v>Mécanisme de capacité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Figures!$B$7:$R$7</c:f>
              <c:numCache>
                <c:formatCode>#\ ##0.00\ "€"</c:formatCode>
                <c:ptCount val="17"/>
                <c:pt idx="0">
                  <c:v>135768.07335000002</c:v>
                </c:pt>
                <c:pt idx="1">
                  <c:v>124019.67760000002</c:v>
                </c:pt>
                <c:pt idx="2">
                  <c:v>117695.52807012001</c:v>
                </c:pt>
                <c:pt idx="3">
                  <c:v>103431.52237259664</c:v>
                </c:pt>
                <c:pt idx="4">
                  <c:v>116825.64221479507</c:v>
                </c:pt>
                <c:pt idx="5">
                  <c:v>131225.93838781162</c:v>
                </c:pt>
                <c:pt idx="6">
                  <c:v>121777.82924515642</c:v>
                </c:pt>
                <c:pt idx="7">
                  <c:v>124665.367163403</c:v>
                </c:pt>
                <c:pt idx="8">
                  <c:v>123810.04523575951</c:v>
                </c:pt>
                <c:pt idx="9">
                  <c:v>124745.57864174573</c:v>
                </c:pt>
                <c:pt idx="10">
                  <c:v>105712.74434464329</c:v>
                </c:pt>
                <c:pt idx="11">
                  <c:v>126243.44786207471</c:v>
                </c:pt>
                <c:pt idx="12">
                  <c:v>123977.8899092811</c:v>
                </c:pt>
                <c:pt idx="13">
                  <c:v>121343.72805703369</c:v>
                </c:pt>
                <c:pt idx="14">
                  <c:v>118407.30502601305</c:v>
                </c:pt>
                <c:pt idx="15">
                  <c:v>117073.68170171851</c:v>
                </c:pt>
                <c:pt idx="16">
                  <c:v>123434.16488897719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42-402B-8BB7-9BADF2D19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744960"/>
        <c:axId val="942745792"/>
      </c:barChart>
      <c:catAx>
        <c:axId val="94274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745792"/>
        <c:crosses val="autoZero"/>
        <c:auto val="1"/>
        <c:lblAlgn val="ctr"/>
        <c:lblOffset val="100"/>
        <c:noMultiLvlLbl val="0"/>
      </c:catAx>
      <c:valAx>
        <c:axId val="942745792"/>
        <c:scaling>
          <c:orientation val="minMax"/>
          <c:min val="-100000"/>
        </c:scaling>
        <c:delete val="0"/>
        <c:axPos val="l"/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74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143152790193603"/>
          <c:y val="0.34630385470032715"/>
          <c:w val="0.20503986009916789"/>
          <c:h val="0.492095482600194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000" b="1"/>
              <a:t>Répartition des revenus sur la durée de vie du projet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6054828965592728E-2"/>
          <c:y val="0.10365234821114706"/>
          <c:w val="0.65610083575879541"/>
          <c:h val="0.87767787692318433"/>
        </c:manualLayout>
      </c:layout>
      <c:barChart>
        <c:barDir val="col"/>
        <c:grouping val="percentStacked"/>
        <c:varyColors val="0"/>
        <c:ser>
          <c:idx val="2"/>
          <c:order val="0"/>
          <c:tx>
            <c:strRef>
              <c:f>Figures!$A$4</c:f>
              <c:strCache>
                <c:ptCount val="1"/>
                <c:pt idx="0">
                  <c:v>Day-ahead (net)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Figures!$B$4:$R$4</c:f>
              <c:numCache>
                <c:formatCode>#\ ##0.00\ "€"</c:formatCode>
                <c:ptCount val="17"/>
                <c:pt idx="0">
                  <c:v>-120520.47564619943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17-4F0A-B6E7-895BF310BF19}"/>
            </c:ext>
          </c:extLst>
        </c:ser>
        <c:ser>
          <c:idx val="3"/>
          <c:order val="1"/>
          <c:tx>
            <c:strRef>
              <c:f>Figures!$A$5</c:f>
              <c:strCache>
                <c:ptCount val="1"/>
                <c:pt idx="0">
                  <c:v>Reserve primaire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Figures!$B$5:$R$5</c:f>
              <c:numCache>
                <c:formatCode>#\ ##0.00\ "€"</c:formatCode>
                <c:ptCount val="17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17-4F0A-B6E7-895BF310BF19}"/>
            </c:ext>
          </c:extLst>
        </c:ser>
        <c:ser>
          <c:idx val="4"/>
          <c:order val="2"/>
          <c:tx>
            <c:strRef>
              <c:f>Figures!$A$6</c:f>
              <c:strCache>
                <c:ptCount val="1"/>
                <c:pt idx="0">
                  <c:v>Reserve secondaire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Figures!$B$6:$R$6</c:f>
              <c:numCache>
                <c:formatCode>#\ ##0.00\ "€"</c:formatCode>
                <c:ptCount val="17"/>
                <c:pt idx="0">
                  <c:v>564972.48745850986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17-4F0A-B6E7-895BF310BF19}"/>
            </c:ext>
          </c:extLst>
        </c:ser>
        <c:ser>
          <c:idx val="5"/>
          <c:order val="3"/>
          <c:tx>
            <c:strRef>
              <c:f>Figures!$A$7</c:f>
              <c:strCache>
                <c:ptCount val="1"/>
                <c:pt idx="0">
                  <c:v>Mécanisme de capacité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Figures!$B$3:$R$3</c:f>
              <c:numCache>
                <c:formatCode>General</c:formatCode>
                <c:ptCount val="1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</c:numCache>
            </c:numRef>
          </c:cat>
          <c:val>
            <c:numRef>
              <c:f>Figures!$B$7:$R$7</c:f>
              <c:numCache>
                <c:formatCode>#\ ##0.00\ "€"</c:formatCode>
                <c:ptCount val="17"/>
                <c:pt idx="0">
                  <c:v>135768.07335000002</c:v>
                </c:pt>
                <c:pt idx="1">
                  <c:v>124019.67760000002</c:v>
                </c:pt>
                <c:pt idx="2">
                  <c:v>117695.52807012001</c:v>
                </c:pt>
                <c:pt idx="3">
                  <c:v>103431.52237259664</c:v>
                </c:pt>
                <c:pt idx="4">
                  <c:v>116825.64221479507</c:v>
                </c:pt>
                <c:pt idx="5">
                  <c:v>131225.93838781162</c:v>
                </c:pt>
                <c:pt idx="6">
                  <c:v>121777.82924515642</c:v>
                </c:pt>
                <c:pt idx="7">
                  <c:v>124665.367163403</c:v>
                </c:pt>
                <c:pt idx="8">
                  <c:v>123810.04523575951</c:v>
                </c:pt>
                <c:pt idx="9">
                  <c:v>124745.57864174573</c:v>
                </c:pt>
                <c:pt idx="10">
                  <c:v>105712.74434464329</c:v>
                </c:pt>
                <c:pt idx="11">
                  <c:v>126243.44786207471</c:v>
                </c:pt>
                <c:pt idx="12">
                  <c:v>123977.8899092811</c:v>
                </c:pt>
                <c:pt idx="13">
                  <c:v>121343.72805703369</c:v>
                </c:pt>
                <c:pt idx="14">
                  <c:v>118407.30502601305</c:v>
                </c:pt>
                <c:pt idx="15">
                  <c:v>117073.68170171851</c:v>
                </c:pt>
                <c:pt idx="16">
                  <c:v>123434.16488897719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17-4F0A-B6E7-895BF310B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744960"/>
        <c:axId val="942745792"/>
      </c:barChart>
      <c:catAx>
        <c:axId val="94274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745792"/>
        <c:crosses val="autoZero"/>
        <c:auto val="1"/>
        <c:lblAlgn val="ctr"/>
        <c:lblOffset val="100"/>
        <c:noMultiLvlLbl val="0"/>
      </c:catAx>
      <c:valAx>
        <c:axId val="942745792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74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593250128472333"/>
          <c:y val="0.32191755442334413"/>
          <c:w val="0.22390158977902996"/>
          <c:h val="0.545660972706280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[BP hybride.xlsm]Sensibilité!Tableau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A</a:t>
            </a:r>
            <a:r>
              <a:rPr lang="fr-FR" sz="1600" b="1" baseline="0"/>
              <a:t> dimension fixée, évolution du TRI projet en fonction du prix moyen sur le marché de capa pour 2 scénarii d'hypothèses batterie</a:t>
            </a:r>
            <a:endParaRPr lang="fr-F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Sensibilité!$J$21:$J$22</c:f>
              <c:strCache>
                <c:ptCount val="1"/>
                <c:pt idx="0">
                  <c:v>optimiste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Sensibilité!$I$23:$I$27</c:f>
              <c:strCache>
                <c:ptCount val="4"/>
                <c:pt idx="0">
                  <c:v> 24 390 € </c:v>
                </c:pt>
                <c:pt idx="1">
                  <c:v> 30 488 € </c:v>
                </c:pt>
                <c:pt idx="2">
                  <c:v> 36 586 € </c:v>
                </c:pt>
                <c:pt idx="3">
                  <c:v> 42 683 € </c:v>
                </c:pt>
              </c:strCache>
            </c:strRef>
          </c:cat>
          <c:val>
            <c:numRef>
              <c:f>Sensibilité!$J$23:$J$27</c:f>
              <c:numCache>
                <c:formatCode>0.0%</c:formatCode>
                <c:ptCount val="4"/>
                <c:pt idx="0">
                  <c:v>3.1709458527517276E-2</c:v>
                </c:pt>
                <c:pt idx="1">
                  <c:v>4.6387499372158469E-2</c:v>
                </c:pt>
                <c:pt idx="2">
                  <c:v>5.9947826563139905E-2</c:v>
                </c:pt>
                <c:pt idx="3">
                  <c:v>7.2920125457662577E-2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5-4CA4-BDCC-60543DB2F6FA}"/>
            </c:ext>
          </c:extLst>
        </c:ser>
        <c:ser>
          <c:idx val="1"/>
          <c:order val="1"/>
          <c:tx>
            <c:strRef>
              <c:f>Sensibilité!$K$21:$K$22</c:f>
              <c:strCache>
                <c:ptCount val="1"/>
                <c:pt idx="0">
                  <c:v>pessimiste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Sensibilité!$I$23:$I$27</c:f>
              <c:strCache>
                <c:ptCount val="4"/>
                <c:pt idx="0">
                  <c:v> 24 390 € </c:v>
                </c:pt>
                <c:pt idx="1">
                  <c:v> 30 488 € </c:v>
                </c:pt>
                <c:pt idx="2">
                  <c:v> 36 586 € </c:v>
                </c:pt>
                <c:pt idx="3">
                  <c:v> 42 683 € </c:v>
                </c:pt>
              </c:strCache>
            </c:strRef>
          </c:cat>
          <c:val>
            <c:numRef>
              <c:f>Sensibilité!$K$23:$K$27</c:f>
              <c:numCache>
                <c:formatCode>0.0%</c:formatCode>
                <c:ptCount val="4"/>
                <c:pt idx="0">
                  <c:v>-8.5635706717406279E-3</c:v>
                </c:pt>
                <c:pt idx="1">
                  <c:v>1.1732783704943683E-2</c:v>
                </c:pt>
                <c:pt idx="2">
                  <c:v>2.9349506855767871E-2</c:v>
                </c:pt>
                <c:pt idx="3">
                  <c:v>4.3640352433781615E-2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5-4CA4-BDCC-60543DB2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6187167"/>
        <c:axId val="1327730367"/>
      </c:lineChart>
      <c:catAx>
        <c:axId val="18761871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400" b="1"/>
                  <a:t>Prix moyen mécanisme de capacité (€/MW/an)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7730367"/>
        <c:crosses val="autoZero"/>
        <c:auto val="1"/>
        <c:lblAlgn val="ctr"/>
        <c:lblOffset val="100"/>
        <c:noMultiLvlLbl val="0"/>
      </c:catAx>
      <c:valAx>
        <c:axId val="1327730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400" b="1"/>
                  <a:t>TRI projet</a:t>
                </a:r>
                <a:r>
                  <a:rPr lang="fr-FR" sz="1400" b="1" baseline="0"/>
                  <a:t> (%)</a:t>
                </a:r>
                <a:endParaRPr lang="fr-FR" sz="14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6187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2</xdr:row>
          <xdr:rowOff>139700</xdr:rowOff>
        </xdr:from>
        <xdr:to>
          <xdr:col>8</xdr:col>
          <xdr:colOff>431800</xdr:colOff>
          <xdr:row>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Lancer dimensionnement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742950</xdr:colOff>
      <xdr:row>19</xdr:row>
      <xdr:rowOff>165099</xdr:rowOff>
    </xdr:from>
    <xdr:to>
      <xdr:col>13</xdr:col>
      <xdr:colOff>180975</xdr:colOff>
      <xdr:row>38</xdr:row>
      <xdr:rowOff>9526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1090544</xdr:colOff>
      <xdr:row>11</xdr:row>
      <xdr:rowOff>162478</xdr:rowOff>
    </xdr:from>
    <xdr:to>
      <xdr:col>9</xdr:col>
      <xdr:colOff>690218</xdr:colOff>
      <xdr:row>34</xdr:row>
      <xdr:rowOff>142323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225425</xdr:colOff>
      <xdr:row>8</xdr:row>
      <xdr:rowOff>168276</xdr:rowOff>
    </xdr:from>
    <xdr:to>
      <xdr:col>23</xdr:col>
      <xdr:colOff>579783</xdr:colOff>
      <xdr:row>34</xdr:row>
      <xdr:rowOff>27608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171450</xdr:rowOff>
        </xdr:from>
        <xdr:to>
          <xdr:col>10</xdr:col>
          <xdr:colOff>755650</xdr:colOff>
          <xdr:row>14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Lancer analyse de sensibilité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749299</xdr:colOff>
      <xdr:row>28</xdr:row>
      <xdr:rowOff>11110</xdr:rowOff>
    </xdr:from>
    <xdr:to>
      <xdr:col>13</xdr:col>
      <xdr:colOff>468689</xdr:colOff>
      <xdr:row>50</xdr:row>
      <xdr:rowOff>105833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Affichage 1" id="{292DC005-0675-4E07-8F93-41A0C23F6F85}">
    <nsvFilter filterId="{9B9FB008-4857-413F-88A6-A1734C6EADCC}" ref="A3:E25" tableId="1">
      <sortRules>
        <sortRule colId="2" id="{1A55B35C-750D-4B5F-9545-6E95202D0E72}">
          <sortCondition descending="1" ref="C3:C25"/>
        </sortRule>
      </sortRules>
    </nsvFilter>
  </namedSheetView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and Abdat" refreshedDate="45008.397479629632" createdVersion="8" refreshedVersion="8" minRefreshableVersion="3" recordCount="8" xr:uid="{0F8FCB49-D563-47D7-ACCA-48CE2BF2138B}">
  <cacheSource type="worksheet">
    <worksheetSource name="Tableau2"/>
  </cacheSource>
  <cacheFields count="4">
    <cacheField name="Hypothèses batterie" numFmtId="0">
      <sharedItems count="2">
        <s v="optimiste"/>
        <s v="pessimiste"/>
      </sharedItems>
    </cacheField>
    <cacheField name="Prix moyen méca capa (€/MW)" numFmtId="167">
      <sharedItems containsSemiMixedTypes="0" containsString="0" containsNumber="1" minValue="24390.388235294118" maxValue="42683.179411764708" count="4">
        <n v="24390.388235294118"/>
        <n v="30487.985294117647"/>
        <n v="36585.582352941179"/>
        <n v="42683.179411764708"/>
      </sharedItems>
    </cacheField>
    <cacheField name="TRI projet (%)" numFmtId="165">
      <sharedItems containsSemiMixedTypes="0" containsString="0" containsNumber="1" minValue="-8.5635706717406279E-3" maxValue="7.2920125457662577E-2"/>
    </cacheField>
    <cacheField name="TRI investisseur (%)" numFmtId="165">
      <sharedItems containsMixedTypes="1" containsNumber="1" minValue="-5.837176261692778E-2" maxValue="0.125781291991614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ugo Radet" refreshedDate="45086.61587199074" createdVersion="8" refreshedVersion="8" minRefreshableVersion="3" recordCount="22" xr:uid="{3A068D66-0E0B-4839-9F3A-1E2E7D41E6FC}">
  <cacheSource type="worksheet">
    <worksheetSource name="Tableau1"/>
  </cacheSource>
  <cacheFields count="5">
    <cacheField name="Puissance (MW)" numFmtId="0">
      <sharedItems containsString="0" containsBlank="1" containsNumber="1" minValue="0" maxValue="11" count="14">
        <n v="1"/>
        <n v="2"/>
        <n v="3"/>
        <n v="4"/>
        <n v="5"/>
        <n v="6"/>
        <n v="7"/>
        <n v="8"/>
        <m/>
        <n v="0" u="1"/>
        <n v="1.7" u="1"/>
        <n v="9" u="1"/>
        <n v="10" u="1"/>
        <n v="11" u="1"/>
      </sharedItems>
    </cacheField>
    <cacheField name="Durée (h)" numFmtId="0">
      <sharedItems containsString="0" containsBlank="1" containsNumber="1" containsInteger="1" minValue="1" maxValue="3" count="4">
        <n v="1"/>
        <n v="2"/>
        <m/>
        <n v="3" u="1"/>
      </sharedItems>
    </cacheField>
    <cacheField name="TRI projet (%)" numFmtId="0">
      <sharedItems containsString="0" containsBlank="1" containsNumber="1" minValue="-3.3566137866953838E-2" maxValue="4.4323926074768538E-2"/>
    </cacheField>
    <cacheField name="TRI investisseur (%)" numFmtId="0">
      <sharedItems containsBlank="1" containsMixedTypes="1" containsNumber="1" minValue="-0.18136873624687222" maxValue="5.2628118495498644E-2"/>
    </cacheField>
    <cacheField name="Colonne1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n v="3.1709458527517276E-2"/>
    <n v="1.4900514768186213E-2"/>
  </r>
  <r>
    <x v="1"/>
    <x v="0"/>
    <n v="-8.5635706717406279E-3"/>
    <e v="#NUM!"/>
  </r>
  <r>
    <x v="0"/>
    <x v="1"/>
    <n v="4.6387499372158469E-2"/>
    <n v="5.7956864633146088E-2"/>
  </r>
  <r>
    <x v="1"/>
    <x v="1"/>
    <n v="1.1732783704943683E-2"/>
    <n v="-5.837176261692778E-2"/>
  </r>
  <r>
    <x v="0"/>
    <x v="2"/>
    <n v="5.9947826563139905E-2"/>
    <n v="9.3590838062416193E-2"/>
  </r>
  <r>
    <x v="1"/>
    <x v="2"/>
    <n v="2.9349506855767871E-2"/>
    <n v="8.2949831069589752E-3"/>
  </r>
  <r>
    <x v="0"/>
    <x v="3"/>
    <n v="7.2920125457662577E-2"/>
    <n v="0.12578129199161459"/>
  </r>
  <r>
    <x v="1"/>
    <x v="3"/>
    <n v="4.3640352433781615E-2"/>
    <n v="5.0157165509573387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n v="-2.6941434930203512E-2"/>
    <e v="#NUM!"/>
    <m/>
  </r>
  <r>
    <x v="0"/>
    <x v="1"/>
    <n v="-3.3566137866953838E-2"/>
    <e v="#NUM!"/>
    <m/>
  </r>
  <r>
    <x v="1"/>
    <x v="0"/>
    <n v="2.2426216155170264E-2"/>
    <n v="-1.8186200219464821E-2"/>
    <m/>
  </r>
  <r>
    <x v="1"/>
    <x v="1"/>
    <n v="-1.4549847233652491E-3"/>
    <n v="-0.10176383686205104"/>
    <m/>
  </r>
  <r>
    <x v="2"/>
    <x v="0"/>
    <n v="3.6460737035688195E-2"/>
    <n v="2.9489690719677109E-2"/>
    <m/>
  </r>
  <r>
    <x v="2"/>
    <x v="1"/>
    <n v="5.7810949471410744E-3"/>
    <n v="-7.016500464615949E-2"/>
    <m/>
  </r>
  <r>
    <x v="3"/>
    <x v="0"/>
    <n v="4.0940783651871815E-2"/>
    <n v="4.2750281163030035E-2"/>
    <m/>
  </r>
  <r>
    <x v="3"/>
    <x v="1"/>
    <n v="7.8785850464353491E-3"/>
    <n v="-6.3493799395272776E-2"/>
    <m/>
  </r>
  <r>
    <x v="4"/>
    <x v="0"/>
    <n v="4.3056888490810907E-2"/>
    <n v="4.8930630627259886E-2"/>
    <m/>
  </r>
  <r>
    <x v="4"/>
    <x v="1"/>
    <n v="8.7259207476881873E-3"/>
    <n v="-6.1250985252255585E-2"/>
    <m/>
  </r>
  <r>
    <x v="5"/>
    <x v="0"/>
    <n v="4.4323926074768538E-2"/>
    <n v="5.2628118495498644E-2"/>
    <m/>
  </r>
  <r>
    <x v="5"/>
    <x v="1"/>
    <n v="8.956144663192056E-3"/>
    <n v="-6.1182477542453984E-2"/>
    <m/>
  </r>
  <r>
    <x v="6"/>
    <x v="0"/>
    <n v="3.6709436671381823E-2"/>
    <n v="2.9958199040603484E-2"/>
    <m/>
  </r>
  <r>
    <x v="6"/>
    <x v="1"/>
    <n v="5.4813196363379113E-4"/>
    <n v="-0.10701896907488162"/>
    <m/>
  </r>
  <r>
    <x v="7"/>
    <x v="0"/>
    <n v="2.9537938254954987E-2"/>
    <n v="6.0707078873714071E-3"/>
    <m/>
  </r>
  <r>
    <x v="7"/>
    <x v="1"/>
    <n v="-6.4031155680859264E-3"/>
    <n v="-0.18136873624687222"/>
    <m/>
  </r>
  <r>
    <x v="8"/>
    <x v="2"/>
    <m/>
    <m/>
    <m/>
  </r>
  <r>
    <x v="8"/>
    <x v="2"/>
    <m/>
    <m/>
    <m/>
  </r>
  <r>
    <x v="8"/>
    <x v="2"/>
    <m/>
    <m/>
    <m/>
  </r>
  <r>
    <x v="8"/>
    <x v="2"/>
    <m/>
    <m/>
    <m/>
  </r>
  <r>
    <x v="8"/>
    <x v="2"/>
    <m/>
    <m/>
    <m/>
  </r>
  <r>
    <x v="8"/>
    <x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324A05-9728-46FF-BFCC-5A6899720727}" name="Tableau croisé dynamique1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8">
  <location ref="I9:M20" firstHeaderRow="1" firstDataRow="2" firstDataCol="1"/>
  <pivotFields count="5">
    <pivotField axis="axisRow" showAll="0" sortType="ascending">
      <items count="15">
        <item m="1" x="9"/>
        <item x="0"/>
        <item m="1" x="10"/>
        <item x="1"/>
        <item x="2"/>
        <item x="3"/>
        <item x="4"/>
        <item x="5"/>
        <item x="6"/>
        <item x="7"/>
        <item m="1" x="11"/>
        <item m="1" x="12"/>
        <item m="1" x="13"/>
        <item x="8"/>
        <item t="default"/>
      </items>
    </pivotField>
    <pivotField axis="axisCol" showAll="0">
      <items count="5">
        <item x="0"/>
        <item x="1"/>
        <item m="1" x="3"/>
        <item x="2"/>
        <item t="default"/>
      </items>
    </pivotField>
    <pivotField dataField="1" showAll="0"/>
    <pivotField showAll="0"/>
    <pivotField showAll="0"/>
  </pivotFields>
  <rowFields count="1">
    <field x="0"/>
  </rowFields>
  <rowItems count="10"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3"/>
    </i>
    <i t="grand">
      <x/>
    </i>
  </rowItems>
  <colFields count="1">
    <field x="1"/>
  </colFields>
  <colItems count="4">
    <i>
      <x/>
    </i>
    <i>
      <x v="1"/>
    </i>
    <i>
      <x v="3"/>
    </i>
    <i t="grand">
      <x/>
    </i>
  </colItems>
  <dataFields count="1">
    <dataField name="Somme de TRI projet (%)" fld="2" baseField="0" baseItem="5"/>
  </dataFields>
  <formats count="3">
    <format dxfId="4">
      <pivotArea collapsedLevelsAreSubtotals="1" fieldPosition="0">
        <references count="1">
          <reference field="0" count="6">
            <x v="1"/>
            <x v="3"/>
            <x v="4"/>
            <x v="5"/>
            <x v="6"/>
            <x v="7"/>
          </reference>
        </references>
      </pivotArea>
    </format>
    <format dxfId="3">
      <pivotArea collapsedLevelsAreSubtotals="1" fieldPosition="0">
        <references count="1">
          <reference field="0" count="2">
            <x v="8"/>
            <x v="9"/>
          </reference>
        </references>
      </pivotArea>
    </format>
    <format dxfId="2">
      <pivotArea collapsedLevelsAreSubtotals="1" fieldPosition="0">
        <references count="1">
          <reference field="0" count="3">
            <x v="10"/>
            <x v="11"/>
            <x v="12"/>
          </reference>
        </references>
      </pivotArea>
    </format>
  </formats>
  <chartFormats count="4"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C8A2C9-EDD3-4EBB-9516-5FC7924D96CD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I21:L27" firstHeaderRow="1" firstDataRow="2" firstDataCol="1"/>
  <pivotFields count="4">
    <pivotField axis="axisCol" showAll="0">
      <items count="3">
        <item x="0"/>
        <item x="1"/>
        <item t="default"/>
      </items>
    </pivotField>
    <pivotField axis="axisRow" numFmtId="167" showAll="0">
      <items count="5">
        <item x="0"/>
        <item x="1"/>
        <item x="2"/>
        <item x="3"/>
        <item t="default"/>
      </items>
    </pivotField>
    <pivotField dataField="1" numFmtId="165"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Somme de TRI projet (%)" fld="2" baseField="0" baseItem="0"/>
  </dataFields>
  <formats count="1">
    <format dxfId="1">
      <pivotArea collapsedLevelsAreSubtotals="1" fieldPosition="0">
        <references count="1">
          <reference field="1" count="0"/>
        </references>
      </pivotArea>
    </format>
  </format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FB008-4857-413F-88A6-A1734C6EADCC}" name="Tableau1" displayName="Tableau1" ref="A3:E25" totalsRowShown="0">
  <autoFilter ref="A3:E25" xr:uid="{9B9FB008-4857-413F-88A6-A1734C6EADCC}"/>
  <sortState xmlns:xlrd2="http://schemas.microsoft.com/office/spreadsheetml/2017/richdata2" ref="A4:E24">
    <sortCondition descending="1" ref="C3:C25"/>
  </sortState>
  <tableColumns count="5">
    <tableColumn id="1" xr3:uid="{11BEAB19-BC80-4F11-A88A-9241CACE38CD}" name="Puissance (MW)"/>
    <tableColumn id="2" xr3:uid="{CD5D2964-2F5B-4A20-9E0A-BB897EA6CF35}" name="Durée (h)"/>
    <tableColumn id="3" xr3:uid="{1A55B35C-750D-4B5F-9545-6E95202D0E72}" name="TRI projet (%)"/>
    <tableColumn id="4" xr3:uid="{998147A8-00E1-46D1-816C-DAE51AA1660C}" name="TRI investisseur (%)"/>
    <tableColumn id="5" xr3:uid="{07F27F94-E883-47AD-BDFC-0D4DA5D71A55}" name="Colonne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A09D4D-C953-44B1-AA2C-2BA2C2448171}" name="Tableau2" displayName="Tableau2" ref="B21:E29" totalsRowShown="0" headerRowDxfId="0">
  <autoFilter ref="B21:E29" xr:uid="{A9A09D4D-C953-44B1-AA2C-2BA2C2448171}"/>
  <tableColumns count="4">
    <tableColumn id="1" xr3:uid="{5A6B81F5-E14D-4CFF-897C-DC5537E7A8B9}" name="Hypothèses batterie"/>
    <tableColumn id="2" xr3:uid="{8EF6A1E2-5117-46A7-BFAE-15AEC0ECCCA3}" name="Prix moyen méca capa (€/MW)"/>
    <tableColumn id="3" xr3:uid="{933EB1D1-710E-4BA9-A9AD-5EF9D4680BF0}" name="TRI projet (%)"/>
    <tableColumn id="4" xr3:uid="{79F5B23F-1BCF-4840-89C3-E123362472BB}" name="TRI investisseur (%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microsoft.com/office/2019/04/relationships/namedSheetView" Target="../namedSheetViews/namedSheetView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0F593-9CF0-4721-ADAD-BADCF00D9B53}">
  <sheetPr codeName="Feuil1">
    <tabColor rgb="FFFFFF00"/>
  </sheetPr>
  <dimension ref="A1:K43"/>
  <sheetViews>
    <sheetView topLeftCell="A5" zoomScale="82" zoomScaleNormal="82" workbookViewId="0">
      <selection activeCell="E14" sqref="E14"/>
    </sheetView>
  </sheetViews>
  <sheetFormatPr baseColWidth="10" defaultColWidth="10.90625" defaultRowHeight="11.5" x14ac:dyDescent="0.25"/>
  <cols>
    <col min="1" max="1" width="4.08984375" style="53" customWidth="1"/>
    <col min="2" max="2" width="32.6328125" style="53" customWidth="1"/>
    <col min="3" max="3" width="14.08984375" style="53" bestFit="1" customWidth="1"/>
    <col min="4" max="4" width="13.54296875" style="53" bestFit="1" customWidth="1"/>
    <col min="5" max="5" width="76.81640625" style="53" bestFit="1" customWidth="1"/>
    <col min="6" max="16384" width="10.90625" style="53"/>
  </cols>
  <sheetData>
    <row r="1" spans="1:4" s="85" customFormat="1" ht="14" x14ac:dyDescent="0.3">
      <c r="A1" s="86" t="s">
        <v>148</v>
      </c>
    </row>
    <row r="2" spans="1:4" s="52" customFormat="1" ht="14" x14ac:dyDescent="0.3">
      <c r="A2" s="87"/>
    </row>
    <row r="3" spans="1:4" s="52" customFormat="1" ht="14" x14ac:dyDescent="0.3">
      <c r="A3" s="120"/>
      <c r="B3" s="123" t="s">
        <v>0</v>
      </c>
    </row>
    <row r="4" spans="1:4" s="52" customFormat="1" ht="14" x14ac:dyDescent="0.3">
      <c r="A4" s="120"/>
      <c r="B4" s="124" t="s">
        <v>1</v>
      </c>
      <c r="C4" s="125"/>
    </row>
    <row r="5" spans="1:4" s="52" customFormat="1" ht="14" x14ac:dyDescent="0.3">
      <c r="A5" s="120"/>
      <c r="B5" s="124" t="s">
        <v>2</v>
      </c>
      <c r="C5" s="126"/>
    </row>
    <row r="6" spans="1:4" s="52" customFormat="1" ht="14" x14ac:dyDescent="0.3">
      <c r="A6" s="122"/>
    </row>
    <row r="7" spans="1:4" x14ac:dyDescent="0.25">
      <c r="A7" s="107"/>
    </row>
    <row r="8" spans="1:4" s="92" customFormat="1" ht="14" x14ac:dyDescent="0.3">
      <c r="A8" s="121"/>
      <c r="B8" s="93" t="s">
        <v>142</v>
      </c>
    </row>
    <row r="10" spans="1:4" ht="12.5" x14ac:dyDescent="0.25">
      <c r="B10" s="89" t="s">
        <v>161</v>
      </c>
      <c r="C10" s="108" t="s">
        <v>123</v>
      </c>
    </row>
    <row r="11" spans="1:4" x14ac:dyDescent="0.25">
      <c r="B11" s="91" t="s">
        <v>109</v>
      </c>
      <c r="C11" s="108">
        <v>6.85</v>
      </c>
    </row>
    <row r="12" spans="1:4" x14ac:dyDescent="0.25">
      <c r="B12" s="91" t="s">
        <v>144</v>
      </c>
      <c r="C12" s="108">
        <v>6</v>
      </c>
    </row>
    <row r="13" spans="1:4" ht="12.5" x14ac:dyDescent="0.25">
      <c r="B13" s="89" t="s">
        <v>143</v>
      </c>
      <c r="C13" s="110">
        <v>17</v>
      </c>
    </row>
    <row r="14" spans="1:4" s="54" customFormat="1" x14ac:dyDescent="0.25">
      <c r="A14" s="53"/>
      <c r="B14" s="53"/>
      <c r="D14" s="64"/>
    </row>
    <row r="15" spans="1:4" s="96" customFormat="1" ht="14" x14ac:dyDescent="0.25">
      <c r="A15" s="94"/>
      <c r="B15" s="95" t="s">
        <v>145</v>
      </c>
    </row>
    <row r="16" spans="1:4" s="54" customFormat="1" x14ac:dyDescent="0.25"/>
    <row r="17" spans="2:11" ht="12.5" x14ac:dyDescent="0.25">
      <c r="B17" s="101" t="s">
        <v>77</v>
      </c>
      <c r="C17" s="90" t="s">
        <v>149</v>
      </c>
      <c r="D17" s="111">
        <v>5.0000000000000009</v>
      </c>
      <c r="E17" s="104"/>
    </row>
    <row r="18" spans="2:11" ht="12.5" x14ac:dyDescent="0.25">
      <c r="B18" s="101" t="s">
        <v>163</v>
      </c>
      <c r="C18" s="90" t="s">
        <v>164</v>
      </c>
      <c r="D18" s="111">
        <v>2</v>
      </c>
      <c r="E18" s="104"/>
    </row>
    <row r="19" spans="2:11" ht="12.5" x14ac:dyDescent="0.25">
      <c r="B19" s="130" t="s">
        <v>78</v>
      </c>
      <c r="C19" s="90" t="s">
        <v>150</v>
      </c>
      <c r="D19" s="161">
        <f>D18*D17</f>
        <v>10.000000000000002</v>
      </c>
      <c r="E19" s="104"/>
      <c r="H19" s="107"/>
      <c r="I19" s="107"/>
      <c r="J19" s="107"/>
      <c r="K19" s="107"/>
    </row>
    <row r="20" spans="2:11" ht="12.5" x14ac:dyDescent="0.25">
      <c r="B20" s="97" t="s">
        <v>151</v>
      </c>
      <c r="C20" s="90" t="s">
        <v>9</v>
      </c>
      <c r="D20" s="112">
        <v>0.9</v>
      </c>
      <c r="E20" s="104"/>
    </row>
    <row r="21" spans="2:11" ht="12.5" x14ac:dyDescent="0.25">
      <c r="B21" s="106" t="s">
        <v>79</v>
      </c>
      <c r="C21" s="90" t="s">
        <v>150</v>
      </c>
      <c r="D21" s="132">
        <f>D19/D20</f>
        <v>11.111111111111112</v>
      </c>
      <c r="E21" s="104"/>
    </row>
    <row r="22" spans="2:11" ht="12.5" x14ac:dyDescent="0.25">
      <c r="B22" s="101" t="s">
        <v>156</v>
      </c>
      <c r="C22" s="90" t="s">
        <v>152</v>
      </c>
      <c r="D22" s="111">
        <v>250</v>
      </c>
      <c r="E22" s="104"/>
    </row>
    <row r="23" spans="2:11" ht="12.5" x14ac:dyDescent="0.25">
      <c r="B23" s="101" t="s">
        <v>155</v>
      </c>
      <c r="C23" s="90" t="s">
        <v>183</v>
      </c>
      <c r="D23" s="111">
        <v>200</v>
      </c>
      <c r="E23" s="104"/>
    </row>
    <row r="24" spans="2:11" ht="12.5" x14ac:dyDescent="0.25">
      <c r="B24" s="101" t="s">
        <v>80</v>
      </c>
      <c r="C24" s="90" t="s">
        <v>153</v>
      </c>
      <c r="D24" s="113">
        <v>120000</v>
      </c>
      <c r="E24" s="104"/>
    </row>
    <row r="25" spans="2:11" s="54" customFormat="1" ht="12.5" x14ac:dyDescent="0.25">
      <c r="B25" s="106" t="s">
        <v>154</v>
      </c>
      <c r="C25" s="90" t="s">
        <v>153</v>
      </c>
      <c r="D25" s="109">
        <f>D21*D22*1000+D23*D17*1000+D24</f>
        <v>3897777.7777777789</v>
      </c>
      <c r="E25" s="105"/>
    </row>
    <row r="26" spans="2:11" ht="12.5" x14ac:dyDescent="0.25">
      <c r="B26" s="101" t="s">
        <v>104</v>
      </c>
      <c r="C26" s="90" t="s">
        <v>9</v>
      </c>
      <c r="D26" s="133">
        <f>IF(D18=1,85%,IF(D18=2,91%,93%))</f>
        <v>0.91</v>
      </c>
      <c r="E26" s="104"/>
    </row>
    <row r="27" spans="2:11" s="54" customFormat="1" ht="12.5" x14ac:dyDescent="0.25">
      <c r="B27" s="101" t="s">
        <v>157</v>
      </c>
      <c r="C27" s="90" t="s">
        <v>158</v>
      </c>
      <c r="D27" s="128">
        <v>0.01</v>
      </c>
      <c r="E27" s="105"/>
    </row>
    <row r="29" spans="2:11" s="92" customFormat="1" ht="14" x14ac:dyDescent="0.3">
      <c r="B29" s="93" t="s">
        <v>146</v>
      </c>
    </row>
    <row r="30" spans="2:11" x14ac:dyDescent="0.25">
      <c r="D30" s="65"/>
    </row>
    <row r="31" spans="2:11" ht="12.5" x14ac:dyDescent="0.25">
      <c r="B31" s="89" t="s">
        <v>159</v>
      </c>
      <c r="C31" s="102" t="s">
        <v>153</v>
      </c>
      <c r="D31" s="114">
        <v>0</v>
      </c>
      <c r="E31" s="104"/>
    </row>
    <row r="32" spans="2:11" ht="14" x14ac:dyDescent="0.3">
      <c r="B32" s="66"/>
      <c r="C32" s="98"/>
    </row>
    <row r="33" spans="1:5" s="99" customFormat="1" ht="14" x14ac:dyDescent="0.25">
      <c r="B33" s="95" t="s">
        <v>147</v>
      </c>
    </row>
    <row r="34" spans="1:5" x14ac:dyDescent="0.25">
      <c r="A34" s="100"/>
      <c r="B34" s="100"/>
    </row>
    <row r="35" spans="1:5" ht="12.5" x14ac:dyDescent="0.25">
      <c r="B35" s="89" t="s">
        <v>160</v>
      </c>
      <c r="C35" s="103" t="s">
        <v>153</v>
      </c>
      <c r="D35" s="115">
        <v>0</v>
      </c>
      <c r="E35" s="104"/>
    </row>
    <row r="36" spans="1:5" ht="12.5" x14ac:dyDescent="0.25">
      <c r="B36" s="89" t="s">
        <v>125</v>
      </c>
      <c r="C36" s="103" t="s">
        <v>153</v>
      </c>
      <c r="D36" s="114">
        <v>0</v>
      </c>
      <c r="E36" s="104"/>
    </row>
    <row r="37" spans="1:5" ht="12.5" x14ac:dyDescent="0.25">
      <c r="B37" s="89" t="s">
        <v>162</v>
      </c>
      <c r="C37" s="103" t="s">
        <v>153</v>
      </c>
      <c r="D37" s="129">
        <v>0</v>
      </c>
      <c r="E37" s="88"/>
    </row>
    <row r="38" spans="1:5" ht="12.5" x14ac:dyDescent="0.25">
      <c r="B38" s="89" t="s">
        <v>165</v>
      </c>
      <c r="C38" s="103" t="s">
        <v>9</v>
      </c>
      <c r="D38" s="131">
        <v>0.05</v>
      </c>
      <c r="E38" s="88"/>
    </row>
    <row r="39" spans="1:5" ht="12.5" x14ac:dyDescent="0.25">
      <c r="B39" s="89" t="s">
        <v>128</v>
      </c>
      <c r="C39" s="103" t="s">
        <v>166</v>
      </c>
      <c r="D39" s="110">
        <v>0</v>
      </c>
      <c r="E39" s="136" t="s">
        <v>167</v>
      </c>
    </row>
    <row r="40" spans="1:5" ht="12.5" x14ac:dyDescent="0.25">
      <c r="B40" s="89" t="s">
        <v>137</v>
      </c>
      <c r="C40" s="103" t="s">
        <v>166</v>
      </c>
      <c r="D40" s="110">
        <v>0</v>
      </c>
      <c r="E40" s="136" t="s">
        <v>167</v>
      </c>
    </row>
    <row r="41" spans="1:5" ht="12.5" x14ac:dyDescent="0.25">
      <c r="B41" s="89" t="s">
        <v>184</v>
      </c>
      <c r="C41" s="103" t="s">
        <v>166</v>
      </c>
      <c r="D41" s="110">
        <v>1</v>
      </c>
      <c r="E41" s="136" t="s">
        <v>185</v>
      </c>
    </row>
    <row r="42" spans="1:5" ht="12.5" x14ac:dyDescent="0.25">
      <c r="B42" s="89" t="s">
        <v>192</v>
      </c>
      <c r="C42" s="103" t="s">
        <v>166</v>
      </c>
      <c r="D42" s="110" t="s">
        <v>203</v>
      </c>
      <c r="E42" s="136"/>
    </row>
    <row r="43" spans="1:5" ht="25" x14ac:dyDescent="0.25">
      <c r="B43" s="164" t="s">
        <v>199</v>
      </c>
      <c r="C43" s="103" t="s">
        <v>9</v>
      </c>
      <c r="D43" s="163">
        <f>98%</f>
        <v>0.98</v>
      </c>
      <c r="E43" s="136"/>
    </row>
  </sheetData>
  <dataValidations count="2">
    <dataValidation type="list" allowBlank="1" showInputMessage="1" showErrorMessage="1" sqref="D39:D40" xr:uid="{E97F68B4-604A-4FEC-9358-1A29C94EE990}">
      <formula1>"0,1"</formula1>
    </dataValidation>
    <dataValidation type="list" allowBlank="1" showInputMessage="1" showErrorMessage="1" sqref="D42" xr:uid="{F27A77DC-4070-40D5-9456-AC2715A9CA91}">
      <formula1>"versys"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51EFEE-12BB-40FD-AAB8-F7268E2A752F}">
          <x14:formula1>
            <xm:f>aux!$B$2:$B$1048576</xm:f>
          </x14:formula1>
          <xm:sqref>D18</xm:sqref>
        </x14:dataValidation>
        <x14:dataValidation type="list" allowBlank="1" showInputMessage="1" showErrorMessage="1" xr:uid="{9E104B1C-5B64-47A6-90DA-91698863AB6F}">
          <x14:formula1>
            <xm:f>aux!$A$2:$A$1048576</xm:f>
          </x14:formula1>
          <xm:sqref>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9"/>
  </sheetPr>
  <dimension ref="B2:AH165"/>
  <sheetViews>
    <sheetView showGridLines="0" zoomScale="85" zoomScaleNormal="85" workbookViewId="0">
      <selection activeCell="D82" sqref="D82"/>
    </sheetView>
  </sheetViews>
  <sheetFormatPr baseColWidth="10" defaultColWidth="11.453125" defaultRowHeight="14" outlineLevelRow="1" x14ac:dyDescent="0.3"/>
  <cols>
    <col min="1" max="1" width="2.54296875" style="17" customWidth="1"/>
    <col min="2" max="2" width="100.81640625" style="17" bestFit="1" customWidth="1"/>
    <col min="3" max="3" width="27.81640625" style="17" customWidth="1"/>
    <col min="4" max="4" width="21.81640625" style="17" bestFit="1" customWidth="1"/>
    <col min="5" max="5" width="15.81640625" style="17" customWidth="1"/>
    <col min="6" max="6" width="15.54296875" style="17" customWidth="1"/>
    <col min="7" max="7" width="17.08984375" style="17" customWidth="1"/>
    <col min="8" max="10" width="15.54296875" style="17" customWidth="1"/>
    <col min="11" max="11" width="18.26953125" style="17" customWidth="1"/>
    <col min="12" max="22" width="15.54296875" style="17" customWidth="1"/>
    <col min="23" max="23" width="14.1796875" style="17" customWidth="1"/>
    <col min="24" max="33" width="15" style="17" customWidth="1"/>
    <col min="34" max="16384" width="11.453125" style="17"/>
  </cols>
  <sheetData>
    <row r="2" spans="2:11" ht="14.25" customHeight="1" x14ac:dyDescent="0.3">
      <c r="B2" s="34" t="s">
        <v>0</v>
      </c>
      <c r="F2" s="58"/>
    </row>
    <row r="3" spans="2:11" x14ac:dyDescent="0.3">
      <c r="B3" s="33" t="s">
        <v>1</v>
      </c>
      <c r="C3" s="116"/>
    </row>
    <row r="4" spans="2:11" x14ac:dyDescent="0.3">
      <c r="B4" s="33" t="s">
        <v>2</v>
      </c>
      <c r="C4" s="37"/>
    </row>
    <row r="6" spans="2:11" x14ac:dyDescent="0.3">
      <c r="B6" s="51"/>
      <c r="C6" s="67"/>
      <c r="F6" s="32"/>
      <c r="G6" s="32"/>
      <c r="H6" s="32"/>
      <c r="I6" s="32"/>
      <c r="J6" s="32"/>
      <c r="K6" s="32"/>
    </row>
    <row r="7" spans="2:11" x14ac:dyDescent="0.3">
      <c r="F7" s="32"/>
      <c r="G7" s="32"/>
      <c r="H7" s="32"/>
      <c r="I7" s="32"/>
      <c r="J7" s="32"/>
      <c r="K7" s="32"/>
    </row>
    <row r="8" spans="2:11" x14ac:dyDescent="0.3">
      <c r="B8" s="167"/>
      <c r="C8" s="167"/>
      <c r="F8" s="32"/>
      <c r="G8" s="32"/>
      <c r="H8" s="32"/>
      <c r="I8" s="32"/>
      <c r="J8" s="162"/>
      <c r="K8" s="32"/>
    </row>
    <row r="9" spans="2:11" x14ac:dyDescent="0.3">
      <c r="B9" s="5" t="s">
        <v>3</v>
      </c>
      <c r="C9" s="127" t="s">
        <v>4</v>
      </c>
      <c r="F9" s="32"/>
      <c r="G9" s="32"/>
      <c r="H9" s="32"/>
      <c r="I9" s="32"/>
      <c r="J9" s="32"/>
      <c r="K9" s="32"/>
    </row>
    <row r="10" spans="2:11" x14ac:dyDescent="0.3">
      <c r="F10" s="32"/>
      <c r="G10" s="32" t="s">
        <v>118</v>
      </c>
      <c r="H10" s="59">
        <v>15</v>
      </c>
      <c r="I10" s="59">
        <v>17</v>
      </c>
      <c r="J10" s="59"/>
      <c r="K10" s="59"/>
    </row>
    <row r="11" spans="2:11" ht="14.5" x14ac:dyDescent="0.35">
      <c r="B11" s="10" t="s">
        <v>5</v>
      </c>
      <c r="C11" s="39">
        <f>Hypothèses!D25</f>
        <v>3897777.7777777789</v>
      </c>
      <c r="D11" s="29"/>
      <c r="F11" s="32"/>
      <c r="G11" s="36" t="s">
        <v>6</v>
      </c>
      <c r="H11" s="35" t="e">
        <f ca="1">R156</f>
        <v>#VALUE!</v>
      </c>
      <c r="I11" s="38" t="e">
        <f ca="1">T156</f>
        <v>#VALUE!</v>
      </c>
      <c r="J11" s="35"/>
      <c r="K11" s="35"/>
    </row>
    <row r="12" spans="2:11" x14ac:dyDescent="0.3">
      <c r="B12" s="10" t="s">
        <v>7</v>
      </c>
      <c r="C12" s="39">
        <v>700000</v>
      </c>
      <c r="F12" s="32"/>
      <c r="G12" s="32"/>
      <c r="H12" s="32"/>
      <c r="I12" s="32"/>
      <c r="J12" s="32"/>
      <c r="K12" s="32"/>
    </row>
    <row r="13" spans="2:11" x14ac:dyDescent="0.3">
      <c r="B13" s="10" t="s">
        <v>8</v>
      </c>
      <c r="C13" s="39">
        <f>Hypothèses!D25+Hypothèses!D31</f>
        <v>3897777.7777777789</v>
      </c>
      <c r="F13" s="32"/>
      <c r="G13" s="32"/>
      <c r="H13" s="32"/>
      <c r="I13" s="32"/>
      <c r="J13" s="32"/>
      <c r="K13" s="32"/>
    </row>
    <row r="14" spans="2:11" x14ac:dyDescent="0.3">
      <c r="B14" s="10"/>
      <c r="F14" s="32"/>
      <c r="H14" s="59">
        <v>15</v>
      </c>
      <c r="I14" s="59">
        <v>17</v>
      </c>
      <c r="J14" s="59"/>
      <c r="K14" s="59"/>
    </row>
    <row r="15" spans="2:11" ht="12.5" customHeight="1" x14ac:dyDescent="0.3">
      <c r="B15" s="5" t="s">
        <v>10</v>
      </c>
      <c r="C15" s="8" t="s">
        <v>4</v>
      </c>
      <c r="D15" s="8" t="s">
        <v>9</v>
      </c>
      <c r="F15" s="30"/>
      <c r="G15" s="36" t="s">
        <v>116</v>
      </c>
      <c r="H15" s="60" t="e">
        <f ca="1">R158</f>
        <v>#VALUE!</v>
      </c>
      <c r="I15" s="38" t="e">
        <f ca="1">T158</f>
        <v>#VALUE!</v>
      </c>
      <c r="J15" s="30"/>
      <c r="K15" s="30"/>
    </row>
    <row r="16" spans="2:11" x14ac:dyDescent="0.3">
      <c r="F16" s="30"/>
      <c r="G16" s="30"/>
      <c r="H16" s="30"/>
      <c r="I16" s="30"/>
      <c r="J16" s="30"/>
      <c r="K16" s="30"/>
    </row>
    <row r="17" spans="2:11" x14ac:dyDescent="0.3">
      <c r="B17" s="10" t="s">
        <v>11</v>
      </c>
      <c r="C17" s="40">
        <f>C20-C18</f>
        <v>1559111.1111111115</v>
      </c>
      <c r="D17" s="117">
        <v>0.4</v>
      </c>
      <c r="F17" s="30"/>
      <c r="G17" s="30"/>
      <c r="H17" s="30"/>
      <c r="I17" s="30"/>
      <c r="J17" s="30"/>
      <c r="K17" s="30"/>
    </row>
    <row r="18" spans="2:11" x14ac:dyDescent="0.3">
      <c r="B18" s="10" t="s">
        <v>12</v>
      </c>
      <c r="C18" s="40">
        <f>C20*D18</f>
        <v>2338666.6666666674</v>
      </c>
      <c r="D18" s="41">
        <f>(1 - D17)</f>
        <v>0.6</v>
      </c>
      <c r="F18" s="30"/>
      <c r="G18" s="30"/>
      <c r="H18" s="30"/>
      <c r="I18" s="30"/>
      <c r="J18" s="30"/>
      <c r="K18" s="30"/>
    </row>
    <row r="19" spans="2:11" x14ac:dyDescent="0.3">
      <c r="B19" s="10" t="s">
        <v>13</v>
      </c>
      <c r="C19" s="40"/>
      <c r="D19" s="41">
        <f t="shared" ref="D19" si="0">C19/$C$11</f>
        <v>0</v>
      </c>
      <c r="F19" s="30"/>
      <c r="G19" s="30"/>
      <c r="H19" s="30"/>
      <c r="I19" s="30"/>
      <c r="J19" s="30"/>
      <c r="K19" s="30"/>
    </row>
    <row r="20" spans="2:11" x14ac:dyDescent="0.3">
      <c r="B20" s="10" t="s">
        <v>14</v>
      </c>
      <c r="C20" s="40">
        <f>C11-C19</f>
        <v>3897777.7777777789</v>
      </c>
      <c r="D20" s="42">
        <f>SUM(D17:D19)</f>
        <v>1</v>
      </c>
      <c r="F20" s="30"/>
      <c r="G20" s="30"/>
      <c r="H20" s="30"/>
      <c r="I20" s="30"/>
      <c r="J20" s="30"/>
      <c r="K20" s="30"/>
    </row>
    <row r="21" spans="2:11" x14ac:dyDescent="0.3">
      <c r="B21" s="10" t="s">
        <v>15</v>
      </c>
      <c r="C21" s="118">
        <f>4%</f>
        <v>0.04</v>
      </c>
      <c r="F21" s="30"/>
      <c r="G21" s="30"/>
      <c r="H21" s="30"/>
      <c r="I21" s="30"/>
      <c r="J21" s="30"/>
      <c r="K21" s="30"/>
    </row>
    <row r="22" spans="2:11" x14ac:dyDescent="0.3">
      <c r="B22" s="10" t="s">
        <v>16</v>
      </c>
      <c r="C22" s="40">
        <f>Hypothèses!C13</f>
        <v>17</v>
      </c>
      <c r="F22" s="30"/>
      <c r="G22" s="30"/>
      <c r="H22" s="30"/>
      <c r="I22" s="30"/>
      <c r="J22" s="30"/>
      <c r="K22" s="30"/>
    </row>
    <row r="23" spans="2:11" x14ac:dyDescent="0.3">
      <c r="B23" s="10"/>
      <c r="C23" s="40"/>
      <c r="F23" s="30"/>
      <c r="G23" s="30"/>
      <c r="H23" s="30"/>
      <c r="I23" s="30"/>
      <c r="J23" s="30"/>
      <c r="K23" s="30"/>
    </row>
    <row r="24" spans="2:11" ht="18" customHeight="1" x14ac:dyDescent="0.3">
      <c r="B24" s="10" t="s">
        <v>117</v>
      </c>
      <c r="C24" s="118">
        <v>0.5</v>
      </c>
      <c r="F24" s="30"/>
      <c r="G24" s="30"/>
      <c r="H24" s="30"/>
      <c r="I24" s="30"/>
      <c r="J24" s="30"/>
      <c r="K24" s="30"/>
    </row>
    <row r="25" spans="2:11" x14ac:dyDescent="0.3">
      <c r="B25" s="10" t="s">
        <v>126</v>
      </c>
      <c r="C25" s="144">
        <f xml:space="preserve"> C17 * C24</f>
        <v>779555.55555555574</v>
      </c>
    </row>
    <row r="26" spans="2:11" x14ac:dyDescent="0.3">
      <c r="B26" s="10"/>
      <c r="C26" s="141"/>
    </row>
    <row r="27" spans="2:11" x14ac:dyDescent="0.3">
      <c r="B27" s="5" t="s">
        <v>17</v>
      </c>
      <c r="C27" s="8" t="s">
        <v>4</v>
      </c>
    </row>
    <row r="28" spans="2:11" hidden="1" x14ac:dyDescent="0.3"/>
    <row r="29" spans="2:11" s="29" customFormat="1" ht="14.5" hidden="1" x14ac:dyDescent="0.35">
      <c r="B29" s="29" t="s">
        <v>86</v>
      </c>
    </row>
    <row r="30" spans="2:11" hidden="1" x14ac:dyDescent="0.3">
      <c r="B30" s="10"/>
      <c r="C30" s="37"/>
    </row>
    <row r="31" spans="2:11" hidden="1" x14ac:dyDescent="0.3">
      <c r="B31" s="10"/>
      <c r="C31" s="13"/>
    </row>
    <row r="32" spans="2:11" hidden="1" x14ac:dyDescent="0.3">
      <c r="B32" s="10"/>
      <c r="C32" s="43"/>
    </row>
    <row r="33" spans="2:33" x14ac:dyDescent="0.3">
      <c r="B33" s="10"/>
      <c r="C33" s="28"/>
    </row>
    <row r="34" spans="2:33" x14ac:dyDescent="0.3">
      <c r="B34" s="17" t="s">
        <v>87</v>
      </c>
    </row>
    <row r="35" spans="2:33" x14ac:dyDescent="0.3">
      <c r="B35" s="10" t="s">
        <v>18</v>
      </c>
      <c r="C35" s="37">
        <f>Hypothèses!D25</f>
        <v>3897777.7777777789</v>
      </c>
    </row>
    <row r="36" spans="2:33" x14ac:dyDescent="0.3">
      <c r="B36" s="10" t="s">
        <v>19</v>
      </c>
      <c r="C36" s="61">
        <f>Hypothèses!C13</f>
        <v>17</v>
      </c>
      <c r="D36" s="17" t="s">
        <v>20</v>
      </c>
    </row>
    <row r="37" spans="2:33" x14ac:dyDescent="0.3">
      <c r="B37" s="10" t="s">
        <v>21</v>
      </c>
      <c r="C37" s="119">
        <v>0.01</v>
      </c>
    </row>
    <row r="38" spans="2:33" ht="14.5" x14ac:dyDescent="0.35">
      <c r="B38"/>
      <c r="C38"/>
      <c r="D38"/>
    </row>
    <row r="39" spans="2:33" x14ac:dyDescent="0.3">
      <c r="D39" s="17">
        <v>2025</v>
      </c>
      <c r="E39" s="17">
        <f>D39+1</f>
        <v>2026</v>
      </c>
      <c r="F39" s="17">
        <f t="shared" ref="F39:AG39" si="1">E39+1</f>
        <v>2027</v>
      </c>
      <c r="G39" s="17">
        <f t="shared" si="1"/>
        <v>2028</v>
      </c>
      <c r="H39" s="17">
        <f t="shared" si="1"/>
        <v>2029</v>
      </c>
      <c r="I39" s="17">
        <f t="shared" si="1"/>
        <v>2030</v>
      </c>
      <c r="J39" s="17">
        <f t="shared" si="1"/>
        <v>2031</v>
      </c>
      <c r="K39" s="17">
        <f t="shared" si="1"/>
        <v>2032</v>
      </c>
      <c r="L39" s="17">
        <f t="shared" si="1"/>
        <v>2033</v>
      </c>
      <c r="M39" s="17">
        <f t="shared" si="1"/>
        <v>2034</v>
      </c>
      <c r="N39" s="17">
        <f t="shared" si="1"/>
        <v>2035</v>
      </c>
      <c r="O39" s="17">
        <f t="shared" si="1"/>
        <v>2036</v>
      </c>
      <c r="P39" s="17">
        <f t="shared" si="1"/>
        <v>2037</v>
      </c>
      <c r="Q39" s="17">
        <f t="shared" si="1"/>
        <v>2038</v>
      </c>
      <c r="R39" s="17">
        <f t="shared" si="1"/>
        <v>2039</v>
      </c>
      <c r="S39" s="17">
        <f t="shared" si="1"/>
        <v>2040</v>
      </c>
      <c r="T39" s="17">
        <f t="shared" si="1"/>
        <v>2041</v>
      </c>
      <c r="U39" s="17">
        <f t="shared" si="1"/>
        <v>2042</v>
      </c>
      <c r="V39" s="17">
        <f t="shared" si="1"/>
        <v>2043</v>
      </c>
      <c r="W39" s="17">
        <f t="shared" si="1"/>
        <v>2044</v>
      </c>
      <c r="X39" s="17">
        <f t="shared" si="1"/>
        <v>2045</v>
      </c>
      <c r="Y39" s="17">
        <f t="shared" si="1"/>
        <v>2046</v>
      </c>
      <c r="Z39" s="17">
        <f t="shared" si="1"/>
        <v>2047</v>
      </c>
      <c r="AA39" s="17">
        <f t="shared" si="1"/>
        <v>2048</v>
      </c>
      <c r="AB39" s="17">
        <f t="shared" si="1"/>
        <v>2049</v>
      </c>
      <c r="AC39" s="17">
        <f t="shared" si="1"/>
        <v>2050</v>
      </c>
      <c r="AD39" s="17">
        <f t="shared" si="1"/>
        <v>2051</v>
      </c>
      <c r="AE39" s="17">
        <f t="shared" si="1"/>
        <v>2052</v>
      </c>
      <c r="AF39" s="17">
        <f t="shared" si="1"/>
        <v>2053</v>
      </c>
      <c r="AG39" s="17">
        <f t="shared" si="1"/>
        <v>2054</v>
      </c>
    </row>
    <row r="40" spans="2:33" x14ac:dyDescent="0.3">
      <c r="B40" s="10"/>
    </row>
    <row r="41" spans="2:33" ht="15" customHeight="1" x14ac:dyDescent="0.3">
      <c r="C41" s="11" t="s">
        <v>22</v>
      </c>
      <c r="D41" s="168" t="s">
        <v>23</v>
      </c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/>
      <c r="X41" s="169" t="s">
        <v>24</v>
      </c>
      <c r="Y41" s="169"/>
      <c r="Z41" s="169"/>
      <c r="AA41" s="169"/>
      <c r="AB41" s="169"/>
      <c r="AC41" s="169"/>
      <c r="AD41" s="169"/>
      <c r="AE41" s="169"/>
      <c r="AF41" s="169"/>
      <c r="AG41" s="169"/>
    </row>
    <row r="42" spans="2:33" x14ac:dyDescent="0.3">
      <c r="C42" s="79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</row>
    <row r="43" spans="2:33" x14ac:dyDescent="0.3">
      <c r="B43" s="1" t="s">
        <v>25</v>
      </c>
      <c r="C43" s="9">
        <v>0</v>
      </c>
      <c r="D43" s="6">
        <v>1</v>
      </c>
      <c r="E43" s="6">
        <v>2</v>
      </c>
      <c r="F43" s="6">
        <v>3</v>
      </c>
      <c r="G43" s="6">
        <v>4</v>
      </c>
      <c r="H43" s="6">
        <v>5</v>
      </c>
      <c r="I43" s="6">
        <v>6</v>
      </c>
      <c r="J43" s="6">
        <v>7</v>
      </c>
      <c r="K43" s="6">
        <v>8</v>
      </c>
      <c r="L43" s="6">
        <v>9</v>
      </c>
      <c r="M43" s="6">
        <v>10</v>
      </c>
      <c r="N43" s="6">
        <v>11</v>
      </c>
      <c r="O43" s="6">
        <v>12</v>
      </c>
      <c r="P43" s="6">
        <v>13</v>
      </c>
      <c r="Q43" s="6">
        <v>14</v>
      </c>
      <c r="R43" s="6">
        <v>15</v>
      </c>
      <c r="S43" s="6">
        <v>16</v>
      </c>
      <c r="T43" s="6">
        <v>17</v>
      </c>
      <c r="U43" s="6">
        <v>18</v>
      </c>
      <c r="V43" s="6">
        <v>19</v>
      </c>
      <c r="W43" s="6">
        <v>20</v>
      </c>
      <c r="X43" s="6">
        <v>21</v>
      </c>
      <c r="Y43" s="6">
        <v>22</v>
      </c>
      <c r="Z43" s="6">
        <v>23</v>
      </c>
      <c r="AA43" s="6">
        <v>24</v>
      </c>
      <c r="AB43" s="6">
        <v>25</v>
      </c>
      <c r="AC43" s="6">
        <v>26</v>
      </c>
      <c r="AD43" s="6">
        <v>27</v>
      </c>
      <c r="AE43" s="6">
        <v>28</v>
      </c>
      <c r="AF43" s="6">
        <v>29</v>
      </c>
      <c r="AG43" s="6">
        <v>30</v>
      </c>
    </row>
    <row r="44" spans="2:33" hidden="1" x14ac:dyDescent="0.3">
      <c r="D44" s="17" t="b">
        <f>D43&lt;=$C$36</f>
        <v>1</v>
      </c>
      <c r="E44" s="17" t="b">
        <f t="shared" ref="E44:AG44" si="2">E43&lt;=$C$36</f>
        <v>1</v>
      </c>
      <c r="F44" s="17" t="b">
        <f t="shared" si="2"/>
        <v>1</v>
      </c>
      <c r="G44" s="17" t="b">
        <f t="shared" si="2"/>
        <v>1</v>
      </c>
      <c r="H44" s="17" t="b">
        <f t="shared" si="2"/>
        <v>1</v>
      </c>
      <c r="I44" s="17" t="b">
        <f t="shared" si="2"/>
        <v>1</v>
      </c>
      <c r="J44" s="17" t="b">
        <f t="shared" si="2"/>
        <v>1</v>
      </c>
      <c r="K44" s="17" t="b">
        <f t="shared" si="2"/>
        <v>1</v>
      </c>
      <c r="L44" s="17" t="b">
        <f t="shared" si="2"/>
        <v>1</v>
      </c>
      <c r="M44" s="17" t="b">
        <f t="shared" si="2"/>
        <v>1</v>
      </c>
      <c r="N44" s="17" t="b">
        <f t="shared" si="2"/>
        <v>1</v>
      </c>
      <c r="O44" s="17" t="b">
        <f t="shared" si="2"/>
        <v>1</v>
      </c>
      <c r="P44" s="17" t="b">
        <f t="shared" si="2"/>
        <v>1</v>
      </c>
      <c r="Q44" s="17" t="b">
        <f t="shared" si="2"/>
        <v>1</v>
      </c>
      <c r="R44" s="17" t="b">
        <f t="shared" si="2"/>
        <v>1</v>
      </c>
      <c r="S44" s="17" t="b">
        <f t="shared" si="2"/>
        <v>1</v>
      </c>
      <c r="T44" s="17" t="b">
        <f t="shared" si="2"/>
        <v>1</v>
      </c>
      <c r="U44" s="17" t="b">
        <f t="shared" si="2"/>
        <v>0</v>
      </c>
      <c r="V44" s="17" t="b">
        <f t="shared" si="2"/>
        <v>0</v>
      </c>
      <c r="W44" s="17" t="b">
        <f t="shared" si="2"/>
        <v>0</v>
      </c>
      <c r="X44" s="17" t="b">
        <f t="shared" si="2"/>
        <v>0</v>
      </c>
      <c r="Y44" s="17" t="b">
        <f t="shared" si="2"/>
        <v>0</v>
      </c>
      <c r="Z44" s="17" t="b">
        <f t="shared" si="2"/>
        <v>0</v>
      </c>
      <c r="AA44" s="17" t="b">
        <f t="shared" si="2"/>
        <v>0</v>
      </c>
      <c r="AB44" s="17" t="b">
        <f t="shared" si="2"/>
        <v>0</v>
      </c>
      <c r="AC44" s="17" t="b">
        <f t="shared" si="2"/>
        <v>0</v>
      </c>
      <c r="AD44" s="17" t="b">
        <f t="shared" si="2"/>
        <v>0</v>
      </c>
      <c r="AE44" s="17" t="b">
        <f t="shared" si="2"/>
        <v>0</v>
      </c>
      <c r="AF44" s="17" t="b">
        <f t="shared" si="2"/>
        <v>0</v>
      </c>
      <c r="AG44" s="17" t="b">
        <f t="shared" si="2"/>
        <v>0</v>
      </c>
    </row>
    <row r="45" spans="2:33" s="75" customFormat="1" x14ac:dyDescent="0.3">
      <c r="B45" s="78" t="s">
        <v>127</v>
      </c>
    </row>
    <row r="46" spans="2:33" s="74" customFormat="1" x14ac:dyDescent="0.3">
      <c r="B46" s="77" t="s">
        <v>133</v>
      </c>
      <c r="C46" s="77"/>
      <c r="D46" s="71">
        <f ca="1">VLOOKUP("DAincome"&amp;"S1"&amp;D$39&amp;Hypothèses!$D$17&amp;Hypothèses!$D$18,INDIRECT("'"&amp;Hypothèses!$D$42&amp;"'!$A:$I"),6,FALSE)*(1+$C$37)^C43 * D44</f>
        <v>4733.9493438578793</v>
      </c>
      <c r="E46" s="71" t="e">
        <f ca="1">VLOOKUP("DAincome"&amp;"S1"&amp;E$39&amp;Hypothèses!$D$17&amp;Hypothèses!$D$18,INDIRECT("'"&amp;Hypothèses!$D$42&amp;"'!$A:$I"),6,FALSE)*(1+$C$37)^D43 * E44</f>
        <v>#N/A</v>
      </c>
      <c r="F46" s="71" t="e">
        <f ca="1">VLOOKUP("DAincome"&amp;"S1"&amp;F$39&amp;Hypothèses!$D$17&amp;Hypothèses!$D$18,INDIRECT("'"&amp;Hypothèses!$D$42&amp;"'!$A:$I"),6,FALSE)*(1+$C$37)^E43 * F44</f>
        <v>#N/A</v>
      </c>
      <c r="G46" s="71" t="e">
        <f ca="1">VLOOKUP("DAincome"&amp;"S1"&amp;G$39&amp;Hypothèses!$D$17&amp;Hypothèses!$D$18,INDIRECT("'"&amp;Hypothèses!$D$42&amp;"'!$A:$I"),6,FALSE)*(1+$C$37)^F43 * G44</f>
        <v>#N/A</v>
      </c>
      <c r="H46" s="71" t="e">
        <f ca="1">VLOOKUP("DAincome"&amp;"S1"&amp;H$39&amp;Hypothèses!$D$17&amp;Hypothèses!$D$18,INDIRECT("'"&amp;Hypothèses!$D$42&amp;"'!$A:$I"),6,FALSE)*(1+$C$37)^G43 * H44</f>
        <v>#N/A</v>
      </c>
      <c r="I46" s="71" t="e">
        <f ca="1">VLOOKUP("DAincome"&amp;"S1"&amp;I$39&amp;Hypothèses!$D$17&amp;Hypothèses!$D$18,INDIRECT("'"&amp;Hypothèses!$D$42&amp;"'!$A:$I"),6,FALSE)*(1+$C$37)^H43 * I44</f>
        <v>#N/A</v>
      </c>
      <c r="J46" s="71" t="e">
        <f ca="1">VLOOKUP("DAincome"&amp;"S1"&amp;J$39&amp;Hypothèses!$D$17&amp;Hypothèses!$D$18,INDIRECT("'"&amp;Hypothèses!$D$42&amp;"'!$A:$I"),6,FALSE)*(1+$C$37)^I43 * J44</f>
        <v>#N/A</v>
      </c>
      <c r="K46" s="71" t="e">
        <f ca="1">VLOOKUP("DAincome"&amp;"S1"&amp;K$39&amp;Hypothèses!$D$17&amp;Hypothèses!$D$18,INDIRECT("'"&amp;Hypothèses!$D$42&amp;"'!$A:$I"),6,FALSE)*(1+$C$37)^J43 * K44</f>
        <v>#N/A</v>
      </c>
      <c r="L46" s="71" t="e">
        <f ca="1">VLOOKUP("DAincome"&amp;"S1"&amp;L$39&amp;Hypothèses!$D$17&amp;Hypothèses!$D$18,INDIRECT("'"&amp;Hypothèses!$D$42&amp;"'!$A:$I"),6,FALSE)*(1+$C$37)^K43 * L44</f>
        <v>#N/A</v>
      </c>
      <c r="M46" s="71" t="e">
        <f ca="1">VLOOKUP("DAincome"&amp;"S1"&amp;M$39&amp;Hypothèses!$D$17&amp;Hypothèses!$D$18,INDIRECT("'"&amp;Hypothèses!$D$42&amp;"'!$A:$I"),6,FALSE)*(1+$C$37)^L43 * M44</f>
        <v>#N/A</v>
      </c>
      <c r="N46" s="71" t="e">
        <f ca="1">VLOOKUP("DAincome"&amp;"S1"&amp;N$39&amp;Hypothèses!$D$17&amp;Hypothèses!$D$18,INDIRECT("'"&amp;Hypothèses!$D$42&amp;"'!$A:$I"),6,FALSE)*(1+$C$37)^M43 * N44</f>
        <v>#N/A</v>
      </c>
      <c r="O46" s="71" t="e">
        <f ca="1">VLOOKUP("DAincome"&amp;"S1"&amp;O$39&amp;Hypothèses!$D$17&amp;Hypothèses!$D$18,INDIRECT("'"&amp;Hypothèses!$D$42&amp;"'!$A:$I"),6,FALSE)*(1+$C$37)^N43 * O44</f>
        <v>#N/A</v>
      </c>
      <c r="P46" s="71" t="e">
        <f ca="1">VLOOKUP("DAincome"&amp;"S1"&amp;P$39&amp;Hypothèses!$D$17&amp;Hypothèses!$D$18,INDIRECT("'"&amp;Hypothèses!$D$42&amp;"'!$A:$I"),6,FALSE)*(1+$C$37)^O43 * P44</f>
        <v>#N/A</v>
      </c>
      <c r="Q46" s="71" t="e">
        <f ca="1">VLOOKUP("DAincome"&amp;"S1"&amp;Q$39&amp;Hypothèses!$D$17&amp;Hypothèses!$D$18,INDIRECT("'"&amp;Hypothèses!$D$42&amp;"'!$A:$I"),6,FALSE)*(1+$C$37)^P43 * Q44</f>
        <v>#N/A</v>
      </c>
      <c r="R46" s="71" t="e">
        <f ca="1">VLOOKUP("DAincome"&amp;"S1"&amp;R$39&amp;Hypothèses!$D$17&amp;Hypothèses!$D$18,INDIRECT("'"&amp;Hypothèses!$D$42&amp;"'!$A:$I"),6,FALSE)*(1+$C$37)^Q43 * R44</f>
        <v>#N/A</v>
      </c>
      <c r="S46" s="71" t="e">
        <f ca="1">VLOOKUP("DAincome"&amp;"S1"&amp;S$39&amp;Hypothèses!$D$17&amp;Hypothèses!$D$18,INDIRECT("'"&amp;Hypothèses!$D$42&amp;"'!$A:$I"),6,FALSE)*(1+$C$37)^R43 * S44</f>
        <v>#N/A</v>
      </c>
      <c r="T46" s="71" t="e">
        <f ca="1">VLOOKUP("DAincome"&amp;"S1"&amp;T$39&amp;Hypothèses!$D$17&amp;Hypothèses!$D$18,INDIRECT("'"&amp;Hypothèses!$D$42&amp;"'!$A:$I"),6,FALSE)*(1+$C$37)^S43 * T44</f>
        <v>#N/A</v>
      </c>
      <c r="U46" s="71" t="e">
        <f ca="1">VLOOKUP("DAincome"&amp;"S1"&amp;U$39&amp;Hypothèses!$D$17&amp;Hypothèses!$D$18,INDIRECT("'"&amp;Hypothèses!$D$42&amp;"'!$A:$I"),6,FALSE)*(1+$C$37)^T43 * U44</f>
        <v>#N/A</v>
      </c>
      <c r="V46" s="71" t="e">
        <f ca="1">VLOOKUP("DAincome"&amp;"S1"&amp;V$39&amp;Hypothèses!$D$17&amp;Hypothèses!$D$18,INDIRECT("'"&amp;Hypothèses!$D$42&amp;"'!$A:$I"),6,FALSE)*(1+$C$37)^U43 * V44</f>
        <v>#N/A</v>
      </c>
      <c r="W46" s="71" t="e">
        <f ca="1">VLOOKUP("DAincome"&amp;"S1"&amp;W$39&amp;Hypothèses!$D$17&amp;Hypothèses!$D$18,INDIRECT("'"&amp;Hypothèses!$D$42&amp;"'!$A:$I"),6,FALSE)*(1+$C$37)^V43 * W44</f>
        <v>#N/A</v>
      </c>
      <c r="X46" s="71" t="e">
        <f ca="1">VLOOKUP("DAincome"&amp;"S1"&amp;X$39&amp;Hypothèses!$D$17&amp;Hypothèses!$D$18,INDIRECT("'"&amp;Hypothèses!$D$42&amp;"'!$A:$I"),6,FALSE)*(1+$C$37)^W43 * X44</f>
        <v>#N/A</v>
      </c>
      <c r="Y46" s="71" t="e">
        <f ca="1">VLOOKUP("DAincome"&amp;"S1"&amp;Y$39&amp;Hypothèses!$D$17&amp;Hypothèses!$D$18,INDIRECT("'"&amp;Hypothèses!$D$42&amp;"'!$A:$I"),6,FALSE)*(1+$C$37)^X43 * Y44</f>
        <v>#N/A</v>
      </c>
      <c r="Z46" s="71" t="e">
        <f ca="1">VLOOKUP("DAincome"&amp;"S1"&amp;Z$39&amp;Hypothèses!$D$17&amp;Hypothèses!$D$18,INDIRECT("'"&amp;Hypothèses!$D$42&amp;"'!$A:$I"),6,FALSE)*(1+$C$37)^Y43 * Z44</f>
        <v>#N/A</v>
      </c>
      <c r="AA46" s="71" t="e">
        <f ca="1">VLOOKUP("DAincome"&amp;"S1"&amp;AA$39&amp;Hypothèses!$D$17&amp;Hypothèses!$D$18,INDIRECT("'"&amp;Hypothèses!$D$42&amp;"'!$A:$I"),6,FALSE)*(1+$C$37)^Z43 * AA44</f>
        <v>#N/A</v>
      </c>
      <c r="AB46" s="71" t="e">
        <f ca="1">VLOOKUP("DAincome"&amp;"S1"&amp;AB$39&amp;Hypothèses!$D$17&amp;Hypothèses!$D$18,INDIRECT("'"&amp;Hypothèses!$D$42&amp;"'!$A:$I"),6,FALSE)*(1+$C$37)^AA43 * AB44</f>
        <v>#N/A</v>
      </c>
      <c r="AC46" s="71" t="e">
        <f ca="1">VLOOKUP("DAincome"&amp;"S1"&amp;AC$39&amp;Hypothèses!$D$17&amp;Hypothèses!$D$18,INDIRECT("'"&amp;Hypothèses!$D$42&amp;"'!$A:$I"),6,FALSE)*(1+$C$37)^AB43 * AC44</f>
        <v>#N/A</v>
      </c>
      <c r="AD46" s="71" t="e">
        <f ca="1">VLOOKUP("DAincome"&amp;"S1"&amp;AD$39&amp;Hypothèses!$D$17&amp;Hypothèses!$D$18,INDIRECT("'"&amp;Hypothèses!$D$42&amp;"'!$A:$I"),6,FALSE)*(1+$C$37)^AC43 * AD44</f>
        <v>#N/A</v>
      </c>
      <c r="AE46" s="71" t="e">
        <f ca="1">VLOOKUP("DAincome"&amp;"S1"&amp;AE$39&amp;Hypothèses!$D$17&amp;Hypothèses!$D$18,INDIRECT("'"&amp;Hypothèses!$D$42&amp;"'!$A:$I"),6,FALSE)*(1+$C$37)^AD43 * AE44</f>
        <v>#N/A</v>
      </c>
      <c r="AF46" s="71" t="e">
        <f ca="1">VLOOKUP("DAincome"&amp;"S1"&amp;AF$39&amp;Hypothèses!$D$17&amp;Hypothèses!$D$18,INDIRECT("'"&amp;Hypothèses!$D$42&amp;"'!$A:$I"),6,FALSE)*(1+$C$37)^AE43 * AF44</f>
        <v>#N/A</v>
      </c>
      <c r="AG46" s="71" t="e">
        <f ca="1">VLOOKUP("DAincome"&amp;"S1"&amp;AG$39&amp;Hypothèses!$D$17&amp;Hypothèses!$D$18,INDIRECT("'"&amp;Hypothèses!$D$42&amp;"'!$A:$I"),6,FALSE)*(1+$C$37)^AF43 * AG44</f>
        <v>#N/A</v>
      </c>
    </row>
    <row r="47" spans="2:33" ht="14.5" x14ac:dyDescent="0.35">
      <c r="B47" s="26" t="s">
        <v>26</v>
      </c>
      <c r="C47" s="10"/>
      <c r="D47" s="68"/>
      <c r="E47" s="134" t="e">
        <f t="shared" ref="E47" ca="1" si="3">E46/D46-1</f>
        <v>#N/A</v>
      </c>
      <c r="F47" s="134" t="e">
        <f t="shared" ref="F47" ca="1" si="4">F46/E46-1</f>
        <v>#N/A</v>
      </c>
      <c r="G47" s="134" t="e">
        <f t="shared" ref="G47" ca="1" si="5">G46/F46-1</f>
        <v>#N/A</v>
      </c>
      <c r="H47" s="134" t="e">
        <f t="shared" ref="H47" ca="1" si="6">H46/G46-1</f>
        <v>#N/A</v>
      </c>
      <c r="I47" s="134" t="e">
        <f t="shared" ref="I47" ca="1" si="7">I46/H46-1</f>
        <v>#N/A</v>
      </c>
      <c r="J47" s="134" t="e">
        <f t="shared" ref="J47" ca="1" si="8">J46/I46-1</f>
        <v>#N/A</v>
      </c>
      <c r="K47" s="134" t="e">
        <f t="shared" ref="K47" ca="1" si="9">K46/J46-1</f>
        <v>#N/A</v>
      </c>
      <c r="L47" s="134" t="e">
        <f t="shared" ref="L47" ca="1" si="10">L46/K46-1</f>
        <v>#N/A</v>
      </c>
      <c r="M47" s="134" t="e">
        <f t="shared" ref="M47" ca="1" si="11">M46/L46-1</f>
        <v>#N/A</v>
      </c>
      <c r="N47" s="134" t="e">
        <f t="shared" ref="N47" ca="1" si="12">N46/M46-1</f>
        <v>#N/A</v>
      </c>
      <c r="O47" s="134" t="e">
        <f t="shared" ref="O47" ca="1" si="13">O46/N46-1</f>
        <v>#N/A</v>
      </c>
      <c r="P47" s="134" t="e">
        <f t="shared" ref="P47" ca="1" si="14">P46/O46-1</f>
        <v>#N/A</v>
      </c>
      <c r="Q47" s="134" t="e">
        <f t="shared" ref="Q47" ca="1" si="15">Q46/P46-1</f>
        <v>#N/A</v>
      </c>
      <c r="R47" s="134" t="e">
        <f t="shared" ref="R47" ca="1" si="16">R46/Q46-1</f>
        <v>#N/A</v>
      </c>
      <c r="S47" s="134" t="e">
        <f t="shared" ref="S47" ca="1" si="17">S46/R46-1</f>
        <v>#N/A</v>
      </c>
      <c r="T47" s="134" t="e">
        <f t="shared" ref="T47" ca="1" si="18">T46/S46-1</f>
        <v>#N/A</v>
      </c>
      <c r="U47" s="134" t="e">
        <f t="shared" ref="U47" ca="1" si="19">U46/T46-1</f>
        <v>#N/A</v>
      </c>
      <c r="V47" s="134" t="e">
        <f t="shared" ref="V47" ca="1" si="20">V46/U46-1</f>
        <v>#N/A</v>
      </c>
      <c r="W47" s="134" t="e">
        <f t="shared" ref="W47" ca="1" si="21">W46/V46-1</f>
        <v>#N/A</v>
      </c>
      <c r="X47" s="134" t="e">
        <f t="shared" ref="X47" ca="1" si="22">X46/W46-1</f>
        <v>#N/A</v>
      </c>
      <c r="Y47" s="134" t="e">
        <f t="shared" ref="Y47" ca="1" si="23">Y46/X46-1</f>
        <v>#N/A</v>
      </c>
      <c r="Z47" s="134" t="e">
        <f t="shared" ref="Z47" ca="1" si="24">Z46/Y46-1</f>
        <v>#N/A</v>
      </c>
      <c r="AA47" s="134" t="e">
        <f t="shared" ref="AA47" ca="1" si="25">AA46/Z46-1</f>
        <v>#N/A</v>
      </c>
      <c r="AB47" s="134" t="e">
        <f t="shared" ref="AB47" ca="1" si="26">AB46/AA46-1</f>
        <v>#N/A</v>
      </c>
      <c r="AC47" s="134" t="e">
        <f t="shared" ref="AC47" ca="1" si="27">AC46/AB46-1</f>
        <v>#N/A</v>
      </c>
      <c r="AD47" s="134" t="e">
        <f t="shared" ref="AD47" ca="1" si="28">AD46/AC46-1</f>
        <v>#N/A</v>
      </c>
      <c r="AE47" s="134" t="e">
        <f t="shared" ref="AE47" ca="1" si="29">AE46/AD46-1</f>
        <v>#N/A</v>
      </c>
      <c r="AF47" s="134" t="e">
        <f t="shared" ref="AF47" ca="1" si="30">AF46/AE46-1</f>
        <v>#N/A</v>
      </c>
      <c r="AG47" s="134" t="e">
        <f t="shared" ref="AG47" ca="1" si="31">AG46/AF46-1</f>
        <v>#N/A</v>
      </c>
    </row>
    <row r="48" spans="2:33" x14ac:dyDescent="0.3">
      <c r="B48" s="10" t="s">
        <v>134</v>
      </c>
      <c r="C48" s="10"/>
      <c r="D48" s="68">
        <f ca="1">VLOOKUP("DAenergy_sold"&amp;"S1"&amp;D$39&amp;Hypothèses!$D$17&amp;Hypothèses!$D$18,INDIRECT("'"&amp;Hypothèses!$D$42&amp;"'!$A:$I"),6,FALSE) * D44</f>
        <v>13.23127251467565</v>
      </c>
      <c r="E48" s="68" t="e">
        <f ca="1">VLOOKUP("DAenergy_sold"&amp;"S1"&amp;E$39&amp;Hypothèses!$D$17&amp;Hypothèses!$D$18,INDIRECT("'"&amp;Hypothèses!$D$42&amp;"'!$A:$I"),6,FALSE) * E44</f>
        <v>#N/A</v>
      </c>
      <c r="F48" s="68" t="e">
        <f ca="1">VLOOKUP("DAenergy_sold"&amp;"S1"&amp;F$39&amp;Hypothèses!$D$17&amp;Hypothèses!$D$18,INDIRECT("'"&amp;Hypothèses!$D$42&amp;"'!$A:$I"),6,FALSE) * F44</f>
        <v>#N/A</v>
      </c>
      <c r="G48" s="68" t="e">
        <f ca="1">VLOOKUP("DAenergy_sold"&amp;"S1"&amp;G$39&amp;Hypothèses!$D$17&amp;Hypothèses!$D$18,INDIRECT("'"&amp;Hypothèses!$D$42&amp;"'!$A:$I"),6,FALSE) * G44</f>
        <v>#N/A</v>
      </c>
      <c r="H48" s="68" t="e">
        <f ca="1">VLOOKUP("DAenergy_sold"&amp;"S1"&amp;H$39&amp;Hypothèses!$D$17&amp;Hypothèses!$D$18,INDIRECT("'"&amp;Hypothèses!$D$42&amp;"'!$A:$I"),6,FALSE) * H44</f>
        <v>#N/A</v>
      </c>
      <c r="I48" s="68" t="e">
        <f ca="1">VLOOKUP("DAenergy_sold"&amp;"S1"&amp;I$39&amp;Hypothèses!$D$17&amp;Hypothèses!$D$18,INDIRECT("'"&amp;Hypothèses!$D$42&amp;"'!$A:$I"),6,FALSE) * I44</f>
        <v>#N/A</v>
      </c>
      <c r="J48" s="68" t="e">
        <f ca="1">VLOOKUP("DAenergy_sold"&amp;"S1"&amp;J$39&amp;Hypothèses!$D$17&amp;Hypothèses!$D$18,INDIRECT("'"&amp;Hypothèses!$D$42&amp;"'!$A:$I"),6,FALSE) * J44</f>
        <v>#N/A</v>
      </c>
      <c r="K48" s="68" t="e">
        <f ca="1">VLOOKUP("DAenergy_sold"&amp;"S1"&amp;K$39&amp;Hypothèses!$D$17&amp;Hypothèses!$D$18,INDIRECT("'"&amp;Hypothèses!$D$42&amp;"'!$A:$I"),6,FALSE) * K44</f>
        <v>#N/A</v>
      </c>
      <c r="L48" s="68" t="e">
        <f ca="1">VLOOKUP("DAenergy_sold"&amp;"S1"&amp;L$39&amp;Hypothèses!$D$17&amp;Hypothèses!$D$18,INDIRECT("'"&amp;Hypothèses!$D$42&amp;"'!$A:$I"),6,FALSE) * L44</f>
        <v>#N/A</v>
      </c>
      <c r="M48" s="68" t="e">
        <f ca="1">VLOOKUP("DAenergy_sold"&amp;"S1"&amp;M$39&amp;Hypothèses!$D$17&amp;Hypothèses!$D$18,INDIRECT("'"&amp;Hypothèses!$D$42&amp;"'!$A:$I"),6,FALSE) * M44</f>
        <v>#N/A</v>
      </c>
      <c r="N48" s="68" t="e">
        <f ca="1">VLOOKUP("DAenergy_sold"&amp;"S1"&amp;N$39&amp;Hypothèses!$D$17&amp;Hypothèses!$D$18,INDIRECT("'"&amp;Hypothèses!$D$42&amp;"'!$A:$I"),6,FALSE) * N44</f>
        <v>#N/A</v>
      </c>
      <c r="O48" s="68" t="e">
        <f ca="1">VLOOKUP("DAenergy_sold"&amp;"S1"&amp;O$39&amp;Hypothèses!$D$17&amp;Hypothèses!$D$18,INDIRECT("'"&amp;Hypothèses!$D$42&amp;"'!$A:$I"),6,FALSE) * O44</f>
        <v>#N/A</v>
      </c>
      <c r="P48" s="68" t="e">
        <f ca="1">VLOOKUP("DAenergy_sold"&amp;"S1"&amp;P$39&amp;Hypothèses!$D$17&amp;Hypothèses!$D$18,INDIRECT("'"&amp;Hypothèses!$D$42&amp;"'!$A:$I"),6,FALSE) * P44</f>
        <v>#N/A</v>
      </c>
      <c r="Q48" s="68" t="e">
        <f ca="1">VLOOKUP("DAenergy_sold"&amp;"S1"&amp;Q$39&amp;Hypothèses!$D$17&amp;Hypothèses!$D$18,INDIRECT("'"&amp;Hypothèses!$D$42&amp;"'!$A:$I"),6,FALSE) * Q44</f>
        <v>#N/A</v>
      </c>
      <c r="R48" s="68" t="e">
        <f ca="1">VLOOKUP("DAenergy_sold"&amp;"S1"&amp;R$39&amp;Hypothèses!$D$17&amp;Hypothèses!$D$18,INDIRECT("'"&amp;Hypothèses!$D$42&amp;"'!$A:$I"),6,FALSE) * R44</f>
        <v>#N/A</v>
      </c>
      <c r="S48" s="68" t="e">
        <f ca="1">VLOOKUP("DAenergy_sold"&amp;"S1"&amp;S$39&amp;Hypothèses!$D$17&amp;Hypothèses!$D$18,INDIRECT("'"&amp;Hypothèses!$D$42&amp;"'!$A:$I"),6,FALSE) * S44</f>
        <v>#N/A</v>
      </c>
      <c r="T48" s="68" t="e">
        <f ca="1">VLOOKUP("DAenergy_sold"&amp;"S1"&amp;T$39&amp;Hypothèses!$D$17&amp;Hypothèses!$D$18,INDIRECT("'"&amp;Hypothèses!$D$42&amp;"'!$A:$I"),6,FALSE) * T44</f>
        <v>#N/A</v>
      </c>
      <c r="U48" s="68" t="e">
        <f ca="1">VLOOKUP("DAenergy_sold"&amp;"S1"&amp;U$39&amp;Hypothèses!$D$17&amp;Hypothèses!$D$18,INDIRECT("'"&amp;Hypothèses!$D$42&amp;"'!$A:$I"),6,FALSE) * U44</f>
        <v>#N/A</v>
      </c>
      <c r="V48" s="68" t="e">
        <f ca="1">VLOOKUP("DAenergy_sold"&amp;"S1"&amp;V$39&amp;Hypothèses!$D$17&amp;Hypothèses!$D$18,INDIRECT("'"&amp;Hypothèses!$D$42&amp;"'!$A:$I"),6,FALSE) * V44</f>
        <v>#N/A</v>
      </c>
      <c r="W48" s="68" t="e">
        <f ca="1">VLOOKUP("DAenergy_sold"&amp;"S1"&amp;W$39&amp;Hypothèses!$D$17&amp;Hypothèses!$D$18,INDIRECT("'"&amp;Hypothèses!$D$42&amp;"'!$A:$I"),6,FALSE) * W44</f>
        <v>#N/A</v>
      </c>
      <c r="X48" s="68" t="e">
        <f ca="1">VLOOKUP("DAenergy_sold"&amp;"S1"&amp;X$39&amp;Hypothèses!$D$17&amp;Hypothèses!$D$18,INDIRECT("'"&amp;Hypothèses!$D$42&amp;"'!$A:$I"),6,FALSE) * X44</f>
        <v>#N/A</v>
      </c>
      <c r="Y48" s="68" t="e">
        <f ca="1">VLOOKUP("DAenergy_sold"&amp;"S1"&amp;Y$39&amp;Hypothèses!$D$17&amp;Hypothèses!$D$18,INDIRECT("'"&amp;Hypothèses!$D$42&amp;"'!$A:$I"),6,FALSE) * Y44</f>
        <v>#N/A</v>
      </c>
      <c r="Z48" s="68" t="e">
        <f ca="1">VLOOKUP("DAenergy_sold"&amp;"S1"&amp;Z$39&amp;Hypothèses!$D$17&amp;Hypothèses!$D$18,INDIRECT("'"&amp;Hypothèses!$D$42&amp;"'!$A:$I"),6,FALSE) * Z44</f>
        <v>#N/A</v>
      </c>
      <c r="AA48" s="68" t="e">
        <f ca="1">VLOOKUP("DAenergy_sold"&amp;"S1"&amp;AA$39&amp;Hypothèses!$D$17&amp;Hypothèses!$D$18,INDIRECT("'"&amp;Hypothèses!$D$42&amp;"'!$A:$I"),6,FALSE) * AA44</f>
        <v>#N/A</v>
      </c>
      <c r="AB48" s="68" t="e">
        <f ca="1">VLOOKUP("DAenergy_sold"&amp;"S1"&amp;AB$39&amp;Hypothèses!$D$17&amp;Hypothèses!$D$18,INDIRECT("'"&amp;Hypothèses!$D$42&amp;"'!$A:$I"),6,FALSE) * AB44</f>
        <v>#N/A</v>
      </c>
      <c r="AC48" s="68" t="e">
        <f ca="1">VLOOKUP("DAenergy_sold"&amp;"S1"&amp;AC$39&amp;Hypothèses!$D$17&amp;Hypothèses!$D$18,INDIRECT("'"&amp;Hypothèses!$D$42&amp;"'!$A:$I"),6,FALSE) * AC44</f>
        <v>#N/A</v>
      </c>
      <c r="AD48" s="68" t="e">
        <f ca="1">VLOOKUP("DAenergy_sold"&amp;"S1"&amp;AD$39&amp;Hypothèses!$D$17&amp;Hypothèses!$D$18,INDIRECT("'"&amp;Hypothèses!$D$42&amp;"'!$A:$I"),6,FALSE) * AD44</f>
        <v>#N/A</v>
      </c>
      <c r="AE48" s="68" t="e">
        <f ca="1">VLOOKUP("DAenergy_sold"&amp;"S1"&amp;AE$39&amp;Hypothèses!$D$17&amp;Hypothèses!$D$18,INDIRECT("'"&amp;Hypothèses!$D$42&amp;"'!$A:$I"),6,FALSE) * AE44</f>
        <v>#N/A</v>
      </c>
      <c r="AF48" s="68" t="e">
        <f ca="1">VLOOKUP("DAenergy_sold"&amp;"S1"&amp;AF$39&amp;Hypothèses!$D$17&amp;Hypothèses!$D$18,INDIRECT("'"&amp;Hypothèses!$D$42&amp;"'!$A:$I"),6,FALSE) * AF44</f>
        <v>#N/A</v>
      </c>
      <c r="AG48" s="68" t="e">
        <f ca="1">VLOOKUP("DAenergy_sold"&amp;"S1"&amp;AG$39&amp;Hypothèses!$D$17&amp;Hypothèses!$D$18,INDIRECT("'"&amp;Hypothèses!$D$42&amp;"'!$A:$I"),6,FALSE) * AG44</f>
        <v>#N/A</v>
      </c>
    </row>
    <row r="49" spans="2:34" ht="14.5" x14ac:dyDescent="0.35">
      <c r="B49" s="84" t="s">
        <v>26</v>
      </c>
      <c r="C49" s="10"/>
      <c r="D49" s="68"/>
      <c r="E49" s="135" t="e">
        <f t="shared" ref="E49" ca="1" si="32">E48/D48-1</f>
        <v>#N/A</v>
      </c>
      <c r="F49" s="135" t="e">
        <f t="shared" ref="F49" ca="1" si="33">F48/E48-1</f>
        <v>#N/A</v>
      </c>
      <c r="G49" s="135" t="e">
        <f t="shared" ref="G49" ca="1" si="34">G48/F48-1</f>
        <v>#N/A</v>
      </c>
      <c r="H49" s="135" t="e">
        <f t="shared" ref="H49" ca="1" si="35">H48/G48-1</f>
        <v>#N/A</v>
      </c>
      <c r="I49" s="135" t="e">
        <f t="shared" ref="I49" ca="1" si="36">I48/H48-1</f>
        <v>#N/A</v>
      </c>
      <c r="J49" s="135" t="e">
        <f t="shared" ref="J49" ca="1" si="37">J48/I48-1</f>
        <v>#N/A</v>
      </c>
      <c r="K49" s="135" t="e">
        <f t="shared" ref="K49" ca="1" si="38">K48/J48-1</f>
        <v>#N/A</v>
      </c>
      <c r="L49" s="135" t="e">
        <f t="shared" ref="L49" ca="1" si="39">L48/K48-1</f>
        <v>#N/A</v>
      </c>
      <c r="M49" s="135" t="e">
        <f t="shared" ref="M49" ca="1" si="40">M48/L48-1</f>
        <v>#N/A</v>
      </c>
      <c r="N49" s="135" t="e">
        <f t="shared" ref="N49" ca="1" si="41">N48/M48-1</f>
        <v>#N/A</v>
      </c>
      <c r="O49" s="135" t="e">
        <f t="shared" ref="O49" ca="1" si="42">O48/N48-1</f>
        <v>#N/A</v>
      </c>
      <c r="P49" s="135" t="e">
        <f t="shared" ref="P49" ca="1" si="43">P48/O48-1</f>
        <v>#N/A</v>
      </c>
      <c r="Q49" s="135" t="e">
        <f t="shared" ref="Q49" ca="1" si="44">Q48/P48-1</f>
        <v>#N/A</v>
      </c>
      <c r="R49" s="135" t="e">
        <f t="shared" ref="R49" ca="1" si="45">R48/Q48-1</f>
        <v>#N/A</v>
      </c>
      <c r="S49" s="135" t="e">
        <f t="shared" ref="S49" ca="1" si="46">S48/R48-1</f>
        <v>#N/A</v>
      </c>
      <c r="T49" s="135" t="e">
        <f t="shared" ref="T49" ca="1" si="47">T48/S48-1</f>
        <v>#N/A</v>
      </c>
      <c r="U49" s="135" t="e">
        <f t="shared" ref="U49" ca="1" si="48">U48/T48-1</f>
        <v>#N/A</v>
      </c>
      <c r="V49" s="135" t="e">
        <f t="shared" ref="V49" ca="1" si="49">V48/U48-1</f>
        <v>#N/A</v>
      </c>
      <c r="W49" s="135" t="e">
        <f t="shared" ref="W49" ca="1" si="50">W48/V48-1</f>
        <v>#N/A</v>
      </c>
      <c r="X49" s="135" t="e">
        <f t="shared" ref="X49" ca="1" si="51">X48/W48-1</f>
        <v>#N/A</v>
      </c>
      <c r="Y49" s="135" t="e">
        <f t="shared" ref="Y49" ca="1" si="52">Y48/X48-1</f>
        <v>#N/A</v>
      </c>
      <c r="Z49" s="135" t="e">
        <f t="shared" ref="Z49" ca="1" si="53">Z48/Y48-1</f>
        <v>#N/A</v>
      </c>
      <c r="AA49" s="135" t="e">
        <f t="shared" ref="AA49" ca="1" si="54">AA48/Z48-1</f>
        <v>#N/A</v>
      </c>
      <c r="AB49" s="135" t="e">
        <f t="shared" ref="AB49" ca="1" si="55">AB48/AA48-1</f>
        <v>#N/A</v>
      </c>
      <c r="AC49" s="135" t="e">
        <f t="shared" ref="AC49" ca="1" si="56">AC48/AB48-1</f>
        <v>#N/A</v>
      </c>
      <c r="AD49" s="135" t="e">
        <f t="shared" ref="AD49" ca="1" si="57">AD48/AC48-1</f>
        <v>#N/A</v>
      </c>
      <c r="AE49" s="135" t="e">
        <f t="shared" ref="AE49" ca="1" si="58">AE48/AD48-1</f>
        <v>#N/A</v>
      </c>
      <c r="AF49" s="135" t="e">
        <f t="shared" ref="AF49" ca="1" si="59">AF48/AE48-1</f>
        <v>#N/A</v>
      </c>
      <c r="AG49" s="135" t="e">
        <f ca="1">AG48/AF48-1</f>
        <v>#N/A</v>
      </c>
    </row>
    <row r="50" spans="2:34" ht="14.5" x14ac:dyDescent="0.35">
      <c r="B50" s="84" t="s">
        <v>119</v>
      </c>
      <c r="C50" s="10"/>
      <c r="D50" s="68">
        <f ca="1">VLOOKUP("Dahours_sold"&amp;"S1"&amp;D$39&amp;Hypothèses!$D$17&amp;Hypothèses!$D$18,INDIRECT("'"&amp;Hypothèses!$D$42&amp;"'!$A:$I"),6,FALSE) * D44</f>
        <v>3</v>
      </c>
      <c r="E50" s="68" t="e">
        <f ca="1">VLOOKUP("Dahours_sold"&amp;"S1"&amp;E$39&amp;Hypothèses!$D$17&amp;Hypothèses!$D$18,INDIRECT("'"&amp;Hypothèses!$D$42&amp;"'!$A:$I"),6,FALSE) * E44</f>
        <v>#N/A</v>
      </c>
      <c r="F50" s="68" t="e">
        <f ca="1">VLOOKUP("Dahours_sold"&amp;"S1"&amp;F$39&amp;Hypothèses!$D$17&amp;Hypothèses!$D$18,INDIRECT("'"&amp;Hypothèses!$D$42&amp;"'!$A:$I"),6,FALSE) * F44</f>
        <v>#N/A</v>
      </c>
      <c r="G50" s="68" t="e">
        <f ca="1">VLOOKUP("Dahours_sold"&amp;"S1"&amp;G$39&amp;Hypothèses!$D$17&amp;Hypothèses!$D$18,INDIRECT("'"&amp;Hypothèses!$D$42&amp;"'!$A:$I"),6,FALSE) * G44</f>
        <v>#N/A</v>
      </c>
      <c r="H50" s="68" t="e">
        <f ca="1">VLOOKUP("Dahours_sold"&amp;"S1"&amp;H$39&amp;Hypothèses!$D$17&amp;Hypothèses!$D$18,INDIRECT("'"&amp;Hypothèses!$D$42&amp;"'!$A:$I"),6,FALSE) * H44</f>
        <v>#N/A</v>
      </c>
      <c r="I50" s="68" t="e">
        <f ca="1">VLOOKUP("Dahours_sold"&amp;"S1"&amp;I$39&amp;Hypothèses!$D$17&amp;Hypothèses!$D$18,INDIRECT("'"&amp;Hypothèses!$D$42&amp;"'!$A:$I"),6,FALSE) * I44</f>
        <v>#N/A</v>
      </c>
      <c r="J50" s="68" t="e">
        <f ca="1">VLOOKUP("Dahours_sold"&amp;"S1"&amp;J$39&amp;Hypothèses!$D$17&amp;Hypothèses!$D$18,INDIRECT("'"&amp;Hypothèses!$D$42&amp;"'!$A:$I"),6,FALSE) * J44</f>
        <v>#N/A</v>
      </c>
      <c r="K50" s="68" t="e">
        <f ca="1">VLOOKUP("Dahours_sold"&amp;"S1"&amp;K$39&amp;Hypothèses!$D$17&amp;Hypothèses!$D$18,INDIRECT("'"&amp;Hypothèses!$D$42&amp;"'!$A:$I"),6,FALSE) * K44</f>
        <v>#N/A</v>
      </c>
      <c r="L50" s="68" t="e">
        <f ca="1">VLOOKUP("Dahours_sold"&amp;"S1"&amp;L$39&amp;Hypothèses!$D$17&amp;Hypothèses!$D$18,INDIRECT("'"&amp;Hypothèses!$D$42&amp;"'!$A:$I"),6,FALSE) * L44</f>
        <v>#N/A</v>
      </c>
      <c r="M50" s="68" t="e">
        <f ca="1">VLOOKUP("Dahours_sold"&amp;"S1"&amp;M$39&amp;Hypothèses!$D$17&amp;Hypothèses!$D$18,INDIRECT("'"&amp;Hypothèses!$D$42&amp;"'!$A:$I"),6,FALSE) * M44</f>
        <v>#N/A</v>
      </c>
      <c r="N50" s="68" t="e">
        <f ca="1">VLOOKUP("Dahours_sold"&amp;"S1"&amp;N$39&amp;Hypothèses!$D$17&amp;Hypothèses!$D$18,INDIRECT("'"&amp;Hypothèses!$D$42&amp;"'!$A:$I"),6,FALSE) * N44</f>
        <v>#N/A</v>
      </c>
      <c r="O50" s="68" t="e">
        <f ca="1">VLOOKUP("Dahours_sold"&amp;"S1"&amp;O$39&amp;Hypothèses!$D$17&amp;Hypothèses!$D$18,INDIRECT("'"&amp;Hypothèses!$D$42&amp;"'!$A:$I"),6,FALSE) * O44</f>
        <v>#N/A</v>
      </c>
      <c r="P50" s="68" t="e">
        <f ca="1">VLOOKUP("Dahours_sold"&amp;"S1"&amp;P$39&amp;Hypothèses!$D$17&amp;Hypothèses!$D$18,INDIRECT("'"&amp;Hypothèses!$D$42&amp;"'!$A:$I"),6,FALSE) * P44</f>
        <v>#N/A</v>
      </c>
      <c r="Q50" s="68" t="e">
        <f ca="1">VLOOKUP("Dahours_sold"&amp;"S1"&amp;Q$39&amp;Hypothèses!$D$17&amp;Hypothèses!$D$18,INDIRECT("'"&amp;Hypothèses!$D$42&amp;"'!$A:$I"),6,FALSE) * Q44</f>
        <v>#N/A</v>
      </c>
      <c r="R50" s="68" t="e">
        <f ca="1">VLOOKUP("Dahours_sold"&amp;"S1"&amp;R$39&amp;Hypothèses!$D$17&amp;Hypothèses!$D$18,INDIRECT("'"&amp;Hypothèses!$D$42&amp;"'!$A:$I"),6,FALSE) * R44</f>
        <v>#N/A</v>
      </c>
      <c r="S50" s="68" t="e">
        <f ca="1">VLOOKUP("Dahours_sold"&amp;"S1"&amp;S$39&amp;Hypothèses!$D$17&amp;Hypothèses!$D$18,INDIRECT("'"&amp;Hypothèses!$D$42&amp;"'!$A:$I"),6,FALSE) * S44</f>
        <v>#N/A</v>
      </c>
      <c r="T50" s="68" t="e">
        <f ca="1">VLOOKUP("Dahours_sold"&amp;"S1"&amp;T$39&amp;Hypothèses!$D$17&amp;Hypothèses!$D$18,INDIRECT("'"&amp;Hypothèses!$D$42&amp;"'!$A:$I"),6,FALSE) * T44</f>
        <v>#N/A</v>
      </c>
      <c r="U50" s="68" t="e">
        <f ca="1">VLOOKUP("Dahours_sold"&amp;"S1"&amp;U$39&amp;Hypothèses!$D$17&amp;Hypothèses!$D$18,INDIRECT("'"&amp;Hypothèses!$D$42&amp;"'!$A:$I"),6,FALSE) * U44</f>
        <v>#N/A</v>
      </c>
      <c r="V50" s="68" t="e">
        <f ca="1">VLOOKUP("Dahours_sold"&amp;"S1"&amp;V$39&amp;Hypothèses!$D$17&amp;Hypothèses!$D$18,INDIRECT("'"&amp;Hypothèses!$D$42&amp;"'!$A:$I"),6,FALSE) * V44</f>
        <v>#N/A</v>
      </c>
      <c r="W50" s="68" t="e">
        <f ca="1">VLOOKUP("Dahours_sold"&amp;"S1"&amp;W$39&amp;Hypothèses!$D$17&amp;Hypothèses!$D$18,INDIRECT("'"&amp;Hypothèses!$D$42&amp;"'!$A:$I"),6,FALSE) * W44</f>
        <v>#N/A</v>
      </c>
      <c r="X50" s="68" t="e">
        <f ca="1">VLOOKUP("Dahours_sold"&amp;"S1"&amp;X$39&amp;Hypothèses!$D$17&amp;Hypothèses!$D$18,INDIRECT("'"&amp;Hypothèses!$D$42&amp;"'!$A:$I"),6,FALSE) * X44</f>
        <v>#N/A</v>
      </c>
      <c r="Y50" s="68" t="e">
        <f ca="1">VLOOKUP("Dahours_sold"&amp;"S1"&amp;Y$39&amp;Hypothèses!$D$17&amp;Hypothèses!$D$18,INDIRECT("'"&amp;Hypothèses!$D$42&amp;"'!$A:$I"),6,FALSE) * Y44</f>
        <v>#N/A</v>
      </c>
      <c r="Z50" s="68" t="e">
        <f ca="1">VLOOKUP("Dahours_sold"&amp;"S1"&amp;Z$39&amp;Hypothèses!$D$17&amp;Hypothèses!$D$18,INDIRECT("'"&amp;Hypothèses!$D$42&amp;"'!$A:$I"),6,FALSE) * Z44</f>
        <v>#N/A</v>
      </c>
      <c r="AA50" s="68" t="e">
        <f ca="1">VLOOKUP("Dahours_sold"&amp;"S1"&amp;AA$39&amp;Hypothèses!$D$17&amp;Hypothèses!$D$18,INDIRECT("'"&amp;Hypothèses!$D$42&amp;"'!$A:$I"),6,FALSE) * AA44</f>
        <v>#N/A</v>
      </c>
      <c r="AB50" s="68" t="e">
        <f ca="1">VLOOKUP("Dahours_sold"&amp;"S1"&amp;AB$39&amp;Hypothèses!$D$17&amp;Hypothèses!$D$18,INDIRECT("'"&amp;Hypothèses!$D$42&amp;"'!$A:$I"),6,FALSE) * AB44</f>
        <v>#N/A</v>
      </c>
      <c r="AC50" s="68" t="e">
        <f ca="1">VLOOKUP("Dahours_sold"&amp;"S1"&amp;AC$39&amp;Hypothèses!$D$17&amp;Hypothèses!$D$18,INDIRECT("'"&amp;Hypothèses!$D$42&amp;"'!$A:$I"),6,FALSE) * AC44</f>
        <v>#N/A</v>
      </c>
      <c r="AD50" s="68" t="e">
        <f ca="1">VLOOKUP("Dahours_sold"&amp;"S1"&amp;AD$39&amp;Hypothèses!$D$17&amp;Hypothèses!$D$18,INDIRECT("'"&amp;Hypothèses!$D$42&amp;"'!$A:$I"),6,FALSE) * AD44</f>
        <v>#N/A</v>
      </c>
      <c r="AE50" s="68" t="e">
        <f ca="1">VLOOKUP("Dahours_sold"&amp;"S1"&amp;AE$39&amp;Hypothèses!$D$17&amp;Hypothèses!$D$18,INDIRECT("'"&amp;Hypothèses!$D$42&amp;"'!$A:$I"),6,FALSE) * AE44</f>
        <v>#N/A</v>
      </c>
      <c r="AF50" s="68" t="e">
        <f ca="1">VLOOKUP("Dahours_sold"&amp;"S1"&amp;AF$39&amp;Hypothèses!$D$17&amp;Hypothèses!$D$18,INDIRECT("'"&amp;Hypothèses!$D$42&amp;"'!$A:$I"),6,FALSE) * AF44</f>
        <v>#N/A</v>
      </c>
      <c r="AG50" s="68" t="e">
        <f ca="1">VLOOKUP("Dahours_sold"&amp;"S1"&amp;AG$39&amp;Hypothèses!$D$17&amp;Hypothèses!$D$18,INDIRECT("'"&amp;Hypothèses!$D$42&amp;"'!$A:$I"),6,FALSE) * AG44</f>
        <v>#N/A</v>
      </c>
    </row>
    <row r="51" spans="2:34" x14ac:dyDescent="0.3">
      <c r="B51" s="10" t="s">
        <v>135</v>
      </c>
      <c r="C51" s="10"/>
      <c r="D51" s="71">
        <f ca="1">VLOOKUP("DAcost"&amp;"S1"&amp;D$39&amp;Hypothèses!$D$17&amp;Hypothèses!$D$18,INDIRECT("'"&amp;Hypothèses!$D$42&amp;"'!$A:$I"),6,FALSE)*(1+$C$37)^C43 * D44</f>
        <v>125254.4249900573</v>
      </c>
      <c r="E51" s="71" t="e">
        <f ca="1">VLOOKUP("DAcost"&amp;"S1"&amp;E$39&amp;Hypothèses!$D$17&amp;Hypothèses!$D$18,INDIRECT("'"&amp;Hypothèses!$D$42&amp;"'!$A:$I"),6,FALSE)*(1+$C$37)^D43 * E44</f>
        <v>#N/A</v>
      </c>
      <c r="F51" s="71" t="e">
        <f ca="1">VLOOKUP("DAcost"&amp;"S1"&amp;F$39&amp;Hypothèses!$D$17&amp;Hypothèses!$D$18,INDIRECT("'"&amp;Hypothèses!$D$42&amp;"'!$A:$I"),6,FALSE)*(1+$C$37)^E43 * F44</f>
        <v>#N/A</v>
      </c>
      <c r="G51" s="71" t="e">
        <f ca="1">VLOOKUP("DAcost"&amp;"S1"&amp;G$39&amp;Hypothèses!$D$17&amp;Hypothèses!$D$18,INDIRECT("'"&amp;Hypothèses!$D$42&amp;"'!$A:$I"),6,FALSE)*(1+$C$37)^F43 * G44</f>
        <v>#N/A</v>
      </c>
      <c r="H51" s="71" t="e">
        <f ca="1">VLOOKUP("DAcost"&amp;"S1"&amp;H$39&amp;Hypothèses!$D$17&amp;Hypothèses!$D$18,INDIRECT("'"&amp;Hypothèses!$D$42&amp;"'!$A:$I"),6,FALSE)*(1+$C$37)^G43 * H44</f>
        <v>#N/A</v>
      </c>
      <c r="I51" s="71" t="e">
        <f ca="1">VLOOKUP("DAcost"&amp;"S1"&amp;I$39&amp;Hypothèses!$D$17&amp;Hypothèses!$D$18,INDIRECT("'"&amp;Hypothèses!$D$42&amp;"'!$A:$I"),6,FALSE)*(1+$C$37)^H43 * I44</f>
        <v>#N/A</v>
      </c>
      <c r="J51" s="71" t="e">
        <f ca="1">VLOOKUP("DAcost"&amp;"S1"&amp;J$39&amp;Hypothèses!$D$17&amp;Hypothèses!$D$18,INDIRECT("'"&amp;Hypothèses!$D$42&amp;"'!$A:$I"),6,FALSE)*(1+$C$37)^I43 * J44</f>
        <v>#N/A</v>
      </c>
      <c r="K51" s="71" t="e">
        <f ca="1">VLOOKUP("DAcost"&amp;"S1"&amp;K$39&amp;Hypothèses!$D$17&amp;Hypothèses!$D$18,INDIRECT("'"&amp;Hypothèses!$D$42&amp;"'!$A:$I"),6,FALSE)*(1+$C$37)^J43 * K44</f>
        <v>#N/A</v>
      </c>
      <c r="L51" s="71" t="e">
        <f ca="1">VLOOKUP("DAcost"&amp;"S1"&amp;L$39&amp;Hypothèses!$D$17&amp;Hypothèses!$D$18,INDIRECT("'"&amp;Hypothèses!$D$42&amp;"'!$A:$I"),6,FALSE)*(1+$C$37)^K43 * L44</f>
        <v>#N/A</v>
      </c>
      <c r="M51" s="71" t="e">
        <f ca="1">VLOOKUP("DAcost"&amp;"S1"&amp;M$39&amp;Hypothèses!$D$17&amp;Hypothèses!$D$18,INDIRECT("'"&amp;Hypothèses!$D$42&amp;"'!$A:$I"),6,FALSE)*(1+$C$37)^L43 * M44</f>
        <v>#N/A</v>
      </c>
      <c r="N51" s="71" t="e">
        <f ca="1">VLOOKUP("DAcost"&amp;"S1"&amp;N$39&amp;Hypothèses!$D$17&amp;Hypothèses!$D$18,INDIRECT("'"&amp;Hypothèses!$D$42&amp;"'!$A:$I"),6,FALSE)*(1+$C$37)^M43 * N44</f>
        <v>#N/A</v>
      </c>
      <c r="O51" s="71" t="e">
        <f ca="1">VLOOKUP("DAcost"&amp;"S1"&amp;O$39&amp;Hypothèses!$D$17&amp;Hypothèses!$D$18,INDIRECT("'"&amp;Hypothèses!$D$42&amp;"'!$A:$I"),6,FALSE)*(1+$C$37)^N43 * O44</f>
        <v>#N/A</v>
      </c>
      <c r="P51" s="71" t="e">
        <f ca="1">VLOOKUP("DAcost"&amp;"S1"&amp;P$39&amp;Hypothèses!$D$17&amp;Hypothèses!$D$18,INDIRECT("'"&amp;Hypothèses!$D$42&amp;"'!$A:$I"),6,FALSE)*(1+$C$37)^O43 * P44</f>
        <v>#N/A</v>
      </c>
      <c r="Q51" s="71" t="e">
        <f ca="1">VLOOKUP("DAcost"&amp;"S1"&amp;Q$39&amp;Hypothèses!$D$17&amp;Hypothèses!$D$18,INDIRECT("'"&amp;Hypothèses!$D$42&amp;"'!$A:$I"),6,FALSE)*(1+$C$37)^P43 * Q44</f>
        <v>#N/A</v>
      </c>
      <c r="R51" s="71" t="e">
        <f ca="1">VLOOKUP("DAcost"&amp;"S1"&amp;R$39&amp;Hypothèses!$D$17&amp;Hypothèses!$D$18,INDIRECT("'"&amp;Hypothèses!$D$42&amp;"'!$A:$I"),6,FALSE)*(1+$C$37)^Q43 * R44</f>
        <v>#N/A</v>
      </c>
      <c r="S51" s="71" t="e">
        <f ca="1">VLOOKUP("DAcost"&amp;"S1"&amp;S$39&amp;Hypothèses!$D$17&amp;Hypothèses!$D$18,INDIRECT("'"&amp;Hypothèses!$D$42&amp;"'!$A:$I"),6,FALSE)*(1+$C$37)^R43 * S44</f>
        <v>#N/A</v>
      </c>
      <c r="T51" s="71" t="e">
        <f ca="1">VLOOKUP("DAcost"&amp;"S1"&amp;T$39&amp;Hypothèses!$D$17&amp;Hypothèses!$D$18,INDIRECT("'"&amp;Hypothèses!$D$42&amp;"'!$A:$I"),6,FALSE)*(1+$C$37)^S43 * T44</f>
        <v>#N/A</v>
      </c>
      <c r="U51" s="71" t="e">
        <f ca="1">VLOOKUP("DAcost"&amp;"S1"&amp;U$39&amp;Hypothèses!$D$17&amp;Hypothèses!$D$18,INDIRECT("'"&amp;Hypothèses!$D$42&amp;"'!$A:$I"),6,FALSE)*(1+$C$37)^T43 * U44</f>
        <v>#N/A</v>
      </c>
      <c r="V51" s="71" t="e">
        <f ca="1">VLOOKUP("DAcost"&amp;"S1"&amp;V$39&amp;Hypothèses!$D$17&amp;Hypothèses!$D$18,INDIRECT("'"&amp;Hypothèses!$D$42&amp;"'!$A:$I"),6,FALSE)*(1+$C$37)^U43 * V44</f>
        <v>#N/A</v>
      </c>
      <c r="W51" s="71" t="e">
        <f ca="1">VLOOKUP("DAcost"&amp;"S1"&amp;W$39&amp;Hypothèses!$D$17&amp;Hypothèses!$D$18,INDIRECT("'"&amp;Hypothèses!$D$42&amp;"'!$A:$I"),6,FALSE)*(1+$C$37)^V43 * W44</f>
        <v>#N/A</v>
      </c>
      <c r="X51" s="71" t="e">
        <f ca="1">VLOOKUP("DAcost"&amp;"S1"&amp;X$39&amp;Hypothèses!$D$17&amp;Hypothèses!$D$18,INDIRECT("'"&amp;Hypothèses!$D$42&amp;"'!$A:$I"),6,FALSE)*(1+$C$37)^W43 * X44</f>
        <v>#N/A</v>
      </c>
      <c r="Y51" s="71" t="e">
        <f ca="1">VLOOKUP("DAcost"&amp;"S1"&amp;Y$39&amp;Hypothèses!$D$17&amp;Hypothèses!$D$18,INDIRECT("'"&amp;Hypothèses!$D$42&amp;"'!$A:$I"),6,FALSE)*(1+$C$37)^X43 * Y44</f>
        <v>#N/A</v>
      </c>
      <c r="Z51" s="71" t="e">
        <f ca="1">VLOOKUP("DAcost"&amp;"S1"&amp;Z$39&amp;Hypothèses!$D$17&amp;Hypothèses!$D$18,INDIRECT("'"&amp;Hypothèses!$D$42&amp;"'!$A:$I"),6,FALSE)*(1+$C$37)^Y43 * Z44</f>
        <v>#N/A</v>
      </c>
      <c r="AA51" s="71" t="e">
        <f ca="1">VLOOKUP("DAcost"&amp;"S1"&amp;AA$39&amp;Hypothèses!$D$17&amp;Hypothèses!$D$18,INDIRECT("'"&amp;Hypothèses!$D$42&amp;"'!$A:$I"),6,FALSE)*(1+$C$37)^Z43 * AA44</f>
        <v>#N/A</v>
      </c>
      <c r="AB51" s="71" t="e">
        <f ca="1">VLOOKUP("DAcost"&amp;"S1"&amp;AB$39&amp;Hypothèses!$D$17&amp;Hypothèses!$D$18,INDIRECT("'"&amp;Hypothèses!$D$42&amp;"'!$A:$I"),6,FALSE)*(1+$C$37)^AA43 * AB44</f>
        <v>#N/A</v>
      </c>
      <c r="AC51" s="71" t="e">
        <f ca="1">VLOOKUP("DAcost"&amp;"S1"&amp;AC$39&amp;Hypothèses!$D$17&amp;Hypothèses!$D$18,INDIRECT("'"&amp;Hypothèses!$D$42&amp;"'!$A:$I"),6,FALSE)*(1+$C$37)^AB43 * AC44</f>
        <v>#N/A</v>
      </c>
      <c r="AD51" s="71" t="e">
        <f ca="1">VLOOKUP("DAcost"&amp;"S1"&amp;AD$39&amp;Hypothèses!$D$17&amp;Hypothèses!$D$18,INDIRECT("'"&amp;Hypothèses!$D$42&amp;"'!$A:$I"),6,FALSE)*(1+$C$37)^AC43 * AD44</f>
        <v>#N/A</v>
      </c>
      <c r="AE51" s="71" t="e">
        <f ca="1">VLOOKUP("DAcost"&amp;"S1"&amp;AE$39&amp;Hypothèses!$D$17&amp;Hypothèses!$D$18,INDIRECT("'"&amp;Hypothèses!$D$42&amp;"'!$A:$I"),6,FALSE)*(1+$C$37)^AD43 * AE44</f>
        <v>#N/A</v>
      </c>
      <c r="AF51" s="71" t="e">
        <f ca="1">VLOOKUP("DAcost"&amp;"S1"&amp;AF$39&amp;Hypothèses!$D$17&amp;Hypothèses!$D$18,INDIRECT("'"&amp;Hypothèses!$D$42&amp;"'!$A:$I"),6,FALSE)*(1+$C$37)^AE43 * AF44</f>
        <v>#N/A</v>
      </c>
      <c r="AG51" s="71" t="e">
        <f ca="1">VLOOKUP("DAcost"&amp;"S1"&amp;AG$39&amp;Hypothèses!$D$17&amp;Hypothèses!$D$18,INDIRECT("'"&amp;Hypothèses!$D$42&amp;"'!$A:$I"),6,FALSE)*(1+$C$37)^AF43 * AG44</f>
        <v>#N/A</v>
      </c>
    </row>
    <row r="52" spans="2:34" ht="14.5" x14ac:dyDescent="0.35">
      <c r="B52" s="26" t="s">
        <v>26</v>
      </c>
      <c r="C52" s="10"/>
      <c r="D52" s="68"/>
      <c r="E52" s="135" t="e">
        <f t="shared" ref="E52" ca="1" si="60">E51/D51-1</f>
        <v>#N/A</v>
      </c>
      <c r="F52" s="135" t="e">
        <f t="shared" ref="F52" ca="1" si="61">F51/E51-1</f>
        <v>#N/A</v>
      </c>
      <c r="G52" s="135" t="e">
        <f t="shared" ref="G52" ca="1" si="62">G51/F51-1</f>
        <v>#N/A</v>
      </c>
      <c r="H52" s="135" t="e">
        <f t="shared" ref="H52" ca="1" si="63">H51/G51-1</f>
        <v>#N/A</v>
      </c>
      <c r="I52" s="135" t="e">
        <f t="shared" ref="I52" ca="1" si="64">I51/H51-1</f>
        <v>#N/A</v>
      </c>
      <c r="J52" s="135" t="e">
        <f t="shared" ref="J52" ca="1" si="65">J51/I51-1</f>
        <v>#N/A</v>
      </c>
      <c r="K52" s="135" t="e">
        <f t="shared" ref="K52" ca="1" si="66">K51/J51-1</f>
        <v>#N/A</v>
      </c>
      <c r="L52" s="135" t="e">
        <f t="shared" ref="L52" ca="1" si="67">L51/K51-1</f>
        <v>#N/A</v>
      </c>
      <c r="M52" s="135" t="e">
        <f t="shared" ref="M52" ca="1" si="68">M51/L51-1</f>
        <v>#N/A</v>
      </c>
      <c r="N52" s="135" t="e">
        <f t="shared" ref="N52" ca="1" si="69">N51/M51-1</f>
        <v>#N/A</v>
      </c>
      <c r="O52" s="135" t="e">
        <f t="shared" ref="O52" ca="1" si="70">O51/N51-1</f>
        <v>#N/A</v>
      </c>
      <c r="P52" s="135" t="e">
        <f t="shared" ref="P52" ca="1" si="71">P51/O51-1</f>
        <v>#N/A</v>
      </c>
      <c r="Q52" s="135" t="e">
        <f t="shared" ref="Q52" ca="1" si="72">Q51/P51-1</f>
        <v>#N/A</v>
      </c>
      <c r="R52" s="135" t="e">
        <f t="shared" ref="R52" ca="1" si="73">R51/Q51-1</f>
        <v>#N/A</v>
      </c>
      <c r="S52" s="135" t="e">
        <f t="shared" ref="S52" ca="1" si="74">S51/R51-1</f>
        <v>#N/A</v>
      </c>
      <c r="T52" s="135" t="e">
        <f t="shared" ref="T52" ca="1" si="75">T51/S51-1</f>
        <v>#N/A</v>
      </c>
      <c r="U52" s="135" t="e">
        <f t="shared" ref="U52" ca="1" si="76">U51/T51-1</f>
        <v>#N/A</v>
      </c>
      <c r="V52" s="135" t="e">
        <f t="shared" ref="V52" ca="1" si="77">V51/U51-1</f>
        <v>#N/A</v>
      </c>
      <c r="W52" s="135" t="e">
        <f t="shared" ref="W52" ca="1" si="78">W51/V51-1</f>
        <v>#N/A</v>
      </c>
      <c r="X52" s="135" t="e">
        <f t="shared" ref="X52" ca="1" si="79">X51/W51-1</f>
        <v>#N/A</v>
      </c>
      <c r="Y52" s="135" t="e">
        <f t="shared" ref="Y52" ca="1" si="80">Y51/X51-1</f>
        <v>#N/A</v>
      </c>
      <c r="Z52" s="135" t="e">
        <f t="shared" ref="Z52" ca="1" si="81">Z51/Y51-1</f>
        <v>#N/A</v>
      </c>
      <c r="AA52" s="135" t="e">
        <f t="shared" ref="AA52" ca="1" si="82">AA51/Z51-1</f>
        <v>#N/A</v>
      </c>
      <c r="AB52" s="135" t="e">
        <f t="shared" ref="AB52" ca="1" si="83">AB51/AA51-1</f>
        <v>#N/A</v>
      </c>
      <c r="AC52" s="135" t="e">
        <f t="shared" ref="AC52" ca="1" si="84">AC51/AB51-1</f>
        <v>#N/A</v>
      </c>
      <c r="AD52" s="135" t="e">
        <f t="shared" ref="AD52" ca="1" si="85">AD51/AC51-1</f>
        <v>#N/A</v>
      </c>
      <c r="AE52" s="135" t="e">
        <f t="shared" ref="AE52" ca="1" si="86">AE51/AD51-1</f>
        <v>#N/A</v>
      </c>
      <c r="AF52" s="135" t="e">
        <f t="shared" ref="AF52" ca="1" si="87">AF51/AE51-1</f>
        <v>#N/A</v>
      </c>
      <c r="AG52" s="135" t="e">
        <f t="shared" ref="AG52" ca="1" si="88">AG51/AF51-1</f>
        <v>#N/A</v>
      </c>
    </row>
    <row r="53" spans="2:34" x14ac:dyDescent="0.3">
      <c r="B53" s="10" t="s">
        <v>136</v>
      </c>
      <c r="C53" s="10"/>
      <c r="D53" s="68">
        <f ca="1">VLOOKUP("DAenergy_bought"&amp;"S1"&amp;D$39&amp;Hypothèses!$D$17&amp;Hypothèses!$D$18,INDIRECT("'"&amp;Hypothèses!$D$42&amp;"'!$A:$I"),6,FALSE) * D44</f>
        <v>746.27386007619214</v>
      </c>
      <c r="E53" s="68" t="e">
        <f ca="1">VLOOKUP("DAenergy_bought"&amp;"S1"&amp;E$39&amp;Hypothèses!$D$17&amp;Hypothèses!$D$18,INDIRECT("'"&amp;Hypothèses!$D$42&amp;"'!$A:$I"),6,FALSE) * E44</f>
        <v>#N/A</v>
      </c>
      <c r="F53" s="68" t="e">
        <f ca="1">VLOOKUP("DAenergy_bought"&amp;"S1"&amp;F$39&amp;Hypothèses!$D$17&amp;Hypothèses!$D$18,INDIRECT("'"&amp;Hypothèses!$D$42&amp;"'!$A:$I"),6,FALSE) * F44</f>
        <v>#N/A</v>
      </c>
      <c r="G53" s="68" t="e">
        <f ca="1">VLOOKUP("DAenergy_bought"&amp;"S1"&amp;G$39&amp;Hypothèses!$D$17&amp;Hypothèses!$D$18,INDIRECT("'"&amp;Hypothèses!$D$42&amp;"'!$A:$I"),6,FALSE) * G44</f>
        <v>#N/A</v>
      </c>
      <c r="H53" s="68" t="e">
        <f ca="1">VLOOKUP("DAenergy_bought"&amp;"S1"&amp;H$39&amp;Hypothèses!$D$17&amp;Hypothèses!$D$18,INDIRECT("'"&amp;Hypothèses!$D$42&amp;"'!$A:$I"),6,FALSE) * H44</f>
        <v>#N/A</v>
      </c>
      <c r="I53" s="68" t="e">
        <f ca="1">VLOOKUP("DAenergy_bought"&amp;"S1"&amp;I$39&amp;Hypothèses!$D$17&amp;Hypothèses!$D$18,INDIRECT("'"&amp;Hypothèses!$D$42&amp;"'!$A:$I"),6,FALSE) * I44</f>
        <v>#N/A</v>
      </c>
      <c r="J53" s="68" t="e">
        <f ca="1">VLOOKUP("DAenergy_bought"&amp;"S1"&amp;J$39&amp;Hypothèses!$D$17&amp;Hypothèses!$D$18,INDIRECT("'"&amp;Hypothèses!$D$42&amp;"'!$A:$I"),6,FALSE) * J44</f>
        <v>#N/A</v>
      </c>
      <c r="K53" s="68" t="e">
        <f ca="1">VLOOKUP("DAenergy_bought"&amp;"S1"&amp;K$39&amp;Hypothèses!$D$17&amp;Hypothèses!$D$18,INDIRECT("'"&amp;Hypothèses!$D$42&amp;"'!$A:$I"),6,FALSE) * K44</f>
        <v>#N/A</v>
      </c>
      <c r="L53" s="68" t="e">
        <f ca="1">VLOOKUP("DAenergy_bought"&amp;"S1"&amp;L$39&amp;Hypothèses!$D$17&amp;Hypothèses!$D$18,INDIRECT("'"&amp;Hypothèses!$D$42&amp;"'!$A:$I"),6,FALSE) * L44</f>
        <v>#N/A</v>
      </c>
      <c r="M53" s="68" t="e">
        <f ca="1">VLOOKUP("DAenergy_bought"&amp;"S1"&amp;M$39&amp;Hypothèses!$D$17&amp;Hypothèses!$D$18,INDIRECT("'"&amp;Hypothèses!$D$42&amp;"'!$A:$I"),6,FALSE) * M44</f>
        <v>#N/A</v>
      </c>
      <c r="N53" s="68" t="e">
        <f ca="1">VLOOKUP("DAenergy_bought"&amp;"S1"&amp;N$39&amp;Hypothèses!$D$17&amp;Hypothèses!$D$18,INDIRECT("'"&amp;Hypothèses!$D$42&amp;"'!$A:$I"),6,FALSE) * N44</f>
        <v>#N/A</v>
      </c>
      <c r="O53" s="68" t="e">
        <f ca="1">VLOOKUP("DAenergy_bought"&amp;"S1"&amp;O$39&amp;Hypothèses!$D$17&amp;Hypothèses!$D$18,INDIRECT("'"&amp;Hypothèses!$D$42&amp;"'!$A:$I"),6,FALSE) * O44</f>
        <v>#N/A</v>
      </c>
      <c r="P53" s="68" t="e">
        <f ca="1">VLOOKUP("DAenergy_bought"&amp;"S1"&amp;P$39&amp;Hypothèses!$D$17&amp;Hypothèses!$D$18,INDIRECT("'"&amp;Hypothèses!$D$42&amp;"'!$A:$I"),6,FALSE) * P44</f>
        <v>#N/A</v>
      </c>
      <c r="Q53" s="68" t="e">
        <f ca="1">VLOOKUP("DAenergy_bought"&amp;"S1"&amp;Q$39&amp;Hypothèses!$D$17&amp;Hypothèses!$D$18,INDIRECT("'"&amp;Hypothèses!$D$42&amp;"'!$A:$I"),6,FALSE) * Q44</f>
        <v>#N/A</v>
      </c>
      <c r="R53" s="68" t="e">
        <f ca="1">VLOOKUP("DAenergy_bought"&amp;"S1"&amp;R$39&amp;Hypothèses!$D$17&amp;Hypothèses!$D$18,INDIRECT("'"&amp;Hypothèses!$D$42&amp;"'!$A:$I"),6,FALSE) * R44</f>
        <v>#N/A</v>
      </c>
      <c r="S53" s="68" t="e">
        <f ca="1">VLOOKUP("DAenergy_bought"&amp;"S1"&amp;S$39&amp;Hypothèses!$D$17&amp;Hypothèses!$D$18,INDIRECT("'"&amp;Hypothèses!$D$42&amp;"'!$A:$I"),6,FALSE) * S44</f>
        <v>#N/A</v>
      </c>
      <c r="T53" s="68" t="e">
        <f ca="1">VLOOKUP("DAenergy_bought"&amp;"S1"&amp;T$39&amp;Hypothèses!$D$17&amp;Hypothèses!$D$18,INDIRECT("'"&amp;Hypothèses!$D$42&amp;"'!$A:$I"),6,FALSE) * T44</f>
        <v>#N/A</v>
      </c>
      <c r="U53" s="68" t="e">
        <f ca="1">VLOOKUP("DAenergy_bought"&amp;"S1"&amp;U$39&amp;Hypothèses!$D$17&amp;Hypothèses!$D$18,INDIRECT("'"&amp;Hypothèses!$D$42&amp;"'!$A:$I"),6,FALSE) * U44</f>
        <v>#N/A</v>
      </c>
      <c r="V53" s="68" t="e">
        <f ca="1">VLOOKUP("DAenergy_bought"&amp;"S1"&amp;V$39&amp;Hypothèses!$D$17&amp;Hypothèses!$D$18,INDIRECT("'"&amp;Hypothèses!$D$42&amp;"'!$A:$I"),6,FALSE) * V44</f>
        <v>#N/A</v>
      </c>
      <c r="W53" s="68" t="e">
        <f ca="1">VLOOKUP("DAenergy_bought"&amp;"S1"&amp;W$39&amp;Hypothèses!$D$17&amp;Hypothèses!$D$18,INDIRECT("'"&amp;Hypothèses!$D$42&amp;"'!$A:$I"),6,FALSE) * W44</f>
        <v>#N/A</v>
      </c>
      <c r="X53" s="68" t="e">
        <f ca="1">VLOOKUP("DAenergy_bought"&amp;"S1"&amp;X$39&amp;Hypothèses!$D$17&amp;Hypothèses!$D$18,INDIRECT("'"&amp;Hypothèses!$D$42&amp;"'!$A:$I"),6,FALSE) * X44</f>
        <v>#N/A</v>
      </c>
      <c r="Y53" s="68" t="e">
        <f ca="1">VLOOKUP("DAenergy_bought"&amp;"S1"&amp;Y$39&amp;Hypothèses!$D$17&amp;Hypothèses!$D$18,INDIRECT("'"&amp;Hypothèses!$D$42&amp;"'!$A:$I"),6,FALSE) * Y44</f>
        <v>#N/A</v>
      </c>
      <c r="Z53" s="68" t="e">
        <f ca="1">VLOOKUP("DAenergy_bought"&amp;"S1"&amp;Z$39&amp;Hypothèses!$D$17&amp;Hypothèses!$D$18,INDIRECT("'"&amp;Hypothèses!$D$42&amp;"'!$A:$I"),6,FALSE) * Z44</f>
        <v>#N/A</v>
      </c>
      <c r="AA53" s="68" t="e">
        <f ca="1">VLOOKUP("DAenergy_bought"&amp;"S1"&amp;AA$39&amp;Hypothèses!$D$17&amp;Hypothèses!$D$18,INDIRECT("'"&amp;Hypothèses!$D$42&amp;"'!$A:$I"),6,FALSE) * AA44</f>
        <v>#N/A</v>
      </c>
      <c r="AB53" s="68" t="e">
        <f ca="1">VLOOKUP("DAenergy_bought"&amp;"S1"&amp;AB$39&amp;Hypothèses!$D$17&amp;Hypothèses!$D$18,INDIRECT("'"&amp;Hypothèses!$D$42&amp;"'!$A:$I"),6,FALSE) * AB44</f>
        <v>#N/A</v>
      </c>
      <c r="AC53" s="68" t="e">
        <f ca="1">VLOOKUP("DAenergy_bought"&amp;"S1"&amp;AC$39&amp;Hypothèses!$D$17&amp;Hypothèses!$D$18,INDIRECT("'"&amp;Hypothèses!$D$42&amp;"'!$A:$I"),6,FALSE) * AC44</f>
        <v>#N/A</v>
      </c>
      <c r="AD53" s="68" t="e">
        <f ca="1">VLOOKUP("DAenergy_bought"&amp;"S1"&amp;AD$39&amp;Hypothèses!$D$17&amp;Hypothèses!$D$18,INDIRECT("'"&amp;Hypothèses!$D$42&amp;"'!$A:$I"),6,FALSE) * AD44</f>
        <v>#N/A</v>
      </c>
      <c r="AE53" s="68" t="e">
        <f ca="1">VLOOKUP("DAenergy_bought"&amp;"S1"&amp;AE$39&amp;Hypothèses!$D$17&amp;Hypothèses!$D$18,INDIRECT("'"&amp;Hypothèses!$D$42&amp;"'!$A:$I"),6,FALSE) * AE44</f>
        <v>#N/A</v>
      </c>
      <c r="AF53" s="68" t="e">
        <f ca="1">VLOOKUP("DAenergy_bought"&amp;"S1"&amp;AF$39&amp;Hypothèses!$D$17&amp;Hypothèses!$D$18,INDIRECT("'"&amp;Hypothèses!$D$42&amp;"'!$A:$I"),6,FALSE) * AF44</f>
        <v>#N/A</v>
      </c>
      <c r="AG53" s="68" t="e">
        <f ca="1">VLOOKUP("DAenergy_bought"&amp;"S1"&amp;AG$39&amp;Hypothèses!$D$17&amp;Hypothèses!$D$18,INDIRECT("'"&amp;Hypothèses!$D$42&amp;"'!$A:$I"),6,FALSE) * AG44</f>
        <v>#N/A</v>
      </c>
    </row>
    <row r="54" spans="2:34" ht="14.5" x14ac:dyDescent="0.35">
      <c r="B54" s="26" t="s">
        <v>26</v>
      </c>
      <c r="C54" s="10"/>
      <c r="D54" s="68"/>
      <c r="E54" s="135" t="e">
        <f t="shared" ref="E54" ca="1" si="89">E53/D53-1</f>
        <v>#N/A</v>
      </c>
      <c r="F54" s="135" t="e">
        <f t="shared" ref="F54" ca="1" si="90">F53/E53-1</f>
        <v>#N/A</v>
      </c>
      <c r="G54" s="135" t="e">
        <f t="shared" ref="G54" ca="1" si="91">G53/F53-1</f>
        <v>#N/A</v>
      </c>
      <c r="H54" s="135" t="e">
        <f t="shared" ref="H54" ca="1" si="92">H53/G53-1</f>
        <v>#N/A</v>
      </c>
      <c r="I54" s="135" t="e">
        <f t="shared" ref="I54" ca="1" si="93">I53/H53-1</f>
        <v>#N/A</v>
      </c>
      <c r="J54" s="135" t="e">
        <f t="shared" ref="J54" ca="1" si="94">J53/I53-1</f>
        <v>#N/A</v>
      </c>
      <c r="K54" s="135" t="e">
        <f t="shared" ref="K54" ca="1" si="95">K53/J53-1</f>
        <v>#N/A</v>
      </c>
      <c r="L54" s="135" t="e">
        <f t="shared" ref="L54" ca="1" si="96">L53/K53-1</f>
        <v>#N/A</v>
      </c>
      <c r="M54" s="135" t="e">
        <f t="shared" ref="M54" ca="1" si="97">M53/L53-1</f>
        <v>#N/A</v>
      </c>
      <c r="N54" s="135" t="e">
        <f t="shared" ref="N54" ca="1" si="98">N53/M53-1</f>
        <v>#N/A</v>
      </c>
      <c r="O54" s="135" t="e">
        <f t="shared" ref="O54" ca="1" si="99">O53/N53-1</f>
        <v>#N/A</v>
      </c>
      <c r="P54" s="135" t="e">
        <f t="shared" ref="P54" ca="1" si="100">P53/O53-1</f>
        <v>#N/A</v>
      </c>
      <c r="Q54" s="135" t="e">
        <f t="shared" ref="Q54" ca="1" si="101">Q53/P53-1</f>
        <v>#N/A</v>
      </c>
      <c r="R54" s="135" t="e">
        <f t="shared" ref="R54" ca="1" si="102">R53/Q53-1</f>
        <v>#N/A</v>
      </c>
      <c r="S54" s="135" t="e">
        <f t="shared" ref="S54" ca="1" si="103">S53/R53-1</f>
        <v>#N/A</v>
      </c>
      <c r="T54" s="135" t="e">
        <f t="shared" ref="T54" ca="1" si="104">T53/S53-1</f>
        <v>#N/A</v>
      </c>
      <c r="U54" s="135" t="e">
        <f t="shared" ref="U54" ca="1" si="105">U53/T53-1</f>
        <v>#N/A</v>
      </c>
      <c r="V54" s="135" t="e">
        <f t="shared" ref="V54" ca="1" si="106">V53/U53-1</f>
        <v>#N/A</v>
      </c>
      <c r="W54" s="135" t="e">
        <f t="shared" ref="W54" ca="1" si="107">W53/V53-1</f>
        <v>#N/A</v>
      </c>
      <c r="X54" s="135" t="e">
        <f t="shared" ref="X54" ca="1" si="108">X53/W53-1</f>
        <v>#N/A</v>
      </c>
      <c r="Y54" s="135" t="e">
        <f t="shared" ref="Y54" ca="1" si="109">Y53/X53-1</f>
        <v>#N/A</v>
      </c>
      <c r="Z54" s="135" t="e">
        <f t="shared" ref="Z54" ca="1" si="110">Z53/Y53-1</f>
        <v>#N/A</v>
      </c>
      <c r="AA54" s="135" t="e">
        <f t="shared" ref="AA54" ca="1" si="111">AA53/Z53-1</f>
        <v>#N/A</v>
      </c>
      <c r="AB54" s="135" t="e">
        <f t="shared" ref="AB54" ca="1" si="112">AB53/AA53-1</f>
        <v>#N/A</v>
      </c>
      <c r="AC54" s="135" t="e">
        <f t="shared" ref="AC54" ca="1" si="113">AC53/AB53-1</f>
        <v>#N/A</v>
      </c>
      <c r="AD54" s="135" t="e">
        <f t="shared" ref="AD54" ca="1" si="114">AD53/AC53-1</f>
        <v>#N/A</v>
      </c>
      <c r="AE54" s="135" t="e">
        <f t="shared" ref="AE54" ca="1" si="115">AE53/AD53-1</f>
        <v>#N/A</v>
      </c>
      <c r="AF54" s="135" t="e">
        <f t="shared" ref="AF54" ca="1" si="116">AF53/AE53-1</f>
        <v>#N/A</v>
      </c>
      <c r="AG54" s="135" t="e">
        <f t="shared" ref="AG54" ca="1" si="117">AG53/AF53-1</f>
        <v>#N/A</v>
      </c>
    </row>
    <row r="55" spans="2:34" ht="14.5" x14ac:dyDescent="0.35">
      <c r="B55" s="26" t="s">
        <v>120</v>
      </c>
      <c r="C55" s="10"/>
      <c r="D55" s="68">
        <f ca="1">VLOOKUP("Dahours_bought"&amp;"S1"&amp;D$39&amp;Hypothèses!$D$17&amp;Hypothèses!$D$18,INDIRECT("'"&amp;Hypothèses!$D$42&amp;"'!$A:$I"),6,FALSE) * D44</f>
        <v>4567</v>
      </c>
      <c r="E55" s="68" t="e">
        <f ca="1">VLOOKUP("Dahours_bought"&amp;"S1"&amp;E$39&amp;Hypothèses!$D$17&amp;Hypothèses!$D$18,INDIRECT("'"&amp;Hypothèses!$D$42&amp;"'!$A:$I"),6,FALSE) * E44</f>
        <v>#N/A</v>
      </c>
      <c r="F55" s="68" t="e">
        <f ca="1">VLOOKUP("Dahours_bought"&amp;"S1"&amp;F$39&amp;Hypothèses!$D$17&amp;Hypothèses!$D$18,INDIRECT("'"&amp;Hypothèses!$D$42&amp;"'!$A:$I"),6,FALSE) * F44</f>
        <v>#N/A</v>
      </c>
      <c r="G55" s="68" t="e">
        <f ca="1">VLOOKUP("Dahours_bought"&amp;"S1"&amp;G$39&amp;Hypothèses!$D$17&amp;Hypothèses!$D$18,INDIRECT("'"&amp;Hypothèses!$D$42&amp;"'!$A:$I"),6,FALSE) * G44</f>
        <v>#N/A</v>
      </c>
      <c r="H55" s="68" t="e">
        <f ca="1">VLOOKUP("Dahours_bought"&amp;"S1"&amp;H$39&amp;Hypothèses!$D$17&amp;Hypothèses!$D$18,INDIRECT("'"&amp;Hypothèses!$D$42&amp;"'!$A:$I"),6,FALSE) * H44</f>
        <v>#N/A</v>
      </c>
      <c r="I55" s="68" t="e">
        <f ca="1">VLOOKUP("Dahours_bought"&amp;"S1"&amp;I$39&amp;Hypothèses!$D$17&amp;Hypothèses!$D$18,INDIRECT("'"&amp;Hypothèses!$D$42&amp;"'!$A:$I"),6,FALSE) * I44</f>
        <v>#N/A</v>
      </c>
      <c r="J55" s="68" t="e">
        <f ca="1">VLOOKUP("Dahours_bought"&amp;"S1"&amp;J$39&amp;Hypothèses!$D$17&amp;Hypothèses!$D$18,INDIRECT("'"&amp;Hypothèses!$D$42&amp;"'!$A:$I"),6,FALSE) * J44</f>
        <v>#N/A</v>
      </c>
      <c r="K55" s="68" t="e">
        <f ca="1">VLOOKUP("Dahours_bought"&amp;"S1"&amp;K$39&amp;Hypothèses!$D$17&amp;Hypothèses!$D$18,INDIRECT("'"&amp;Hypothèses!$D$42&amp;"'!$A:$I"),6,FALSE) * K44</f>
        <v>#N/A</v>
      </c>
      <c r="L55" s="68" t="e">
        <f ca="1">VLOOKUP("Dahours_bought"&amp;"S1"&amp;L$39&amp;Hypothèses!$D$17&amp;Hypothèses!$D$18,INDIRECT("'"&amp;Hypothèses!$D$42&amp;"'!$A:$I"),6,FALSE) * L44</f>
        <v>#N/A</v>
      </c>
      <c r="M55" s="68" t="e">
        <f ca="1">VLOOKUP("Dahours_bought"&amp;"S1"&amp;M$39&amp;Hypothèses!$D$17&amp;Hypothèses!$D$18,INDIRECT("'"&amp;Hypothèses!$D$42&amp;"'!$A:$I"),6,FALSE) * M44</f>
        <v>#N/A</v>
      </c>
      <c r="N55" s="68" t="e">
        <f ca="1">VLOOKUP("Dahours_bought"&amp;"S1"&amp;N$39&amp;Hypothèses!$D$17&amp;Hypothèses!$D$18,INDIRECT("'"&amp;Hypothèses!$D$42&amp;"'!$A:$I"),6,FALSE) * N44</f>
        <v>#N/A</v>
      </c>
      <c r="O55" s="68" t="e">
        <f ca="1">VLOOKUP("Dahours_bought"&amp;"S1"&amp;O$39&amp;Hypothèses!$D$17&amp;Hypothèses!$D$18,INDIRECT("'"&amp;Hypothèses!$D$42&amp;"'!$A:$I"),6,FALSE) * O44</f>
        <v>#N/A</v>
      </c>
      <c r="P55" s="68" t="e">
        <f ca="1">VLOOKUP("Dahours_bought"&amp;"S1"&amp;P$39&amp;Hypothèses!$D$17&amp;Hypothèses!$D$18,INDIRECT("'"&amp;Hypothèses!$D$42&amp;"'!$A:$I"),6,FALSE) * P44</f>
        <v>#N/A</v>
      </c>
      <c r="Q55" s="68" t="e">
        <f ca="1">VLOOKUP("Dahours_bought"&amp;"S1"&amp;Q$39&amp;Hypothèses!$D$17&amp;Hypothèses!$D$18,INDIRECT("'"&amp;Hypothèses!$D$42&amp;"'!$A:$I"),6,FALSE) * Q44</f>
        <v>#N/A</v>
      </c>
      <c r="R55" s="68" t="e">
        <f ca="1">VLOOKUP("Dahours_bought"&amp;"S1"&amp;R$39&amp;Hypothèses!$D$17&amp;Hypothèses!$D$18,INDIRECT("'"&amp;Hypothèses!$D$42&amp;"'!$A:$I"),6,FALSE) * R44</f>
        <v>#N/A</v>
      </c>
      <c r="S55" s="68" t="e">
        <f ca="1">VLOOKUP("Dahours_bought"&amp;"S1"&amp;S$39&amp;Hypothèses!$D$17&amp;Hypothèses!$D$18,INDIRECT("'"&amp;Hypothèses!$D$42&amp;"'!$A:$I"),6,FALSE) * S44</f>
        <v>#N/A</v>
      </c>
      <c r="T55" s="68" t="e">
        <f ca="1">VLOOKUP("Dahours_bought"&amp;"S1"&amp;T$39&amp;Hypothèses!$D$17&amp;Hypothèses!$D$18,INDIRECT("'"&amp;Hypothèses!$D$42&amp;"'!$A:$I"),6,FALSE) * T44</f>
        <v>#N/A</v>
      </c>
      <c r="U55" s="68" t="e">
        <f ca="1">VLOOKUP("Dahours_bought"&amp;"S1"&amp;U$39&amp;Hypothèses!$D$17&amp;Hypothèses!$D$18,INDIRECT("'"&amp;Hypothèses!$D$42&amp;"'!$A:$I"),6,FALSE) * U44</f>
        <v>#N/A</v>
      </c>
      <c r="V55" s="68" t="e">
        <f ca="1">VLOOKUP("Dahours_bought"&amp;"S1"&amp;V$39&amp;Hypothèses!$D$17&amp;Hypothèses!$D$18,INDIRECT("'"&amp;Hypothèses!$D$42&amp;"'!$A:$I"),6,FALSE) * V44</f>
        <v>#N/A</v>
      </c>
      <c r="W55" s="68" t="e">
        <f ca="1">VLOOKUP("Dahours_bought"&amp;"S1"&amp;W$39&amp;Hypothèses!$D$17&amp;Hypothèses!$D$18,INDIRECT("'"&amp;Hypothèses!$D$42&amp;"'!$A:$I"),6,FALSE) * W44</f>
        <v>#N/A</v>
      </c>
      <c r="X55" s="68" t="e">
        <f ca="1">VLOOKUP("Dahours_bought"&amp;"S1"&amp;X$39&amp;Hypothèses!$D$17&amp;Hypothèses!$D$18,INDIRECT("'"&amp;Hypothèses!$D$42&amp;"'!$A:$I"),6,FALSE) * X44</f>
        <v>#N/A</v>
      </c>
      <c r="Y55" s="68" t="e">
        <f ca="1">VLOOKUP("Dahours_bought"&amp;"S1"&amp;Y$39&amp;Hypothèses!$D$17&amp;Hypothèses!$D$18,INDIRECT("'"&amp;Hypothèses!$D$42&amp;"'!$A:$I"),6,FALSE) * Y44</f>
        <v>#N/A</v>
      </c>
      <c r="Z55" s="68" t="e">
        <f ca="1">VLOOKUP("Dahours_bought"&amp;"S1"&amp;Z$39&amp;Hypothèses!$D$17&amp;Hypothèses!$D$18,INDIRECT("'"&amp;Hypothèses!$D$42&amp;"'!$A:$I"),6,FALSE) * Z44</f>
        <v>#N/A</v>
      </c>
      <c r="AA55" s="68" t="e">
        <f ca="1">VLOOKUP("Dahours_bought"&amp;"S1"&amp;AA$39&amp;Hypothèses!$D$17&amp;Hypothèses!$D$18,INDIRECT("'"&amp;Hypothèses!$D$42&amp;"'!$A:$I"),6,FALSE) * AA44</f>
        <v>#N/A</v>
      </c>
      <c r="AB55" s="68" t="e">
        <f ca="1">VLOOKUP("Dahours_bought"&amp;"S1"&amp;AB$39&amp;Hypothèses!$D$17&amp;Hypothèses!$D$18,INDIRECT("'"&amp;Hypothèses!$D$42&amp;"'!$A:$I"),6,FALSE) * AB44</f>
        <v>#N/A</v>
      </c>
      <c r="AC55" s="68" t="e">
        <f ca="1">VLOOKUP("Dahours_bought"&amp;"S1"&amp;AC$39&amp;Hypothèses!$D$17&amp;Hypothèses!$D$18,INDIRECT("'"&amp;Hypothèses!$D$42&amp;"'!$A:$I"),6,FALSE) * AC44</f>
        <v>#N/A</v>
      </c>
      <c r="AD55" s="68" t="e">
        <f ca="1">VLOOKUP("Dahours_bought"&amp;"S1"&amp;AD$39&amp;Hypothèses!$D$17&amp;Hypothèses!$D$18,INDIRECT("'"&amp;Hypothèses!$D$42&amp;"'!$A:$I"),6,FALSE) * AD44</f>
        <v>#N/A</v>
      </c>
      <c r="AE55" s="68" t="e">
        <f ca="1">VLOOKUP("Dahours_bought"&amp;"S1"&amp;AE$39&amp;Hypothèses!$D$17&amp;Hypothèses!$D$18,INDIRECT("'"&amp;Hypothèses!$D$42&amp;"'!$A:$I"),6,FALSE) * AE44</f>
        <v>#N/A</v>
      </c>
      <c r="AF55" s="68" t="e">
        <f ca="1">VLOOKUP("Dahours_bought"&amp;"S1"&amp;AF$39&amp;Hypothèses!$D$17&amp;Hypothèses!$D$18,INDIRECT("'"&amp;Hypothèses!$D$42&amp;"'!$A:$I"),6,FALSE) * AF44</f>
        <v>#N/A</v>
      </c>
      <c r="AG55" s="68" t="e">
        <f ca="1">VLOOKUP("Dahours_bought"&amp;"S1"&amp;AG$39&amp;Hypothèses!$D$17&amp;Hypothèses!$D$18,INDIRECT("'"&amp;Hypothèses!$D$42&amp;"'!$A:$I"),6,FALSE) * AG44</f>
        <v>#N/A</v>
      </c>
    </row>
    <row r="56" spans="2:34" s="82" customFormat="1" hidden="1" outlineLevel="1" x14ac:dyDescent="0.3">
      <c r="B56" s="83" t="s">
        <v>128</v>
      </c>
    </row>
    <row r="57" spans="2:34" hidden="1" outlineLevel="1" x14ac:dyDescent="0.3">
      <c r="B57" s="77" t="s">
        <v>129</v>
      </c>
      <c r="C57" s="77"/>
      <c r="D57" s="71">
        <f ca="1">IF(Hypothèses!$D$39=1,VLOOKUP("IDincome"&amp;"S1"&amp;D$39&amp;Hypothèses!$D$17&amp;Hypothèses!$D$18,INDIRECT("'"&amp;Hypothèses!$D$42&amp;"'!$A:$I"),6,FALSE)*(1+$C$37)^C43 * D44,0)</f>
        <v>0</v>
      </c>
      <c r="E57" s="71">
        <f ca="1">IF(Hypothèses!$D$39=1,VLOOKUP("IDincome"&amp;"S1"&amp;E$39&amp;Hypothèses!$D$17&amp;Hypothèses!$D$18,INDIRECT("'"&amp;Hypothèses!$D$42&amp;"'!$A:$I"),6,FALSE)*(1+$C$37)^D43 * E44,0)</f>
        <v>0</v>
      </c>
      <c r="F57" s="71">
        <f ca="1">IF(Hypothèses!$D$39=1,VLOOKUP("IDincome"&amp;"S1"&amp;F$39&amp;Hypothèses!$D$17&amp;Hypothèses!$D$18,INDIRECT("'"&amp;Hypothèses!$D$42&amp;"'!$A:$I"),6,FALSE)*(1+$C$37)^E43 * F44,0)</f>
        <v>0</v>
      </c>
      <c r="G57" s="71">
        <f ca="1">IF(Hypothèses!$D$39=1,VLOOKUP("IDincome"&amp;"S1"&amp;G$39&amp;Hypothèses!$D$17&amp;Hypothèses!$D$18,INDIRECT("'"&amp;Hypothèses!$D$42&amp;"'!$A:$I"),6,FALSE)*(1+$C$37)^F43 * G44,0)</f>
        <v>0</v>
      </c>
      <c r="H57" s="71">
        <f ca="1">IF(Hypothèses!$D$39=1,VLOOKUP("IDincome"&amp;"S1"&amp;H$39&amp;Hypothèses!$D$17&amp;Hypothèses!$D$18,INDIRECT("'"&amp;Hypothèses!$D$42&amp;"'!$A:$I"),6,FALSE)*(1+$C$37)^G43 * H44,0)</f>
        <v>0</v>
      </c>
      <c r="I57" s="71">
        <f ca="1">IF(Hypothèses!$D$39=1,VLOOKUP("IDincome"&amp;"S1"&amp;I$39&amp;Hypothèses!$D$17&amp;Hypothèses!$D$18,INDIRECT("'"&amp;Hypothèses!$D$42&amp;"'!$A:$I"),6,FALSE)*(1+$C$37)^H43 * I44,0)</f>
        <v>0</v>
      </c>
      <c r="J57" s="71">
        <f ca="1">IF(Hypothèses!$D$39=1,VLOOKUP("IDincome"&amp;"S1"&amp;J$39&amp;Hypothèses!$D$17&amp;Hypothèses!$D$18,INDIRECT("'"&amp;Hypothèses!$D$42&amp;"'!$A:$I"),6,FALSE)*(1+$C$37)^I43 * J44,0)</f>
        <v>0</v>
      </c>
      <c r="K57" s="71">
        <f ca="1">IF(Hypothèses!$D$39=1,VLOOKUP("IDincome"&amp;"S1"&amp;K$39&amp;Hypothèses!$D$17&amp;Hypothèses!$D$18,INDIRECT("'"&amp;Hypothèses!$D$42&amp;"'!$A:$I"),6,FALSE)*(1+$C$37)^J43 * K44,0)</f>
        <v>0</v>
      </c>
      <c r="L57" s="71">
        <f ca="1">IF(Hypothèses!$D$39=1,VLOOKUP("IDincome"&amp;"S1"&amp;L$39&amp;Hypothèses!$D$17&amp;Hypothèses!$D$18,INDIRECT("'"&amp;Hypothèses!$D$42&amp;"'!$A:$I"),6,FALSE)*(1+$C$37)^K43 * L44,0)</f>
        <v>0</v>
      </c>
      <c r="M57" s="71">
        <f ca="1">IF(Hypothèses!$D$39=1,VLOOKUP("IDincome"&amp;"S1"&amp;M$39&amp;Hypothèses!$D$17&amp;Hypothèses!$D$18,INDIRECT("'"&amp;Hypothèses!$D$42&amp;"'!$A:$I"),6,FALSE)*(1+$C$37)^L43 * M44,0)</f>
        <v>0</v>
      </c>
      <c r="N57" s="71">
        <f ca="1">IF(Hypothèses!$D$39=1,VLOOKUP("IDincome"&amp;"S1"&amp;N$39&amp;Hypothèses!$D$17&amp;Hypothèses!$D$18,INDIRECT("'"&amp;Hypothèses!$D$42&amp;"'!$A:$I"),6,FALSE)*(1+$C$37)^M43 * N44,0)</f>
        <v>0</v>
      </c>
      <c r="O57" s="71">
        <f ca="1">IF(Hypothèses!$D$39=1,VLOOKUP("IDincome"&amp;"S1"&amp;O$39&amp;Hypothèses!$D$17&amp;Hypothèses!$D$18,INDIRECT("'"&amp;Hypothèses!$D$42&amp;"'!$A:$I"),6,FALSE)*(1+$C$37)^N43 * O44,0)</f>
        <v>0</v>
      </c>
      <c r="P57" s="71">
        <f ca="1">IF(Hypothèses!$D$39=1,VLOOKUP("IDincome"&amp;"S1"&amp;P$39&amp;Hypothèses!$D$17&amp;Hypothèses!$D$18,INDIRECT("'"&amp;Hypothèses!$D$42&amp;"'!$A:$I"),6,FALSE)*(1+$C$37)^O43 * P44,0)</f>
        <v>0</v>
      </c>
      <c r="Q57" s="71">
        <f ca="1">IF(Hypothèses!$D$39=1,VLOOKUP("IDincome"&amp;"S1"&amp;Q$39&amp;Hypothèses!$D$17&amp;Hypothèses!$D$18,INDIRECT("'"&amp;Hypothèses!$D$42&amp;"'!$A:$I"),6,FALSE)*(1+$C$37)^P43 * Q44,0)</f>
        <v>0</v>
      </c>
      <c r="R57" s="71">
        <f ca="1">IF(Hypothèses!$D$39=1,VLOOKUP("IDincome"&amp;"S1"&amp;R$39&amp;Hypothèses!$D$17&amp;Hypothèses!$D$18,INDIRECT("'"&amp;Hypothèses!$D$42&amp;"'!$A:$I"),6,FALSE)*(1+$C$37)^Q43 * R44,0)</f>
        <v>0</v>
      </c>
      <c r="S57" s="71">
        <f ca="1">IF(Hypothèses!$D$39=1,VLOOKUP("IDincome"&amp;"S1"&amp;S$39&amp;Hypothèses!$D$17&amp;Hypothèses!$D$18,INDIRECT("'"&amp;Hypothèses!$D$42&amp;"'!$A:$I"),6,FALSE)*(1+$C$37)^R43 * S44,0)</f>
        <v>0</v>
      </c>
      <c r="T57" s="71">
        <f ca="1">IF(Hypothèses!$D$39=1,VLOOKUP("IDincome"&amp;"S1"&amp;T$39&amp;Hypothèses!$D$17&amp;Hypothèses!$D$18,INDIRECT("'"&amp;Hypothèses!$D$42&amp;"'!$A:$I"),6,FALSE)*(1+$C$37)^S43 * T44,0)</f>
        <v>0</v>
      </c>
      <c r="U57" s="71">
        <f ca="1">IF(Hypothèses!$D$39=1,VLOOKUP("IDincome"&amp;"S1"&amp;U$39&amp;Hypothèses!$D$17&amp;Hypothèses!$D$18,INDIRECT("'"&amp;Hypothèses!$D$42&amp;"'!$A:$I"),6,FALSE)*(1+$C$37)^T43 * U44,0)</f>
        <v>0</v>
      </c>
      <c r="V57" s="71">
        <f ca="1">IF(Hypothèses!$D$39=1,VLOOKUP("IDincome"&amp;"S1"&amp;V$39&amp;Hypothèses!$D$17&amp;Hypothèses!$D$18,INDIRECT("'"&amp;Hypothèses!$D$42&amp;"'!$A:$I"),6,FALSE)*(1+$C$37)^U43 * V44,0)</f>
        <v>0</v>
      </c>
      <c r="W57" s="71">
        <f ca="1">IF(Hypothèses!$D$39=1,VLOOKUP("IDincome"&amp;"S1"&amp;W$39&amp;Hypothèses!$D$17&amp;Hypothèses!$D$18,INDIRECT("'"&amp;Hypothèses!$D$42&amp;"'!$A:$I"),6,FALSE)*(1+$C$37)^V43 * W44,0)</f>
        <v>0</v>
      </c>
      <c r="X57" s="71">
        <f ca="1">IF(Hypothèses!$D$39=1,VLOOKUP("IDincome"&amp;"S1"&amp;X$39&amp;Hypothèses!$D$17&amp;Hypothèses!$D$18,INDIRECT("'"&amp;Hypothèses!$D$42&amp;"'!$A:$I"),6,FALSE)*(1+$C$37)^W43 * X44,0)</f>
        <v>0</v>
      </c>
      <c r="Y57" s="71">
        <f ca="1">IF(Hypothèses!$D$39=1,VLOOKUP("IDincome"&amp;"S1"&amp;Y$39&amp;Hypothèses!$D$17&amp;Hypothèses!$D$18,INDIRECT("'"&amp;Hypothèses!$D$42&amp;"'!$A:$I"),6,FALSE)*(1+$C$37)^X43 * Y44,0)</f>
        <v>0</v>
      </c>
      <c r="Z57" s="71">
        <f ca="1">IF(Hypothèses!$D$39=1,VLOOKUP("IDincome"&amp;"S1"&amp;Z$39&amp;Hypothèses!$D$17&amp;Hypothèses!$D$18,INDIRECT("'"&amp;Hypothèses!$D$42&amp;"'!$A:$I"),6,FALSE)*(1+$C$37)^Y43 * Z44,0)</f>
        <v>0</v>
      </c>
      <c r="AA57" s="71">
        <f ca="1">IF(Hypothèses!$D$39=1,VLOOKUP("IDincome"&amp;"S1"&amp;AA$39&amp;Hypothèses!$D$17&amp;Hypothèses!$D$18,INDIRECT("'"&amp;Hypothèses!$D$42&amp;"'!$A:$I"),6,FALSE)*(1+$C$37)^Z43 * AA44,0)</f>
        <v>0</v>
      </c>
      <c r="AB57" s="71">
        <f ca="1">IF(Hypothèses!$D$39=1,VLOOKUP("IDincome"&amp;"S1"&amp;AB$39&amp;Hypothèses!$D$17&amp;Hypothèses!$D$18,INDIRECT("'"&amp;Hypothèses!$D$42&amp;"'!$A:$I"),6,FALSE)*(1+$C$37)^AA43 * AB44,0)</f>
        <v>0</v>
      </c>
      <c r="AC57" s="71">
        <f ca="1">IF(Hypothèses!$D$39=1,VLOOKUP("IDincome"&amp;"S1"&amp;AC$39&amp;Hypothèses!$D$17&amp;Hypothèses!$D$18,INDIRECT("'"&amp;Hypothèses!$D$42&amp;"'!$A:$I"),6,FALSE)*(1+$C$37)^AB43 * AC44,0)</f>
        <v>0</v>
      </c>
      <c r="AD57" s="71">
        <f ca="1">IF(Hypothèses!$D$39=1,VLOOKUP("IDincome"&amp;"S1"&amp;AD$39&amp;Hypothèses!$D$17&amp;Hypothèses!$D$18,INDIRECT("'"&amp;Hypothèses!$D$42&amp;"'!$A:$I"),6,FALSE)*(1+$C$37)^AC43 * AD44,0)</f>
        <v>0</v>
      </c>
      <c r="AE57" s="71">
        <f ca="1">IF(Hypothèses!$D$39=1,VLOOKUP("IDincome"&amp;"S1"&amp;AE$39&amp;Hypothèses!$D$17&amp;Hypothèses!$D$18,INDIRECT("'"&amp;Hypothèses!$D$42&amp;"'!$A:$I"),6,FALSE)*(1+$C$37)^AD43 * AE44,0)</f>
        <v>0</v>
      </c>
      <c r="AF57" s="71">
        <f ca="1">IF(Hypothèses!$D$39=1,VLOOKUP("IDincome"&amp;"S1"&amp;AF$39&amp;Hypothèses!$D$17&amp;Hypothèses!$D$18,INDIRECT("'"&amp;Hypothèses!$D$42&amp;"'!$A:$I"),6,FALSE)*(1+$C$37)^AE43 * AF44,0)</f>
        <v>0</v>
      </c>
      <c r="AG57" s="71">
        <f ca="1">IF(Hypothèses!$D$39=1,VLOOKUP("IDincome"&amp;"S1"&amp;AG$39&amp;Hypothèses!$D$17&amp;Hypothèses!$D$18,INDIRECT("'"&amp;Hypothèses!$D$42&amp;"'!$A:$I"),6,FALSE)*(1+$C$37)^AF43 * AG44,0)</f>
        <v>0</v>
      </c>
      <c r="AH57" s="74"/>
    </row>
    <row r="58" spans="2:34" ht="14.5" hidden="1" outlineLevel="1" x14ac:dyDescent="0.35">
      <c r="B58" s="84" t="s">
        <v>26</v>
      </c>
      <c r="C58" s="77"/>
      <c r="D58" s="135"/>
      <c r="E58" s="135" t="e">
        <f t="shared" ref="E58" ca="1" si="118">E57/D57-1</f>
        <v>#DIV/0!</v>
      </c>
      <c r="F58" s="135" t="e">
        <f t="shared" ref="F58" ca="1" si="119">F57/E57-1</f>
        <v>#DIV/0!</v>
      </c>
      <c r="G58" s="135" t="e">
        <f t="shared" ref="G58" ca="1" si="120">G57/F57-1</f>
        <v>#DIV/0!</v>
      </c>
      <c r="H58" s="135" t="e">
        <f t="shared" ref="H58" ca="1" si="121">H57/G57-1</f>
        <v>#DIV/0!</v>
      </c>
      <c r="I58" s="135" t="e">
        <f t="shared" ref="I58" ca="1" si="122">I57/H57-1</f>
        <v>#DIV/0!</v>
      </c>
      <c r="J58" s="135" t="e">
        <f t="shared" ref="J58" ca="1" si="123">J57/I57-1</f>
        <v>#DIV/0!</v>
      </c>
      <c r="K58" s="135" t="e">
        <f t="shared" ref="K58" ca="1" si="124">K57/J57-1</f>
        <v>#DIV/0!</v>
      </c>
      <c r="L58" s="135" t="e">
        <f t="shared" ref="L58" ca="1" si="125">L57/K57-1</f>
        <v>#DIV/0!</v>
      </c>
      <c r="M58" s="135" t="e">
        <f t="shared" ref="M58" ca="1" si="126">M57/L57-1</f>
        <v>#DIV/0!</v>
      </c>
      <c r="N58" s="135" t="e">
        <f t="shared" ref="N58" ca="1" si="127">N57/M57-1</f>
        <v>#DIV/0!</v>
      </c>
      <c r="O58" s="135" t="e">
        <f t="shared" ref="O58" ca="1" si="128">O57/N57-1</f>
        <v>#DIV/0!</v>
      </c>
      <c r="P58" s="135" t="e">
        <f t="shared" ref="P58" ca="1" si="129">P57/O57-1</f>
        <v>#DIV/0!</v>
      </c>
      <c r="Q58" s="135" t="e">
        <f t="shared" ref="Q58" ca="1" si="130">Q57/P57-1</f>
        <v>#DIV/0!</v>
      </c>
      <c r="R58" s="135" t="e">
        <f t="shared" ref="R58" ca="1" si="131">R57/Q57-1</f>
        <v>#DIV/0!</v>
      </c>
      <c r="S58" s="135" t="e">
        <f t="shared" ref="S58" ca="1" si="132">S57/R57-1</f>
        <v>#DIV/0!</v>
      </c>
      <c r="T58" s="135" t="e">
        <f t="shared" ref="T58" ca="1" si="133">T57/S57-1</f>
        <v>#DIV/0!</v>
      </c>
      <c r="U58" s="135" t="e">
        <f t="shared" ref="U58" ca="1" si="134">U57/T57-1</f>
        <v>#DIV/0!</v>
      </c>
      <c r="V58" s="135" t="e">
        <f t="shared" ref="V58" ca="1" si="135">V57/U57-1</f>
        <v>#DIV/0!</v>
      </c>
      <c r="W58" s="135" t="e">
        <f t="shared" ref="W58" ca="1" si="136">W57/V57-1</f>
        <v>#DIV/0!</v>
      </c>
      <c r="X58" s="135" t="e">
        <f t="shared" ref="X58" ca="1" si="137">X57/W57-1</f>
        <v>#DIV/0!</v>
      </c>
      <c r="Y58" s="135" t="e">
        <f t="shared" ref="Y58" ca="1" si="138">Y57/X57-1</f>
        <v>#DIV/0!</v>
      </c>
      <c r="Z58" s="135" t="e">
        <f t="shared" ref="Z58" ca="1" si="139">Z57/Y57-1</f>
        <v>#DIV/0!</v>
      </c>
      <c r="AA58" s="135" t="e">
        <f t="shared" ref="AA58" ca="1" si="140">AA57/Z57-1</f>
        <v>#DIV/0!</v>
      </c>
      <c r="AB58" s="135" t="e">
        <f t="shared" ref="AB58" ca="1" si="141">AB57/AA57-1</f>
        <v>#DIV/0!</v>
      </c>
      <c r="AC58" s="135" t="e">
        <f t="shared" ref="AC58" ca="1" si="142">AC57/AB57-1</f>
        <v>#DIV/0!</v>
      </c>
      <c r="AD58" s="135" t="e">
        <f t="shared" ref="AD58" ca="1" si="143">AD57/AC57-1</f>
        <v>#DIV/0!</v>
      </c>
      <c r="AE58" s="135" t="e">
        <f t="shared" ref="AE58" ca="1" si="144">AE57/AD57-1</f>
        <v>#DIV/0!</v>
      </c>
      <c r="AF58" s="135" t="e">
        <f t="shared" ref="AF58" ca="1" si="145">AF57/AE57-1</f>
        <v>#DIV/0!</v>
      </c>
      <c r="AG58" s="135" t="e">
        <f t="shared" ref="AG58" ca="1" si="146">AG57/AF57-1</f>
        <v>#DIV/0!</v>
      </c>
      <c r="AH58" s="74"/>
    </row>
    <row r="59" spans="2:34" hidden="1" outlineLevel="1" x14ac:dyDescent="0.3">
      <c r="B59" s="77" t="s">
        <v>130</v>
      </c>
      <c r="C59" s="77"/>
      <c r="D59" s="68">
        <f ca="1">IF(Hypothèses!$D$39=1,VLOOKUP("IDenergy_sold"&amp;"S1"&amp;D$39&amp;Hypothèses!$D$17&amp;Hypothèses!$D$18,INDIRECT("'"&amp;Hypothèses!$D$42&amp;"'!$A:$I"),6,FALSE) * D44,0)</f>
        <v>0</v>
      </c>
      <c r="E59" s="68">
        <f ca="1">IF(Hypothèses!$D$39=1,VLOOKUP("IDenergy_sold"&amp;"S1"&amp;E$39&amp;Hypothèses!$D$17&amp;Hypothèses!$D$18,INDIRECT("'"&amp;Hypothèses!$D$42&amp;"'!$A:$I"),6,FALSE) * E44,0)</f>
        <v>0</v>
      </c>
      <c r="F59" s="68">
        <f ca="1">IF(Hypothèses!$D$39=1,VLOOKUP("IDenergy_sold"&amp;"S1"&amp;F$39&amp;Hypothèses!$D$17&amp;Hypothèses!$D$18,INDIRECT("'"&amp;Hypothèses!$D$42&amp;"'!$A:$I"),6,FALSE) * F44,0)</f>
        <v>0</v>
      </c>
      <c r="G59" s="68">
        <f ca="1">IF(Hypothèses!$D$39=1,VLOOKUP("IDenergy_sold"&amp;"S1"&amp;G$39&amp;Hypothèses!$D$17&amp;Hypothèses!$D$18,INDIRECT("'"&amp;Hypothèses!$D$42&amp;"'!$A:$I"),6,FALSE) * G44,0)</f>
        <v>0</v>
      </c>
      <c r="H59" s="68">
        <f ca="1">IF(Hypothèses!$D$39=1,VLOOKUP("IDenergy_sold"&amp;"S1"&amp;H$39&amp;Hypothèses!$D$17&amp;Hypothèses!$D$18,INDIRECT("'"&amp;Hypothèses!$D$42&amp;"'!$A:$I"),6,FALSE) * H44,0)</f>
        <v>0</v>
      </c>
      <c r="I59" s="68">
        <f ca="1">IF(Hypothèses!$D$39=1,VLOOKUP("IDenergy_sold"&amp;"S1"&amp;I$39&amp;Hypothèses!$D$17&amp;Hypothèses!$D$18,INDIRECT("'"&amp;Hypothèses!$D$42&amp;"'!$A:$I"),6,FALSE) * I44,0)</f>
        <v>0</v>
      </c>
      <c r="J59" s="68">
        <f ca="1">IF(Hypothèses!$D$39=1,VLOOKUP("IDenergy_sold"&amp;"S1"&amp;J$39&amp;Hypothèses!$D$17&amp;Hypothèses!$D$18,INDIRECT("'"&amp;Hypothèses!$D$42&amp;"'!$A:$I"),6,FALSE) * J44,0)</f>
        <v>0</v>
      </c>
      <c r="K59" s="68">
        <f ca="1">IF(Hypothèses!$D$39=1,VLOOKUP("IDenergy_sold"&amp;"S1"&amp;K$39&amp;Hypothèses!$D$17&amp;Hypothèses!$D$18,INDIRECT("'"&amp;Hypothèses!$D$42&amp;"'!$A:$I"),6,FALSE) * K44,0)</f>
        <v>0</v>
      </c>
      <c r="L59" s="68">
        <f ca="1">IF(Hypothèses!$D$39=1,VLOOKUP("IDenergy_sold"&amp;"S1"&amp;L$39&amp;Hypothèses!$D$17&amp;Hypothèses!$D$18,INDIRECT("'"&amp;Hypothèses!$D$42&amp;"'!$A:$I"),6,FALSE) * L44,0)</f>
        <v>0</v>
      </c>
      <c r="M59" s="68">
        <f ca="1">IF(Hypothèses!$D$39=1,VLOOKUP("IDenergy_sold"&amp;"S1"&amp;M$39&amp;Hypothèses!$D$17&amp;Hypothèses!$D$18,INDIRECT("'"&amp;Hypothèses!$D$42&amp;"'!$A:$I"),6,FALSE) * M44,0)</f>
        <v>0</v>
      </c>
      <c r="N59" s="68">
        <f ca="1">IF(Hypothèses!$D$39=1,VLOOKUP("IDenergy_sold"&amp;"S1"&amp;N$39&amp;Hypothèses!$D$17&amp;Hypothèses!$D$18,INDIRECT("'"&amp;Hypothèses!$D$42&amp;"'!$A:$I"),6,FALSE) * N44,0)</f>
        <v>0</v>
      </c>
      <c r="O59" s="68">
        <f ca="1">IF(Hypothèses!$D$39=1,VLOOKUP("IDenergy_sold"&amp;"S1"&amp;O$39&amp;Hypothèses!$D$17&amp;Hypothèses!$D$18,INDIRECT("'"&amp;Hypothèses!$D$42&amp;"'!$A:$I"),6,FALSE) * O44,0)</f>
        <v>0</v>
      </c>
      <c r="P59" s="68">
        <f ca="1">IF(Hypothèses!$D$39=1,VLOOKUP("IDenergy_sold"&amp;"S1"&amp;P$39&amp;Hypothèses!$D$17&amp;Hypothèses!$D$18,INDIRECT("'"&amp;Hypothèses!$D$42&amp;"'!$A:$I"),6,FALSE) * P44,0)</f>
        <v>0</v>
      </c>
      <c r="Q59" s="68">
        <f ca="1">IF(Hypothèses!$D$39=1,VLOOKUP("IDenergy_sold"&amp;"S1"&amp;Q$39&amp;Hypothèses!$D$17&amp;Hypothèses!$D$18,INDIRECT("'"&amp;Hypothèses!$D$42&amp;"'!$A:$I"),6,FALSE) * Q44,0)</f>
        <v>0</v>
      </c>
      <c r="R59" s="68">
        <f ca="1">IF(Hypothèses!$D$39=1,VLOOKUP("IDenergy_sold"&amp;"S1"&amp;R$39&amp;Hypothèses!$D$17&amp;Hypothèses!$D$18,INDIRECT("'"&amp;Hypothèses!$D$42&amp;"'!$A:$I"),6,FALSE) * R44,0)</f>
        <v>0</v>
      </c>
      <c r="S59" s="68">
        <f ca="1">IF(Hypothèses!$D$39=1,VLOOKUP("IDenergy_sold"&amp;"S1"&amp;S$39&amp;Hypothèses!$D$17&amp;Hypothèses!$D$18,INDIRECT("'"&amp;Hypothèses!$D$42&amp;"'!$A:$I"),6,FALSE) * S44,0)</f>
        <v>0</v>
      </c>
      <c r="T59" s="68">
        <f ca="1">IF(Hypothèses!$D$39=1,VLOOKUP("IDenergy_sold"&amp;"S1"&amp;T$39&amp;Hypothèses!$D$17&amp;Hypothèses!$D$18,INDIRECT("'"&amp;Hypothèses!$D$42&amp;"'!$A:$I"),6,FALSE) * T44,0)</f>
        <v>0</v>
      </c>
      <c r="U59" s="68">
        <f ca="1">IF(Hypothèses!$D$39=1,VLOOKUP("IDenergy_sold"&amp;"S1"&amp;U$39&amp;Hypothèses!$D$17&amp;Hypothèses!$D$18,INDIRECT("'"&amp;Hypothèses!$D$42&amp;"'!$A:$I"),6,FALSE) * U44,0)</f>
        <v>0</v>
      </c>
      <c r="V59" s="68">
        <f ca="1">IF(Hypothèses!$D$39=1,VLOOKUP("IDenergy_sold"&amp;"S1"&amp;V$39&amp;Hypothèses!$D$17&amp;Hypothèses!$D$18,INDIRECT("'"&amp;Hypothèses!$D$42&amp;"'!$A:$I"),6,FALSE) * V44,0)</f>
        <v>0</v>
      </c>
      <c r="W59" s="68">
        <f ca="1">IF(Hypothèses!$D$39=1,VLOOKUP("IDenergy_sold"&amp;"S1"&amp;W$39&amp;Hypothèses!$D$17&amp;Hypothèses!$D$18,INDIRECT("'"&amp;Hypothèses!$D$42&amp;"'!$A:$I"),6,FALSE) * W44,0)</f>
        <v>0</v>
      </c>
      <c r="X59" s="68">
        <f ca="1">IF(Hypothèses!$D$39=1,VLOOKUP("IDenergy_sold"&amp;"S1"&amp;X$39&amp;Hypothèses!$D$17&amp;Hypothèses!$D$18,INDIRECT("'"&amp;Hypothèses!$D$42&amp;"'!$A:$I"),6,FALSE) * X44,0)</f>
        <v>0</v>
      </c>
      <c r="Y59" s="68">
        <f ca="1">IF(Hypothèses!$D$39=1,VLOOKUP("IDenergy_sold"&amp;"S1"&amp;Y$39&amp;Hypothèses!$D$17&amp;Hypothèses!$D$18,INDIRECT("'"&amp;Hypothèses!$D$42&amp;"'!$A:$I"),6,FALSE) * Y44,0)</f>
        <v>0</v>
      </c>
      <c r="Z59" s="68">
        <f ca="1">IF(Hypothèses!$D$39=1,VLOOKUP("IDenergy_sold"&amp;"S1"&amp;Z$39&amp;Hypothèses!$D$17&amp;Hypothèses!$D$18,INDIRECT("'"&amp;Hypothèses!$D$42&amp;"'!$A:$I"),6,FALSE) * Z44,0)</f>
        <v>0</v>
      </c>
      <c r="AA59" s="68">
        <f ca="1">IF(Hypothèses!$D$39=1,VLOOKUP("IDenergy_sold"&amp;"S1"&amp;AA$39&amp;Hypothèses!$D$17&amp;Hypothèses!$D$18,INDIRECT("'"&amp;Hypothèses!$D$42&amp;"'!$A:$I"),6,FALSE) * AA44,0)</f>
        <v>0</v>
      </c>
      <c r="AB59" s="68">
        <f ca="1">IF(Hypothèses!$D$39=1,VLOOKUP("IDenergy_sold"&amp;"S1"&amp;AB$39&amp;Hypothèses!$D$17&amp;Hypothèses!$D$18,INDIRECT("'"&amp;Hypothèses!$D$42&amp;"'!$A:$I"),6,FALSE) * AB44,0)</f>
        <v>0</v>
      </c>
      <c r="AC59" s="68">
        <f ca="1">IF(Hypothèses!$D$39=1,VLOOKUP("IDenergy_sold"&amp;"S1"&amp;AC$39&amp;Hypothèses!$D$17&amp;Hypothèses!$D$18,INDIRECT("'"&amp;Hypothèses!$D$42&amp;"'!$A:$I"),6,FALSE) * AC44,0)</f>
        <v>0</v>
      </c>
      <c r="AD59" s="68">
        <f ca="1">IF(Hypothèses!$D$39=1,VLOOKUP("IDenergy_sold"&amp;"S1"&amp;AD$39&amp;Hypothèses!$D$17&amp;Hypothèses!$D$18,INDIRECT("'"&amp;Hypothèses!$D$42&amp;"'!$A:$I"),6,FALSE) * AD44,0)</f>
        <v>0</v>
      </c>
      <c r="AE59" s="68">
        <f ca="1">IF(Hypothèses!$D$39=1,VLOOKUP("IDenergy_sold"&amp;"S1"&amp;AE$39&amp;Hypothèses!$D$17&amp;Hypothèses!$D$18,INDIRECT("'"&amp;Hypothèses!$D$42&amp;"'!$A:$I"),6,FALSE) * AE44,0)</f>
        <v>0</v>
      </c>
      <c r="AF59" s="68">
        <f ca="1">IF(Hypothèses!$D$39=1,VLOOKUP("IDenergy_sold"&amp;"S1"&amp;AF$39&amp;Hypothèses!$D$17&amp;Hypothèses!$D$18,INDIRECT("'"&amp;Hypothèses!$D$42&amp;"'!$A:$I"),6,FALSE) * AF44,0)</f>
        <v>0</v>
      </c>
      <c r="AG59" s="68">
        <f ca="1">IF(Hypothèses!$D$39=1,VLOOKUP("IDenergy_sold"&amp;"S1"&amp;AG$39&amp;Hypothèses!$D$17&amp;Hypothèses!$D$18,INDIRECT("'"&amp;Hypothèses!$D$42&amp;"'!$A:$I"),6,FALSE) * AG44,0)</f>
        <v>0</v>
      </c>
      <c r="AH59" s="74"/>
    </row>
    <row r="60" spans="2:34" ht="14.5" hidden="1" outlineLevel="1" x14ac:dyDescent="0.35">
      <c r="B60" s="84" t="s">
        <v>26</v>
      </c>
      <c r="C60" s="77"/>
      <c r="D60" s="135"/>
      <c r="E60" s="135" t="e">
        <f t="shared" ref="E60" ca="1" si="147">E59/D59-1</f>
        <v>#DIV/0!</v>
      </c>
      <c r="F60" s="135" t="e">
        <f t="shared" ref="F60" ca="1" si="148">F59/E59-1</f>
        <v>#DIV/0!</v>
      </c>
      <c r="G60" s="135" t="e">
        <f t="shared" ref="G60" ca="1" si="149">G59/F59-1</f>
        <v>#DIV/0!</v>
      </c>
      <c r="H60" s="135" t="e">
        <f t="shared" ref="H60" ca="1" si="150">H59/G59-1</f>
        <v>#DIV/0!</v>
      </c>
      <c r="I60" s="135" t="e">
        <f t="shared" ref="I60" ca="1" si="151">I59/H59-1</f>
        <v>#DIV/0!</v>
      </c>
      <c r="J60" s="135" t="e">
        <f t="shared" ref="J60" ca="1" si="152">J59/I59-1</f>
        <v>#DIV/0!</v>
      </c>
      <c r="K60" s="135" t="e">
        <f t="shared" ref="K60" ca="1" si="153">K59/J59-1</f>
        <v>#DIV/0!</v>
      </c>
      <c r="L60" s="135" t="e">
        <f t="shared" ref="L60" ca="1" si="154">L59/K59-1</f>
        <v>#DIV/0!</v>
      </c>
      <c r="M60" s="135" t="e">
        <f t="shared" ref="M60" ca="1" si="155">M59/L59-1</f>
        <v>#DIV/0!</v>
      </c>
      <c r="N60" s="135" t="e">
        <f t="shared" ref="N60" ca="1" si="156">N59/M59-1</f>
        <v>#DIV/0!</v>
      </c>
      <c r="O60" s="135" t="e">
        <f t="shared" ref="O60" ca="1" si="157">O59/N59-1</f>
        <v>#DIV/0!</v>
      </c>
      <c r="P60" s="135" t="e">
        <f t="shared" ref="P60" ca="1" si="158">P59/O59-1</f>
        <v>#DIV/0!</v>
      </c>
      <c r="Q60" s="135" t="e">
        <f t="shared" ref="Q60" ca="1" si="159">Q59/P59-1</f>
        <v>#DIV/0!</v>
      </c>
      <c r="R60" s="135" t="e">
        <f t="shared" ref="R60" ca="1" si="160">R59/Q59-1</f>
        <v>#DIV/0!</v>
      </c>
      <c r="S60" s="135" t="e">
        <f t="shared" ref="S60" ca="1" si="161">S59/R59-1</f>
        <v>#DIV/0!</v>
      </c>
      <c r="T60" s="135" t="e">
        <f t="shared" ref="T60" ca="1" si="162">T59/S59-1</f>
        <v>#DIV/0!</v>
      </c>
      <c r="U60" s="135" t="e">
        <f t="shared" ref="U60" ca="1" si="163">U59/T59-1</f>
        <v>#DIV/0!</v>
      </c>
      <c r="V60" s="135" t="e">
        <f t="shared" ref="V60" ca="1" si="164">V59/U59-1</f>
        <v>#DIV/0!</v>
      </c>
      <c r="W60" s="135" t="e">
        <f t="shared" ref="W60" ca="1" si="165">W59/V59-1</f>
        <v>#DIV/0!</v>
      </c>
      <c r="X60" s="135" t="e">
        <f t="shared" ref="X60" ca="1" si="166">X59/W59-1</f>
        <v>#DIV/0!</v>
      </c>
      <c r="Y60" s="135" t="e">
        <f t="shared" ref="Y60" ca="1" si="167">Y59/X59-1</f>
        <v>#DIV/0!</v>
      </c>
      <c r="Z60" s="135" t="e">
        <f t="shared" ref="Z60" ca="1" si="168">Z59/Y59-1</f>
        <v>#DIV/0!</v>
      </c>
      <c r="AA60" s="135" t="e">
        <f t="shared" ref="AA60" ca="1" si="169">AA59/Z59-1</f>
        <v>#DIV/0!</v>
      </c>
      <c r="AB60" s="135" t="e">
        <f t="shared" ref="AB60" ca="1" si="170">AB59/AA59-1</f>
        <v>#DIV/0!</v>
      </c>
      <c r="AC60" s="135" t="e">
        <f t="shared" ref="AC60" ca="1" si="171">AC59/AB59-1</f>
        <v>#DIV/0!</v>
      </c>
      <c r="AD60" s="135" t="e">
        <f t="shared" ref="AD60" ca="1" si="172">AD59/AC59-1</f>
        <v>#DIV/0!</v>
      </c>
      <c r="AE60" s="135" t="e">
        <f t="shared" ref="AE60" ca="1" si="173">AE59/AD59-1</f>
        <v>#DIV/0!</v>
      </c>
      <c r="AF60" s="135" t="e">
        <f t="shared" ref="AF60" ca="1" si="174">AF59/AE59-1</f>
        <v>#DIV/0!</v>
      </c>
      <c r="AG60" s="135" t="e">
        <f t="shared" ref="AG60" ca="1" si="175">AG59/AF59-1</f>
        <v>#DIV/0!</v>
      </c>
      <c r="AH60" s="74"/>
    </row>
    <row r="61" spans="2:34" ht="14.5" hidden="1" outlineLevel="1" x14ac:dyDescent="0.35">
      <c r="B61" s="84" t="s">
        <v>119</v>
      </c>
      <c r="C61" s="77"/>
      <c r="D61" s="68">
        <f ca="1">IF(Hypothèses!$D$39=1,VLOOKUP("IDhours_sold"&amp;"S1"&amp;D$39&amp;Hypothèses!$D$17&amp;Hypothèses!$D$18,INDIRECT("'"&amp;Hypothèses!$D$42&amp;"'!$A:$I"),6,FALSE)*D44,0)</f>
        <v>0</v>
      </c>
      <c r="E61" s="68">
        <f ca="1">IF(Hypothèses!$D$39=1,VLOOKUP("IDhours_sold"&amp;"S1"&amp;E$39&amp;Hypothèses!$D$17&amp;Hypothèses!$D$18,INDIRECT("'"&amp;Hypothèses!$D$42&amp;"'!$A:$I"),6,FALSE)*E44,0)</f>
        <v>0</v>
      </c>
      <c r="F61" s="68">
        <f ca="1">IF(Hypothèses!$D$39=1,VLOOKUP("IDhours_sold"&amp;"S1"&amp;F$39&amp;Hypothèses!$D$17&amp;Hypothèses!$D$18,INDIRECT("'"&amp;Hypothèses!$D$42&amp;"'!$A:$I"),6,FALSE)*F44,0)</f>
        <v>0</v>
      </c>
      <c r="G61" s="68">
        <f ca="1">IF(Hypothèses!$D$39=1,VLOOKUP("IDhours_sold"&amp;"S1"&amp;G$39&amp;Hypothèses!$D$17&amp;Hypothèses!$D$18,INDIRECT("'"&amp;Hypothèses!$D$42&amp;"'!$A:$I"),6,FALSE)*G44,0)</f>
        <v>0</v>
      </c>
      <c r="H61" s="68">
        <f ca="1">IF(Hypothèses!$D$39=1,VLOOKUP("IDhours_sold"&amp;"S1"&amp;H$39&amp;Hypothèses!$D$17&amp;Hypothèses!$D$18,INDIRECT("'"&amp;Hypothèses!$D$42&amp;"'!$A:$I"),6,FALSE)*H44,0)</f>
        <v>0</v>
      </c>
      <c r="I61" s="68">
        <f ca="1">IF(Hypothèses!$D$39=1,VLOOKUP("IDhours_sold"&amp;"S1"&amp;I$39&amp;Hypothèses!$D$17&amp;Hypothèses!$D$18,INDIRECT("'"&amp;Hypothèses!$D$42&amp;"'!$A:$I"),6,FALSE)*I44,0)</f>
        <v>0</v>
      </c>
      <c r="J61" s="68">
        <f ca="1">IF(Hypothèses!$D$39=1,VLOOKUP("IDhours_sold"&amp;"S1"&amp;J$39&amp;Hypothèses!$D$17&amp;Hypothèses!$D$18,INDIRECT("'"&amp;Hypothèses!$D$42&amp;"'!$A:$I"),6,FALSE)*J44,0)</f>
        <v>0</v>
      </c>
      <c r="K61" s="68">
        <f ca="1">IF(Hypothèses!$D$39=1,VLOOKUP("IDhours_sold"&amp;"S1"&amp;K$39&amp;Hypothèses!$D$17&amp;Hypothèses!$D$18,INDIRECT("'"&amp;Hypothèses!$D$42&amp;"'!$A:$I"),6,FALSE)*K44,0)</f>
        <v>0</v>
      </c>
      <c r="L61" s="68">
        <f ca="1">IF(Hypothèses!$D$39=1,VLOOKUP("IDhours_sold"&amp;"S1"&amp;L$39&amp;Hypothèses!$D$17&amp;Hypothèses!$D$18,INDIRECT("'"&amp;Hypothèses!$D$42&amp;"'!$A:$I"),6,FALSE)*L44,0)</f>
        <v>0</v>
      </c>
      <c r="M61" s="68">
        <f ca="1">IF(Hypothèses!$D$39=1,VLOOKUP("IDhours_sold"&amp;"S1"&amp;M$39&amp;Hypothèses!$D$17&amp;Hypothèses!$D$18,INDIRECT("'"&amp;Hypothèses!$D$42&amp;"'!$A:$I"),6,FALSE)*M44,0)</f>
        <v>0</v>
      </c>
      <c r="N61" s="68">
        <f ca="1">IF(Hypothèses!$D$39=1,VLOOKUP("IDhours_sold"&amp;"S1"&amp;N$39&amp;Hypothèses!$D$17&amp;Hypothèses!$D$18,INDIRECT("'"&amp;Hypothèses!$D$42&amp;"'!$A:$I"),6,FALSE)*N44,0)</f>
        <v>0</v>
      </c>
      <c r="O61" s="68">
        <f ca="1">IF(Hypothèses!$D$39=1,VLOOKUP("IDhours_sold"&amp;"S1"&amp;O$39&amp;Hypothèses!$D$17&amp;Hypothèses!$D$18,INDIRECT("'"&amp;Hypothèses!$D$42&amp;"'!$A:$I"),6,FALSE)*O44,0)</f>
        <v>0</v>
      </c>
      <c r="P61" s="68">
        <f ca="1">IF(Hypothèses!$D$39=1,VLOOKUP("IDhours_sold"&amp;"S1"&amp;P$39&amp;Hypothèses!$D$17&amp;Hypothèses!$D$18,INDIRECT("'"&amp;Hypothèses!$D$42&amp;"'!$A:$I"),6,FALSE)*P44,0)</f>
        <v>0</v>
      </c>
      <c r="Q61" s="68">
        <f ca="1">IF(Hypothèses!$D$39=1,VLOOKUP("IDhours_sold"&amp;"S1"&amp;Q$39&amp;Hypothèses!$D$17&amp;Hypothèses!$D$18,INDIRECT("'"&amp;Hypothèses!$D$42&amp;"'!$A:$I"),6,FALSE)*Q44,0)</f>
        <v>0</v>
      </c>
      <c r="R61" s="68">
        <f ca="1">IF(Hypothèses!$D$39=1,VLOOKUP("IDhours_sold"&amp;"S1"&amp;R$39&amp;Hypothèses!$D$17&amp;Hypothèses!$D$18,INDIRECT("'"&amp;Hypothèses!$D$42&amp;"'!$A:$I"),6,FALSE)*R44,0)</f>
        <v>0</v>
      </c>
      <c r="S61" s="68">
        <f ca="1">IF(Hypothèses!$D$39=1,VLOOKUP("IDhours_sold"&amp;"S1"&amp;S$39&amp;Hypothèses!$D$17&amp;Hypothèses!$D$18,INDIRECT("'"&amp;Hypothèses!$D$42&amp;"'!$A:$I"),6,FALSE)*S44,0)</f>
        <v>0</v>
      </c>
      <c r="T61" s="68">
        <f ca="1">IF(Hypothèses!$D$39=1,VLOOKUP("IDhours_sold"&amp;"S1"&amp;T$39&amp;Hypothèses!$D$17&amp;Hypothèses!$D$18,INDIRECT("'"&amp;Hypothèses!$D$42&amp;"'!$A:$I"),6,FALSE)*T44,0)</f>
        <v>0</v>
      </c>
      <c r="U61" s="68">
        <f ca="1">IF(Hypothèses!$D$39=1,VLOOKUP("IDhours_sold"&amp;"S1"&amp;U$39&amp;Hypothèses!$D$17&amp;Hypothèses!$D$18,INDIRECT("'"&amp;Hypothèses!$D$42&amp;"'!$A:$I"),6,FALSE)*U44,0)</f>
        <v>0</v>
      </c>
      <c r="V61" s="68">
        <f ca="1">IF(Hypothèses!$D$39=1,VLOOKUP("IDhours_sold"&amp;"S1"&amp;V$39&amp;Hypothèses!$D$17&amp;Hypothèses!$D$18,INDIRECT("'"&amp;Hypothèses!$D$42&amp;"'!$A:$I"),6,FALSE)*V44,0)</f>
        <v>0</v>
      </c>
      <c r="W61" s="68">
        <f ca="1">IF(Hypothèses!$D$39=1,VLOOKUP("IDhours_sold"&amp;"S1"&amp;W$39&amp;Hypothèses!$D$17&amp;Hypothèses!$D$18,INDIRECT("'"&amp;Hypothèses!$D$42&amp;"'!$A:$I"),6,FALSE)*W44,0)</f>
        <v>0</v>
      </c>
      <c r="X61" s="68">
        <f ca="1">IF(Hypothèses!$D$39=1,VLOOKUP("IDhours_sold"&amp;"S1"&amp;X$39&amp;Hypothèses!$D$17&amp;Hypothèses!$D$18,INDIRECT("'"&amp;Hypothèses!$D$42&amp;"'!$A:$I"),6,FALSE)*X44,0)</f>
        <v>0</v>
      </c>
      <c r="Y61" s="68">
        <f ca="1">IF(Hypothèses!$D$39=1,VLOOKUP("IDhours_sold"&amp;"S1"&amp;Y$39&amp;Hypothèses!$D$17&amp;Hypothèses!$D$18,INDIRECT("'"&amp;Hypothèses!$D$42&amp;"'!$A:$I"),6,FALSE)*Y44,0)</f>
        <v>0</v>
      </c>
      <c r="Z61" s="68">
        <f ca="1">IF(Hypothèses!$D$39=1,VLOOKUP("IDhours_sold"&amp;"S1"&amp;Z$39&amp;Hypothèses!$D$17&amp;Hypothèses!$D$18,INDIRECT("'"&amp;Hypothèses!$D$42&amp;"'!$A:$I"),6,FALSE)*Z44,0)</f>
        <v>0</v>
      </c>
      <c r="AA61" s="68">
        <f ca="1">IF(Hypothèses!$D$39=1,VLOOKUP("IDhours_sold"&amp;"S1"&amp;AA$39&amp;Hypothèses!$D$17&amp;Hypothèses!$D$18,INDIRECT("'"&amp;Hypothèses!$D$42&amp;"'!$A:$I"),6,FALSE)*AA44,0)</f>
        <v>0</v>
      </c>
      <c r="AB61" s="68">
        <f ca="1">IF(Hypothèses!$D$39=1,VLOOKUP("IDhours_sold"&amp;"S1"&amp;AB$39&amp;Hypothèses!$D$17&amp;Hypothèses!$D$18,INDIRECT("'"&amp;Hypothèses!$D$42&amp;"'!$A:$I"),6,FALSE)*AB44,0)</f>
        <v>0</v>
      </c>
      <c r="AC61" s="68">
        <f ca="1">IF(Hypothèses!$D$39=1,VLOOKUP("IDhours_sold"&amp;"S1"&amp;AC$39&amp;Hypothèses!$D$17&amp;Hypothèses!$D$18,INDIRECT("'"&amp;Hypothèses!$D$42&amp;"'!$A:$I"),6,FALSE)*AC44,0)</f>
        <v>0</v>
      </c>
      <c r="AD61" s="68">
        <f ca="1">IF(Hypothèses!$D$39=1,VLOOKUP("IDhours_sold"&amp;"S1"&amp;AD$39&amp;Hypothèses!$D$17&amp;Hypothèses!$D$18,INDIRECT("'"&amp;Hypothèses!$D$42&amp;"'!$A:$I"),6,FALSE)*AD44,0)</f>
        <v>0</v>
      </c>
      <c r="AE61" s="68">
        <f ca="1">IF(Hypothèses!$D$39=1,VLOOKUP("IDhours_sold"&amp;"S1"&amp;AE$39&amp;Hypothèses!$D$17&amp;Hypothèses!$D$18,INDIRECT("'"&amp;Hypothèses!$D$42&amp;"'!$A:$I"),6,FALSE)*AE44,0)</f>
        <v>0</v>
      </c>
      <c r="AF61" s="68">
        <f ca="1">IF(Hypothèses!$D$39=1,VLOOKUP("IDhours_sold"&amp;"S1"&amp;AF$39&amp;Hypothèses!$D$17&amp;Hypothèses!$D$18,INDIRECT("'"&amp;Hypothèses!$D$42&amp;"'!$A:$I"),6,FALSE)*AF44,0)</f>
        <v>0</v>
      </c>
      <c r="AG61" s="68">
        <f ca="1">IF(Hypothèses!$D$39=1,VLOOKUP("IDhours_sold"&amp;"S1"&amp;AG$39&amp;Hypothèses!$D$17&amp;Hypothèses!$D$18,INDIRECT("'"&amp;Hypothèses!$D$42&amp;"'!$A:$I"),6,FALSE)*AG44,0)</f>
        <v>0</v>
      </c>
      <c r="AH61" s="74"/>
    </row>
    <row r="62" spans="2:34" hidden="1" outlineLevel="1" x14ac:dyDescent="0.3">
      <c r="B62" s="77" t="s">
        <v>131</v>
      </c>
      <c r="C62" s="77"/>
      <c r="D62" s="71">
        <f ca="1">IF(Hypothèses!$D$39=1,VLOOKUP("IDcost"&amp;"S1"&amp;D$39&amp;Hypothèses!$D$17&amp;Hypothèses!$D$18,INDIRECT("'"&amp;Hypothèses!$D$42&amp;"'!$A:$I"),6,FALSE)*(1+$C$37)^C43 * D44,0)</f>
        <v>0</v>
      </c>
      <c r="E62" s="71">
        <f ca="1">IF(Hypothèses!$D$39=1,VLOOKUP("IDcost"&amp;"S1"&amp;E$39&amp;Hypothèses!$D$17&amp;Hypothèses!$D$18,INDIRECT("'"&amp;Hypothèses!$D$42&amp;"'!$A:$I"),6,FALSE)*(1+$C$37)^D43 * E44,0)</f>
        <v>0</v>
      </c>
      <c r="F62" s="71">
        <f ca="1">IF(Hypothèses!$D$39=1,VLOOKUP("IDcost"&amp;"S1"&amp;F$39&amp;Hypothèses!$D$17&amp;Hypothèses!$D$18,INDIRECT("'"&amp;Hypothèses!$D$42&amp;"'!$A:$I"),6,FALSE)*(1+$C$37)^E43 * F44,0)</f>
        <v>0</v>
      </c>
      <c r="G62" s="71">
        <f ca="1">IF(Hypothèses!$D$39=1,VLOOKUP("IDcost"&amp;"S1"&amp;G$39&amp;Hypothèses!$D$17&amp;Hypothèses!$D$18,INDIRECT("'"&amp;Hypothèses!$D$42&amp;"'!$A:$I"),6,FALSE)*(1+$C$37)^F43 * G44,0)</f>
        <v>0</v>
      </c>
      <c r="H62" s="71">
        <f ca="1">IF(Hypothèses!$D$39=1,VLOOKUP("IDcost"&amp;"S1"&amp;H$39&amp;Hypothèses!$D$17&amp;Hypothèses!$D$18,INDIRECT("'"&amp;Hypothèses!$D$42&amp;"'!$A:$I"),6,FALSE)*(1+$C$37)^G43 * H44,0)</f>
        <v>0</v>
      </c>
      <c r="I62" s="71">
        <f ca="1">IF(Hypothèses!$D$39=1,VLOOKUP("IDcost"&amp;"S1"&amp;I$39&amp;Hypothèses!$D$17&amp;Hypothèses!$D$18,INDIRECT("'"&amp;Hypothèses!$D$42&amp;"'!$A:$I"),6,FALSE)*(1+$C$37)^H43 * I44,0)</f>
        <v>0</v>
      </c>
      <c r="J62" s="71">
        <f ca="1">IF(Hypothèses!$D$39=1,VLOOKUP("IDcost"&amp;"S1"&amp;J$39&amp;Hypothèses!$D$17&amp;Hypothèses!$D$18,INDIRECT("'"&amp;Hypothèses!$D$42&amp;"'!$A:$I"),6,FALSE)*(1+$C$37)^I43 * J44,0)</f>
        <v>0</v>
      </c>
      <c r="K62" s="71">
        <f ca="1">IF(Hypothèses!$D$39=1,VLOOKUP("IDcost"&amp;"S1"&amp;K$39&amp;Hypothèses!$D$17&amp;Hypothèses!$D$18,INDIRECT("'"&amp;Hypothèses!$D$42&amp;"'!$A:$I"),6,FALSE)*(1+$C$37)^J43 * K44,0)</f>
        <v>0</v>
      </c>
      <c r="L62" s="71">
        <f ca="1">IF(Hypothèses!$D$39=1,VLOOKUP("IDcost"&amp;"S1"&amp;L$39&amp;Hypothèses!$D$17&amp;Hypothèses!$D$18,INDIRECT("'"&amp;Hypothèses!$D$42&amp;"'!$A:$I"),6,FALSE)*(1+$C$37)^K43 * L44,0)</f>
        <v>0</v>
      </c>
      <c r="M62" s="71">
        <f ca="1">IF(Hypothèses!$D$39=1,VLOOKUP("IDcost"&amp;"S1"&amp;M$39&amp;Hypothèses!$D$17&amp;Hypothèses!$D$18,INDIRECT("'"&amp;Hypothèses!$D$42&amp;"'!$A:$I"),6,FALSE)*(1+$C$37)^L43 * M44,0)</f>
        <v>0</v>
      </c>
      <c r="N62" s="71">
        <f ca="1">IF(Hypothèses!$D$39=1,VLOOKUP("IDcost"&amp;"S1"&amp;N$39&amp;Hypothèses!$D$17&amp;Hypothèses!$D$18,INDIRECT("'"&amp;Hypothèses!$D$42&amp;"'!$A:$I"),6,FALSE)*(1+$C$37)^M43 * N44,0)</f>
        <v>0</v>
      </c>
      <c r="O62" s="71">
        <f ca="1">IF(Hypothèses!$D$39=1,VLOOKUP("IDcost"&amp;"S1"&amp;O$39&amp;Hypothèses!$D$17&amp;Hypothèses!$D$18,INDIRECT("'"&amp;Hypothèses!$D$42&amp;"'!$A:$I"),6,FALSE)*(1+$C$37)^N43 * O44,0)</f>
        <v>0</v>
      </c>
      <c r="P62" s="71">
        <f ca="1">IF(Hypothèses!$D$39=1,VLOOKUP("IDcost"&amp;"S1"&amp;P$39&amp;Hypothèses!$D$17&amp;Hypothèses!$D$18,INDIRECT("'"&amp;Hypothèses!$D$42&amp;"'!$A:$I"),6,FALSE)*(1+$C$37)^O43 * P44,0)</f>
        <v>0</v>
      </c>
      <c r="Q62" s="71">
        <f ca="1">IF(Hypothèses!$D$39=1,VLOOKUP("IDcost"&amp;"S1"&amp;Q$39&amp;Hypothèses!$D$17&amp;Hypothèses!$D$18,INDIRECT("'"&amp;Hypothèses!$D$42&amp;"'!$A:$I"),6,FALSE)*(1+$C$37)^P43 * Q44,0)</f>
        <v>0</v>
      </c>
      <c r="R62" s="71">
        <f ca="1">IF(Hypothèses!$D$39=1,VLOOKUP("IDcost"&amp;"S1"&amp;R$39&amp;Hypothèses!$D$17&amp;Hypothèses!$D$18,INDIRECT("'"&amp;Hypothèses!$D$42&amp;"'!$A:$I"),6,FALSE)*(1+$C$37)^Q43 * R44,0)</f>
        <v>0</v>
      </c>
      <c r="S62" s="71">
        <f ca="1">IF(Hypothèses!$D$39=1,VLOOKUP("IDcost"&amp;"S1"&amp;S$39&amp;Hypothèses!$D$17&amp;Hypothèses!$D$18,INDIRECT("'"&amp;Hypothèses!$D$42&amp;"'!$A:$I"),6,FALSE)*(1+$C$37)^R43 * S44,0)</f>
        <v>0</v>
      </c>
      <c r="T62" s="71">
        <f ca="1">IF(Hypothèses!$D$39=1,VLOOKUP("IDcost"&amp;"S1"&amp;T$39&amp;Hypothèses!$D$17&amp;Hypothèses!$D$18,INDIRECT("'"&amp;Hypothèses!$D$42&amp;"'!$A:$I"),6,FALSE)*(1+$C$37)^S43 * T44,0)</f>
        <v>0</v>
      </c>
      <c r="U62" s="71">
        <f ca="1">IF(Hypothèses!$D$39=1,VLOOKUP("IDcost"&amp;"S1"&amp;U$39&amp;Hypothèses!$D$17&amp;Hypothèses!$D$18,INDIRECT("'"&amp;Hypothèses!$D$42&amp;"'!$A:$I"),6,FALSE)*(1+$C$37)^T43 * U44,0)</f>
        <v>0</v>
      </c>
      <c r="V62" s="71">
        <f ca="1">IF(Hypothèses!$D$39=1,VLOOKUP("IDcost"&amp;"S1"&amp;V$39&amp;Hypothèses!$D$17&amp;Hypothèses!$D$18,INDIRECT("'"&amp;Hypothèses!$D$42&amp;"'!$A:$I"),6,FALSE)*(1+$C$37)^U43 * V44,0)</f>
        <v>0</v>
      </c>
      <c r="W62" s="71">
        <f ca="1">IF(Hypothèses!$D$39=1,VLOOKUP("IDcost"&amp;"S1"&amp;W$39&amp;Hypothèses!$D$17&amp;Hypothèses!$D$18,INDIRECT("'"&amp;Hypothèses!$D$42&amp;"'!$A:$I"),6,FALSE)*(1+$C$37)^V43 * W44,0)</f>
        <v>0</v>
      </c>
      <c r="X62" s="71">
        <f ca="1">IF(Hypothèses!$D$39=1,VLOOKUP("IDcost"&amp;"S1"&amp;X$39&amp;Hypothèses!$D$17&amp;Hypothèses!$D$18,INDIRECT("'"&amp;Hypothèses!$D$42&amp;"'!$A:$I"),6,FALSE)*(1+$C$37)^W43 * X44,0)</f>
        <v>0</v>
      </c>
      <c r="Y62" s="71">
        <f ca="1">IF(Hypothèses!$D$39=1,VLOOKUP("IDcost"&amp;"S1"&amp;Y$39&amp;Hypothèses!$D$17&amp;Hypothèses!$D$18,INDIRECT("'"&amp;Hypothèses!$D$42&amp;"'!$A:$I"),6,FALSE)*(1+$C$37)^X43 * Y44,0)</f>
        <v>0</v>
      </c>
      <c r="Z62" s="71">
        <f ca="1">IF(Hypothèses!$D$39=1,VLOOKUP("IDcost"&amp;"S1"&amp;Z$39&amp;Hypothèses!$D$17&amp;Hypothèses!$D$18,INDIRECT("'"&amp;Hypothèses!$D$42&amp;"'!$A:$I"),6,FALSE)*(1+$C$37)^Y43 * Z44,0)</f>
        <v>0</v>
      </c>
      <c r="AA62" s="71">
        <f ca="1">IF(Hypothèses!$D$39=1,VLOOKUP("IDcost"&amp;"S1"&amp;AA$39&amp;Hypothèses!$D$17&amp;Hypothèses!$D$18,INDIRECT("'"&amp;Hypothèses!$D$42&amp;"'!$A:$I"),6,FALSE)*(1+$C$37)^Z43 * AA44,0)</f>
        <v>0</v>
      </c>
      <c r="AB62" s="71">
        <f ca="1">IF(Hypothèses!$D$39=1,VLOOKUP("IDcost"&amp;"S1"&amp;AB$39&amp;Hypothèses!$D$17&amp;Hypothèses!$D$18,INDIRECT("'"&amp;Hypothèses!$D$42&amp;"'!$A:$I"),6,FALSE)*(1+$C$37)^AA43 * AB44,0)</f>
        <v>0</v>
      </c>
      <c r="AC62" s="71">
        <f ca="1">IF(Hypothèses!$D$39=1,VLOOKUP("IDcost"&amp;"S1"&amp;AC$39&amp;Hypothèses!$D$17&amp;Hypothèses!$D$18,INDIRECT("'"&amp;Hypothèses!$D$42&amp;"'!$A:$I"),6,FALSE)*(1+$C$37)^AB43 * AC44,0)</f>
        <v>0</v>
      </c>
      <c r="AD62" s="71">
        <f ca="1">IF(Hypothèses!$D$39=1,VLOOKUP("IDcost"&amp;"S1"&amp;AD$39&amp;Hypothèses!$D$17&amp;Hypothèses!$D$18,INDIRECT("'"&amp;Hypothèses!$D$42&amp;"'!$A:$I"),6,FALSE)*(1+$C$37)^AC43 * AD44,0)</f>
        <v>0</v>
      </c>
      <c r="AE62" s="71">
        <f ca="1">IF(Hypothèses!$D$39=1,VLOOKUP("IDcost"&amp;"S1"&amp;AE$39&amp;Hypothèses!$D$17&amp;Hypothèses!$D$18,INDIRECT("'"&amp;Hypothèses!$D$42&amp;"'!$A:$I"),6,FALSE)*(1+$C$37)^AD43 * AE44,0)</f>
        <v>0</v>
      </c>
      <c r="AF62" s="71">
        <f ca="1">IF(Hypothèses!$D$39=1,VLOOKUP("IDcost"&amp;"S1"&amp;AF$39&amp;Hypothèses!$D$17&amp;Hypothèses!$D$18,INDIRECT("'"&amp;Hypothèses!$D$42&amp;"'!$A:$I"),6,FALSE)*(1+$C$37)^AE43 * AF44,0)</f>
        <v>0</v>
      </c>
      <c r="AG62" s="71">
        <f ca="1">IF(Hypothèses!$D$39=1,VLOOKUP("IDcost"&amp;"S1"&amp;AG$39&amp;Hypothèses!$D$17&amp;Hypothèses!$D$18,INDIRECT("'"&amp;Hypothèses!$D$42&amp;"'!$A:$I"),6,FALSE)*(1+$C$37)^AF43 * AG44,0)</f>
        <v>0</v>
      </c>
      <c r="AH62" s="74"/>
    </row>
    <row r="63" spans="2:34" ht="14.5" hidden="1" outlineLevel="1" x14ac:dyDescent="0.35">
      <c r="B63" s="84" t="s">
        <v>26</v>
      </c>
      <c r="C63" s="77"/>
      <c r="D63" s="135"/>
      <c r="E63" s="135" t="e">
        <f t="shared" ref="E63" ca="1" si="176">E62/D62-1</f>
        <v>#DIV/0!</v>
      </c>
      <c r="F63" s="135" t="e">
        <f t="shared" ref="F63" ca="1" si="177">F62/E62-1</f>
        <v>#DIV/0!</v>
      </c>
      <c r="G63" s="135" t="e">
        <f t="shared" ref="G63" ca="1" si="178">G62/F62-1</f>
        <v>#DIV/0!</v>
      </c>
      <c r="H63" s="135" t="e">
        <f t="shared" ref="H63" ca="1" si="179">H62/G62-1</f>
        <v>#DIV/0!</v>
      </c>
      <c r="I63" s="135" t="e">
        <f t="shared" ref="I63" ca="1" si="180">I62/H62-1</f>
        <v>#DIV/0!</v>
      </c>
      <c r="J63" s="135" t="e">
        <f t="shared" ref="J63" ca="1" si="181">J62/I62-1</f>
        <v>#DIV/0!</v>
      </c>
      <c r="K63" s="135" t="e">
        <f t="shared" ref="K63" ca="1" si="182">K62/J62-1</f>
        <v>#DIV/0!</v>
      </c>
      <c r="L63" s="135" t="e">
        <f t="shared" ref="L63" ca="1" si="183">L62/K62-1</f>
        <v>#DIV/0!</v>
      </c>
      <c r="M63" s="135" t="e">
        <f t="shared" ref="M63" ca="1" si="184">M62/L62-1</f>
        <v>#DIV/0!</v>
      </c>
      <c r="N63" s="135" t="e">
        <f t="shared" ref="N63" ca="1" si="185">N62/M62-1</f>
        <v>#DIV/0!</v>
      </c>
      <c r="O63" s="135" t="e">
        <f t="shared" ref="O63" ca="1" si="186">O62/N62-1</f>
        <v>#DIV/0!</v>
      </c>
      <c r="P63" s="135" t="e">
        <f t="shared" ref="P63" ca="1" si="187">P62/O62-1</f>
        <v>#DIV/0!</v>
      </c>
      <c r="Q63" s="135" t="e">
        <f t="shared" ref="Q63" ca="1" si="188">Q62/P62-1</f>
        <v>#DIV/0!</v>
      </c>
      <c r="R63" s="135" t="e">
        <f t="shared" ref="R63" ca="1" si="189">R62/Q62-1</f>
        <v>#DIV/0!</v>
      </c>
      <c r="S63" s="135" t="e">
        <f t="shared" ref="S63" ca="1" si="190">S62/R62-1</f>
        <v>#DIV/0!</v>
      </c>
      <c r="T63" s="135" t="e">
        <f t="shared" ref="T63" ca="1" si="191">T62/S62-1</f>
        <v>#DIV/0!</v>
      </c>
      <c r="U63" s="135" t="e">
        <f t="shared" ref="U63" ca="1" si="192">U62/T62-1</f>
        <v>#DIV/0!</v>
      </c>
      <c r="V63" s="135" t="e">
        <f t="shared" ref="V63" ca="1" si="193">V62/U62-1</f>
        <v>#DIV/0!</v>
      </c>
      <c r="W63" s="135" t="e">
        <f t="shared" ref="W63" ca="1" si="194">W62/V62-1</f>
        <v>#DIV/0!</v>
      </c>
      <c r="X63" s="135" t="e">
        <f t="shared" ref="X63" ca="1" si="195">X62/W62-1</f>
        <v>#DIV/0!</v>
      </c>
      <c r="Y63" s="135" t="e">
        <f t="shared" ref="Y63" ca="1" si="196">Y62/X62-1</f>
        <v>#DIV/0!</v>
      </c>
      <c r="Z63" s="135" t="e">
        <f t="shared" ref="Z63" ca="1" si="197">Z62/Y62-1</f>
        <v>#DIV/0!</v>
      </c>
      <c r="AA63" s="135" t="e">
        <f t="shared" ref="AA63" ca="1" si="198">AA62/Z62-1</f>
        <v>#DIV/0!</v>
      </c>
      <c r="AB63" s="135" t="e">
        <f t="shared" ref="AB63" ca="1" si="199">AB62/AA62-1</f>
        <v>#DIV/0!</v>
      </c>
      <c r="AC63" s="135" t="e">
        <f t="shared" ref="AC63" ca="1" si="200">AC62/AB62-1</f>
        <v>#DIV/0!</v>
      </c>
      <c r="AD63" s="135" t="e">
        <f t="shared" ref="AD63" ca="1" si="201">AD62/AC62-1</f>
        <v>#DIV/0!</v>
      </c>
      <c r="AE63" s="135" t="e">
        <f t="shared" ref="AE63" ca="1" si="202">AE62/AD62-1</f>
        <v>#DIV/0!</v>
      </c>
      <c r="AF63" s="135" t="e">
        <f t="shared" ref="AF63" ca="1" si="203">AF62/AE62-1</f>
        <v>#DIV/0!</v>
      </c>
      <c r="AG63" s="135" t="e">
        <f t="shared" ref="AG63" ca="1" si="204">AG62/AF62-1</f>
        <v>#DIV/0!</v>
      </c>
      <c r="AH63" s="74"/>
    </row>
    <row r="64" spans="2:34" hidden="1" outlineLevel="1" x14ac:dyDescent="0.3">
      <c r="B64" s="77" t="s">
        <v>132</v>
      </c>
      <c r="C64" s="77"/>
      <c r="D64" s="68">
        <f ca="1">IF(Hypothèses!$D$39=1,VLOOKUP("IDenergy_bought"&amp;"S1"&amp;D$39&amp;Hypothèses!$D$17&amp;Hypothèses!$D$18,INDIRECT("'"&amp;Hypothèses!$D$42&amp;"'!$A:$I"),6,FALSE) * D44,0)</f>
        <v>0</v>
      </c>
      <c r="E64" s="68">
        <f ca="1">IF(Hypothèses!$D$39=1,VLOOKUP("IDenergy_bought"&amp;"S1"&amp;E$39&amp;Hypothèses!$D$17&amp;Hypothèses!$D$18,INDIRECT("'"&amp;Hypothèses!$D$42&amp;"'!$A:$I"),6,FALSE) * E44,0)</f>
        <v>0</v>
      </c>
      <c r="F64" s="68">
        <f ca="1">IF(Hypothèses!$D$39=1,VLOOKUP("IDenergy_bought"&amp;"S1"&amp;F$39&amp;Hypothèses!$D$17&amp;Hypothèses!$D$18,INDIRECT("'"&amp;Hypothèses!$D$42&amp;"'!$A:$I"),6,FALSE) * F44,0)</f>
        <v>0</v>
      </c>
      <c r="G64" s="68">
        <f ca="1">IF(Hypothèses!$D$39=1,VLOOKUP("IDenergy_bought"&amp;"S1"&amp;G$39&amp;Hypothèses!$D$17&amp;Hypothèses!$D$18,INDIRECT("'"&amp;Hypothèses!$D$42&amp;"'!$A:$I"),6,FALSE) * G44,0)</f>
        <v>0</v>
      </c>
      <c r="H64" s="68">
        <f ca="1">IF(Hypothèses!$D$39=1,VLOOKUP("IDenergy_bought"&amp;"S1"&amp;H$39&amp;Hypothèses!$D$17&amp;Hypothèses!$D$18,INDIRECT("'"&amp;Hypothèses!$D$42&amp;"'!$A:$I"),6,FALSE) * H44,0)</f>
        <v>0</v>
      </c>
      <c r="I64" s="68">
        <f ca="1">IF(Hypothèses!$D$39=1,VLOOKUP("IDenergy_bought"&amp;"S1"&amp;I$39&amp;Hypothèses!$D$17&amp;Hypothèses!$D$18,INDIRECT("'"&amp;Hypothèses!$D$42&amp;"'!$A:$I"),6,FALSE) * I44,0)</f>
        <v>0</v>
      </c>
      <c r="J64" s="68">
        <f ca="1">IF(Hypothèses!$D$39=1,VLOOKUP("IDenergy_bought"&amp;"S1"&amp;J$39&amp;Hypothèses!$D$17&amp;Hypothèses!$D$18,INDIRECT("'"&amp;Hypothèses!$D$42&amp;"'!$A:$I"),6,FALSE) * J44,0)</f>
        <v>0</v>
      </c>
      <c r="K64" s="68">
        <f ca="1">IF(Hypothèses!$D$39=1,VLOOKUP("IDenergy_bought"&amp;"S1"&amp;K$39&amp;Hypothèses!$D$17&amp;Hypothèses!$D$18,INDIRECT("'"&amp;Hypothèses!$D$42&amp;"'!$A:$I"),6,FALSE) * K44,0)</f>
        <v>0</v>
      </c>
      <c r="L64" s="68">
        <f ca="1">IF(Hypothèses!$D$39=1,VLOOKUP("IDenergy_bought"&amp;"S1"&amp;L$39&amp;Hypothèses!$D$17&amp;Hypothèses!$D$18,INDIRECT("'"&amp;Hypothèses!$D$42&amp;"'!$A:$I"),6,FALSE) * L44,0)</f>
        <v>0</v>
      </c>
      <c r="M64" s="68">
        <f ca="1">IF(Hypothèses!$D$39=1,VLOOKUP("IDenergy_bought"&amp;"S1"&amp;M$39&amp;Hypothèses!$D$17&amp;Hypothèses!$D$18,INDIRECT("'"&amp;Hypothèses!$D$42&amp;"'!$A:$I"),6,FALSE) * M44,0)</f>
        <v>0</v>
      </c>
      <c r="N64" s="68">
        <f ca="1">IF(Hypothèses!$D$39=1,VLOOKUP("IDenergy_bought"&amp;"S1"&amp;N$39&amp;Hypothèses!$D$17&amp;Hypothèses!$D$18,INDIRECT("'"&amp;Hypothèses!$D$42&amp;"'!$A:$I"),6,FALSE) * N44,0)</f>
        <v>0</v>
      </c>
      <c r="O64" s="68">
        <f ca="1">IF(Hypothèses!$D$39=1,VLOOKUP("IDenergy_bought"&amp;"S1"&amp;O$39&amp;Hypothèses!$D$17&amp;Hypothèses!$D$18,INDIRECT("'"&amp;Hypothèses!$D$42&amp;"'!$A:$I"),6,FALSE) * O44,0)</f>
        <v>0</v>
      </c>
      <c r="P64" s="68">
        <f ca="1">IF(Hypothèses!$D$39=1,VLOOKUP("IDenergy_bought"&amp;"S1"&amp;P$39&amp;Hypothèses!$D$17&amp;Hypothèses!$D$18,INDIRECT("'"&amp;Hypothèses!$D$42&amp;"'!$A:$I"),6,FALSE) * P44,0)</f>
        <v>0</v>
      </c>
      <c r="Q64" s="68">
        <f ca="1">IF(Hypothèses!$D$39=1,VLOOKUP("IDenergy_bought"&amp;"S1"&amp;Q$39&amp;Hypothèses!$D$17&amp;Hypothèses!$D$18,INDIRECT("'"&amp;Hypothèses!$D$42&amp;"'!$A:$I"),6,FALSE) * Q44,0)</f>
        <v>0</v>
      </c>
      <c r="R64" s="68">
        <f ca="1">IF(Hypothèses!$D$39=1,VLOOKUP("IDenergy_bought"&amp;"S1"&amp;R$39&amp;Hypothèses!$D$17&amp;Hypothèses!$D$18,INDIRECT("'"&amp;Hypothèses!$D$42&amp;"'!$A:$I"),6,FALSE) * R44,0)</f>
        <v>0</v>
      </c>
      <c r="S64" s="68">
        <f ca="1">IF(Hypothèses!$D$39=1,VLOOKUP("IDenergy_bought"&amp;"S1"&amp;S$39&amp;Hypothèses!$D$17&amp;Hypothèses!$D$18,INDIRECT("'"&amp;Hypothèses!$D$42&amp;"'!$A:$I"),6,FALSE) * S44,0)</f>
        <v>0</v>
      </c>
      <c r="T64" s="68">
        <f ca="1">IF(Hypothèses!$D$39=1,VLOOKUP("IDenergy_bought"&amp;"S1"&amp;T$39&amp;Hypothèses!$D$17&amp;Hypothèses!$D$18,INDIRECT("'"&amp;Hypothèses!$D$42&amp;"'!$A:$I"),6,FALSE) * T44,0)</f>
        <v>0</v>
      </c>
      <c r="U64" s="68">
        <f ca="1">IF(Hypothèses!$D$39=1,VLOOKUP("IDenergy_bought"&amp;"S1"&amp;U$39&amp;Hypothèses!$D$17&amp;Hypothèses!$D$18,INDIRECT("'"&amp;Hypothèses!$D$42&amp;"'!$A:$I"),6,FALSE) * U44,0)</f>
        <v>0</v>
      </c>
      <c r="V64" s="68">
        <f ca="1">IF(Hypothèses!$D$39=1,VLOOKUP("IDenergy_bought"&amp;"S1"&amp;V$39&amp;Hypothèses!$D$17&amp;Hypothèses!$D$18,INDIRECT("'"&amp;Hypothèses!$D$42&amp;"'!$A:$I"),6,FALSE) * V44,0)</f>
        <v>0</v>
      </c>
      <c r="W64" s="68">
        <f ca="1">IF(Hypothèses!$D$39=1,VLOOKUP("IDenergy_bought"&amp;"S1"&amp;W$39&amp;Hypothèses!$D$17&amp;Hypothèses!$D$18,INDIRECT("'"&amp;Hypothèses!$D$42&amp;"'!$A:$I"),6,FALSE) * W44,0)</f>
        <v>0</v>
      </c>
      <c r="X64" s="68">
        <f ca="1">IF(Hypothèses!$D$39=1,VLOOKUP("IDenergy_bought"&amp;"S1"&amp;X$39&amp;Hypothèses!$D$17&amp;Hypothèses!$D$18,INDIRECT("'"&amp;Hypothèses!$D$42&amp;"'!$A:$I"),6,FALSE) * X44,0)</f>
        <v>0</v>
      </c>
      <c r="Y64" s="68">
        <f ca="1">IF(Hypothèses!$D$39=1,VLOOKUP("IDenergy_bought"&amp;"S1"&amp;Y$39&amp;Hypothèses!$D$17&amp;Hypothèses!$D$18,INDIRECT("'"&amp;Hypothèses!$D$42&amp;"'!$A:$I"),6,FALSE) * Y44,0)</f>
        <v>0</v>
      </c>
      <c r="Z64" s="68">
        <f ca="1">IF(Hypothèses!$D$39=1,VLOOKUP("IDenergy_bought"&amp;"S1"&amp;Z$39&amp;Hypothèses!$D$17&amp;Hypothèses!$D$18,INDIRECT("'"&amp;Hypothèses!$D$42&amp;"'!$A:$I"),6,FALSE) * Z44,0)</f>
        <v>0</v>
      </c>
      <c r="AA64" s="68">
        <f ca="1">IF(Hypothèses!$D$39=1,VLOOKUP("IDenergy_bought"&amp;"S1"&amp;AA$39&amp;Hypothèses!$D$17&amp;Hypothèses!$D$18,INDIRECT("'"&amp;Hypothèses!$D$42&amp;"'!$A:$I"),6,FALSE) * AA44,0)</f>
        <v>0</v>
      </c>
      <c r="AB64" s="68">
        <f ca="1">IF(Hypothèses!$D$39=1,VLOOKUP("IDenergy_bought"&amp;"S1"&amp;AB$39&amp;Hypothèses!$D$17&amp;Hypothèses!$D$18,INDIRECT("'"&amp;Hypothèses!$D$42&amp;"'!$A:$I"),6,FALSE) * AB44,0)</f>
        <v>0</v>
      </c>
      <c r="AC64" s="68">
        <f ca="1">IF(Hypothèses!$D$39=1,VLOOKUP("IDenergy_bought"&amp;"S1"&amp;AC$39&amp;Hypothèses!$D$17&amp;Hypothèses!$D$18,INDIRECT("'"&amp;Hypothèses!$D$42&amp;"'!$A:$I"),6,FALSE) * AC44,0)</f>
        <v>0</v>
      </c>
      <c r="AD64" s="68">
        <f ca="1">IF(Hypothèses!$D$39=1,VLOOKUP("IDenergy_bought"&amp;"S1"&amp;AD$39&amp;Hypothèses!$D$17&amp;Hypothèses!$D$18,INDIRECT("'"&amp;Hypothèses!$D$42&amp;"'!$A:$I"),6,FALSE) * AD44,0)</f>
        <v>0</v>
      </c>
      <c r="AE64" s="68">
        <f ca="1">IF(Hypothèses!$D$39=1,VLOOKUP("IDenergy_bought"&amp;"S1"&amp;AE$39&amp;Hypothèses!$D$17&amp;Hypothèses!$D$18,INDIRECT("'"&amp;Hypothèses!$D$42&amp;"'!$A:$I"),6,FALSE) * AE44,0)</f>
        <v>0</v>
      </c>
      <c r="AF64" s="68">
        <f ca="1">IF(Hypothèses!$D$39=1,VLOOKUP("IDenergy_bought"&amp;"S1"&amp;AF$39&amp;Hypothèses!$D$17&amp;Hypothèses!$D$18,INDIRECT("'"&amp;Hypothèses!$D$42&amp;"'!$A:$I"),6,FALSE) * AF44,0)</f>
        <v>0</v>
      </c>
      <c r="AG64" s="68">
        <f ca="1">IF(Hypothèses!$D$39=1,VLOOKUP("IDenergy_bought"&amp;"S1"&amp;AG$39&amp;Hypothèses!$D$17&amp;Hypothèses!$D$18,INDIRECT("'"&amp;Hypothèses!$D$42&amp;"'!$A:$I"),6,FALSE) * AG44,0)</f>
        <v>0</v>
      </c>
      <c r="AH64" s="74"/>
    </row>
    <row r="65" spans="2:34" ht="14.5" hidden="1" outlineLevel="1" x14ac:dyDescent="0.35">
      <c r="B65" s="84" t="s">
        <v>26</v>
      </c>
      <c r="C65" s="77"/>
      <c r="D65" s="135"/>
      <c r="E65" s="135" t="e">
        <f t="shared" ref="E65" ca="1" si="205">E64/D64-1</f>
        <v>#DIV/0!</v>
      </c>
      <c r="F65" s="135" t="e">
        <f t="shared" ref="F65" ca="1" si="206">F64/E64-1</f>
        <v>#DIV/0!</v>
      </c>
      <c r="G65" s="135" t="e">
        <f t="shared" ref="G65" ca="1" si="207">G64/F64-1</f>
        <v>#DIV/0!</v>
      </c>
      <c r="H65" s="135" t="e">
        <f t="shared" ref="H65" ca="1" si="208">H64/G64-1</f>
        <v>#DIV/0!</v>
      </c>
      <c r="I65" s="135" t="e">
        <f t="shared" ref="I65" ca="1" si="209">I64/H64-1</f>
        <v>#DIV/0!</v>
      </c>
      <c r="J65" s="135" t="e">
        <f t="shared" ref="J65" ca="1" si="210">J64/I64-1</f>
        <v>#DIV/0!</v>
      </c>
      <c r="K65" s="135" t="e">
        <f t="shared" ref="K65" ca="1" si="211">K64/J64-1</f>
        <v>#DIV/0!</v>
      </c>
      <c r="L65" s="135" t="e">
        <f t="shared" ref="L65" ca="1" si="212">L64/K64-1</f>
        <v>#DIV/0!</v>
      </c>
      <c r="M65" s="135" t="e">
        <f t="shared" ref="M65" ca="1" si="213">M64/L64-1</f>
        <v>#DIV/0!</v>
      </c>
      <c r="N65" s="135" t="e">
        <f t="shared" ref="N65" ca="1" si="214">N64/M64-1</f>
        <v>#DIV/0!</v>
      </c>
      <c r="O65" s="135" t="e">
        <f t="shared" ref="O65" ca="1" si="215">O64/N64-1</f>
        <v>#DIV/0!</v>
      </c>
      <c r="P65" s="135" t="e">
        <f t="shared" ref="P65" ca="1" si="216">P64/O64-1</f>
        <v>#DIV/0!</v>
      </c>
      <c r="Q65" s="135" t="e">
        <f t="shared" ref="Q65" ca="1" si="217">Q64/P64-1</f>
        <v>#DIV/0!</v>
      </c>
      <c r="R65" s="135" t="e">
        <f t="shared" ref="R65" ca="1" si="218">R64/Q64-1</f>
        <v>#DIV/0!</v>
      </c>
      <c r="S65" s="135" t="e">
        <f t="shared" ref="S65" ca="1" si="219">S64/R64-1</f>
        <v>#DIV/0!</v>
      </c>
      <c r="T65" s="135" t="e">
        <f t="shared" ref="T65" ca="1" si="220">T64/S64-1</f>
        <v>#DIV/0!</v>
      </c>
      <c r="U65" s="135" t="e">
        <f t="shared" ref="U65" ca="1" si="221">U64/T64-1</f>
        <v>#DIV/0!</v>
      </c>
      <c r="V65" s="135" t="e">
        <f t="shared" ref="V65" ca="1" si="222">V64/U64-1</f>
        <v>#DIV/0!</v>
      </c>
      <c r="W65" s="135" t="e">
        <f t="shared" ref="W65" ca="1" si="223">W64/V64-1</f>
        <v>#DIV/0!</v>
      </c>
      <c r="X65" s="135" t="e">
        <f t="shared" ref="X65" ca="1" si="224">X64/W64-1</f>
        <v>#DIV/0!</v>
      </c>
      <c r="Y65" s="135" t="e">
        <f t="shared" ref="Y65" ca="1" si="225">Y64/X64-1</f>
        <v>#DIV/0!</v>
      </c>
      <c r="Z65" s="135" t="e">
        <f t="shared" ref="Z65" ca="1" si="226">Z64/Y64-1</f>
        <v>#DIV/0!</v>
      </c>
      <c r="AA65" s="135" t="e">
        <f t="shared" ref="AA65" ca="1" si="227">AA64/Z64-1</f>
        <v>#DIV/0!</v>
      </c>
      <c r="AB65" s="135" t="e">
        <f t="shared" ref="AB65" ca="1" si="228">AB64/AA64-1</f>
        <v>#DIV/0!</v>
      </c>
      <c r="AC65" s="135" t="e">
        <f t="shared" ref="AC65" ca="1" si="229">AC64/AB64-1</f>
        <v>#DIV/0!</v>
      </c>
      <c r="AD65" s="135" t="e">
        <f t="shared" ref="AD65" ca="1" si="230">AD64/AC64-1</f>
        <v>#DIV/0!</v>
      </c>
      <c r="AE65" s="135" t="e">
        <f t="shared" ref="AE65" ca="1" si="231">AE64/AD64-1</f>
        <v>#DIV/0!</v>
      </c>
      <c r="AF65" s="135" t="e">
        <f t="shared" ref="AF65" ca="1" si="232">AF64/AE64-1</f>
        <v>#DIV/0!</v>
      </c>
      <c r="AG65" s="135" t="e">
        <f t="shared" ref="AG65" ca="1" si="233">AG64/AF64-1</f>
        <v>#DIV/0!</v>
      </c>
      <c r="AH65" s="74"/>
    </row>
    <row r="66" spans="2:34" ht="14.5" hidden="1" outlineLevel="1" x14ac:dyDescent="0.35">
      <c r="B66" s="84" t="s">
        <v>120</v>
      </c>
      <c r="C66" s="77"/>
      <c r="D66" s="68">
        <f ca="1">IF(Hypothèses!$D$39=1,VLOOKUP("IDhours_bought"&amp;"S1"&amp;D$39&amp;Hypothèses!$D$17&amp;Hypothèses!$D$18,INDIRECT("'"&amp;Hypothèses!$D$42&amp;"'!$A:$I"),6,FALSE) * D44,0)</f>
        <v>0</v>
      </c>
      <c r="E66" s="68">
        <f ca="1">IF(Hypothèses!$D$39=1,VLOOKUP("IDhours_bought"&amp;"S1"&amp;E$39&amp;Hypothèses!$D$17&amp;Hypothèses!$D$18,INDIRECT("'"&amp;Hypothèses!$D$42&amp;"'!$A:$I"),6,FALSE) * E44,0)</f>
        <v>0</v>
      </c>
      <c r="F66" s="68">
        <f ca="1">IF(Hypothèses!$D$39=1,VLOOKUP("IDhours_bought"&amp;"S1"&amp;F$39&amp;Hypothèses!$D$17&amp;Hypothèses!$D$18,INDIRECT("'"&amp;Hypothèses!$D$42&amp;"'!$A:$I"),6,FALSE) * F44,0)</f>
        <v>0</v>
      </c>
      <c r="G66" s="68">
        <f ca="1">IF(Hypothèses!$D$39=1,VLOOKUP("IDhours_bought"&amp;"S1"&amp;G$39&amp;Hypothèses!$D$17&amp;Hypothèses!$D$18,INDIRECT("'"&amp;Hypothèses!$D$42&amp;"'!$A:$I"),6,FALSE) * G44,0)</f>
        <v>0</v>
      </c>
      <c r="H66" s="68">
        <f ca="1">IF(Hypothèses!$D$39=1,VLOOKUP("IDhours_bought"&amp;"S1"&amp;H$39&amp;Hypothèses!$D$17&amp;Hypothèses!$D$18,INDIRECT("'"&amp;Hypothèses!$D$42&amp;"'!$A:$I"),6,FALSE) * H44,0)</f>
        <v>0</v>
      </c>
      <c r="I66" s="68">
        <f ca="1">IF(Hypothèses!$D$39=1,VLOOKUP("IDhours_bought"&amp;"S1"&amp;I$39&amp;Hypothèses!$D$17&amp;Hypothèses!$D$18,INDIRECT("'"&amp;Hypothèses!$D$42&amp;"'!$A:$I"),6,FALSE) * I44,0)</f>
        <v>0</v>
      </c>
      <c r="J66" s="68">
        <f ca="1">IF(Hypothèses!$D$39=1,VLOOKUP("IDhours_bought"&amp;"S1"&amp;J$39&amp;Hypothèses!$D$17&amp;Hypothèses!$D$18,INDIRECT("'"&amp;Hypothèses!$D$42&amp;"'!$A:$I"),6,FALSE) * J44,0)</f>
        <v>0</v>
      </c>
      <c r="K66" s="68">
        <f ca="1">IF(Hypothèses!$D$39=1,VLOOKUP("IDhours_bought"&amp;"S1"&amp;K$39&amp;Hypothèses!$D$17&amp;Hypothèses!$D$18,INDIRECT("'"&amp;Hypothèses!$D$42&amp;"'!$A:$I"),6,FALSE) * K44,0)</f>
        <v>0</v>
      </c>
      <c r="L66" s="68">
        <f ca="1">IF(Hypothèses!$D$39=1,VLOOKUP("IDhours_bought"&amp;"S1"&amp;L$39&amp;Hypothèses!$D$17&amp;Hypothèses!$D$18,INDIRECT("'"&amp;Hypothèses!$D$42&amp;"'!$A:$I"),6,FALSE) * L44,0)</f>
        <v>0</v>
      </c>
      <c r="M66" s="68">
        <f ca="1">IF(Hypothèses!$D$39=1,VLOOKUP("IDhours_bought"&amp;"S1"&amp;M$39&amp;Hypothèses!$D$17&amp;Hypothèses!$D$18,INDIRECT("'"&amp;Hypothèses!$D$42&amp;"'!$A:$I"),6,FALSE) * M44,0)</f>
        <v>0</v>
      </c>
      <c r="N66" s="68">
        <f ca="1">IF(Hypothèses!$D$39=1,VLOOKUP("IDhours_bought"&amp;"S1"&amp;N$39&amp;Hypothèses!$D$17&amp;Hypothèses!$D$18,INDIRECT("'"&amp;Hypothèses!$D$42&amp;"'!$A:$I"),6,FALSE) * N44,0)</f>
        <v>0</v>
      </c>
      <c r="O66" s="68">
        <f ca="1">IF(Hypothèses!$D$39=1,VLOOKUP("IDhours_bought"&amp;"S1"&amp;O$39&amp;Hypothèses!$D$17&amp;Hypothèses!$D$18,INDIRECT("'"&amp;Hypothèses!$D$42&amp;"'!$A:$I"),6,FALSE) * O44,0)</f>
        <v>0</v>
      </c>
      <c r="P66" s="68">
        <f ca="1">IF(Hypothèses!$D$39=1,VLOOKUP("IDhours_bought"&amp;"S1"&amp;P$39&amp;Hypothèses!$D$17&amp;Hypothèses!$D$18,INDIRECT("'"&amp;Hypothèses!$D$42&amp;"'!$A:$I"),6,FALSE) * P44,0)</f>
        <v>0</v>
      </c>
      <c r="Q66" s="68">
        <f ca="1">IF(Hypothèses!$D$39=1,VLOOKUP("IDhours_bought"&amp;"S1"&amp;Q$39&amp;Hypothèses!$D$17&amp;Hypothèses!$D$18,INDIRECT("'"&amp;Hypothèses!$D$42&amp;"'!$A:$I"),6,FALSE) * Q44,0)</f>
        <v>0</v>
      </c>
      <c r="R66" s="68">
        <f ca="1">IF(Hypothèses!$D$39=1,VLOOKUP("IDhours_bought"&amp;"S1"&amp;R$39&amp;Hypothèses!$D$17&amp;Hypothèses!$D$18,INDIRECT("'"&amp;Hypothèses!$D$42&amp;"'!$A:$I"),6,FALSE) * R44,0)</f>
        <v>0</v>
      </c>
      <c r="S66" s="68">
        <f ca="1">IF(Hypothèses!$D$39=1,VLOOKUP("IDhours_bought"&amp;"S1"&amp;S$39&amp;Hypothèses!$D$17&amp;Hypothèses!$D$18,INDIRECT("'"&amp;Hypothèses!$D$42&amp;"'!$A:$I"),6,FALSE) * S44,0)</f>
        <v>0</v>
      </c>
      <c r="T66" s="68">
        <f ca="1">IF(Hypothèses!$D$39=1,VLOOKUP("IDhours_bought"&amp;"S1"&amp;T$39&amp;Hypothèses!$D$17&amp;Hypothèses!$D$18,INDIRECT("'"&amp;Hypothèses!$D$42&amp;"'!$A:$I"),6,FALSE) * T44,0)</f>
        <v>0</v>
      </c>
      <c r="U66" s="68">
        <f ca="1">IF(Hypothèses!$D$39=1,VLOOKUP("IDhours_bought"&amp;"S1"&amp;U$39&amp;Hypothèses!$D$17&amp;Hypothèses!$D$18,INDIRECT("'"&amp;Hypothèses!$D$42&amp;"'!$A:$I"),6,FALSE) * U44,0)</f>
        <v>0</v>
      </c>
      <c r="V66" s="68">
        <f ca="1">IF(Hypothèses!$D$39=1,VLOOKUP("IDhours_bought"&amp;"S1"&amp;V$39&amp;Hypothèses!$D$17&amp;Hypothèses!$D$18,INDIRECT("'"&amp;Hypothèses!$D$42&amp;"'!$A:$I"),6,FALSE) * V44,0)</f>
        <v>0</v>
      </c>
      <c r="W66" s="68">
        <f ca="1">IF(Hypothèses!$D$39=1,VLOOKUP("IDhours_bought"&amp;"S1"&amp;W$39&amp;Hypothèses!$D$17&amp;Hypothèses!$D$18,INDIRECT("'"&amp;Hypothèses!$D$42&amp;"'!$A:$I"),6,FALSE) * W44,0)</f>
        <v>0</v>
      </c>
      <c r="X66" s="68">
        <f ca="1">IF(Hypothèses!$D$39=1,VLOOKUP("IDhours_bought"&amp;"S1"&amp;X$39&amp;Hypothèses!$D$17&amp;Hypothèses!$D$18,INDIRECT("'"&amp;Hypothèses!$D$42&amp;"'!$A:$I"),6,FALSE) * X44,0)</f>
        <v>0</v>
      </c>
      <c r="Y66" s="68">
        <f ca="1">IF(Hypothèses!$D$39=1,VLOOKUP("IDhours_bought"&amp;"S1"&amp;Y$39&amp;Hypothèses!$D$17&amp;Hypothèses!$D$18,INDIRECT("'"&amp;Hypothèses!$D$42&amp;"'!$A:$I"),6,FALSE) * Y44,0)</f>
        <v>0</v>
      </c>
      <c r="Z66" s="68">
        <f ca="1">IF(Hypothèses!$D$39=1,VLOOKUP("IDhours_bought"&amp;"S1"&amp;Z$39&amp;Hypothèses!$D$17&amp;Hypothèses!$D$18,INDIRECT("'"&amp;Hypothèses!$D$42&amp;"'!$A:$I"),6,FALSE) * Z44,0)</f>
        <v>0</v>
      </c>
      <c r="AA66" s="68">
        <f ca="1">IF(Hypothèses!$D$39=1,VLOOKUP("IDhours_bought"&amp;"S1"&amp;AA$39&amp;Hypothèses!$D$17&amp;Hypothèses!$D$18,INDIRECT("'"&amp;Hypothèses!$D$42&amp;"'!$A:$I"),6,FALSE) * AA44,0)</f>
        <v>0</v>
      </c>
      <c r="AB66" s="68">
        <f ca="1">IF(Hypothèses!$D$39=1,VLOOKUP("IDhours_bought"&amp;"S1"&amp;AB$39&amp;Hypothèses!$D$17&amp;Hypothèses!$D$18,INDIRECT("'"&amp;Hypothèses!$D$42&amp;"'!$A:$I"),6,FALSE) * AB44,0)</f>
        <v>0</v>
      </c>
      <c r="AC66" s="68">
        <f ca="1">IF(Hypothèses!$D$39=1,VLOOKUP("IDhours_bought"&amp;"S1"&amp;AC$39&amp;Hypothèses!$D$17&amp;Hypothèses!$D$18,INDIRECT("'"&amp;Hypothèses!$D$42&amp;"'!$A:$I"),6,FALSE) * AC44,0)</f>
        <v>0</v>
      </c>
      <c r="AD66" s="68">
        <f ca="1">IF(Hypothèses!$D$39=1,VLOOKUP("IDhours_bought"&amp;"S1"&amp;AD$39&amp;Hypothèses!$D$17&amp;Hypothèses!$D$18,INDIRECT("'"&amp;Hypothèses!$D$42&amp;"'!$A:$I"),6,FALSE) * AD44,0)</f>
        <v>0</v>
      </c>
      <c r="AE66" s="68">
        <f ca="1">IF(Hypothèses!$D$39=1,VLOOKUP("IDhours_bought"&amp;"S1"&amp;AE$39&amp;Hypothèses!$D$17&amp;Hypothèses!$D$18,INDIRECT("'"&amp;Hypothèses!$D$42&amp;"'!$A:$I"),6,FALSE) * AE44,0)</f>
        <v>0</v>
      </c>
      <c r="AF66" s="68">
        <f ca="1">IF(Hypothèses!$D$39=1,VLOOKUP("IDhours_bought"&amp;"S1"&amp;AF$39&amp;Hypothèses!$D$17&amp;Hypothèses!$D$18,INDIRECT("'"&amp;Hypothèses!$D$42&amp;"'!$A:$I"),6,FALSE) * AF44,0)</f>
        <v>0</v>
      </c>
      <c r="AG66" s="68">
        <f ca="1">IF(Hypothèses!$D$39=1,VLOOKUP("IDhours_bought"&amp;"S1"&amp;AG$39&amp;Hypothèses!$D$17&amp;Hypothèses!$D$18,INDIRECT("'"&amp;Hypothèses!$D$42&amp;"'!$A:$I"),6,FALSE) * AG44,0)</f>
        <v>0</v>
      </c>
      <c r="AH66" s="74"/>
    </row>
    <row r="67" spans="2:34" s="82" customFormat="1" hidden="1" outlineLevel="1" x14ac:dyDescent="0.3">
      <c r="B67" s="83" t="s">
        <v>137</v>
      </c>
    </row>
    <row r="68" spans="2:34" hidden="1" outlineLevel="1" x14ac:dyDescent="0.3">
      <c r="B68" s="77" t="s">
        <v>138</v>
      </c>
      <c r="C68" s="77"/>
      <c r="D68" s="71">
        <f ca="1">IF(Hypothèses!$D$40=1,VLOOKUP("MAincome"&amp;"S1"&amp;D$39&amp;Hypothèses!$D$17&amp;Hypothèses!$D$18,INDIRECT("'"&amp;Hypothèses!$D$42&amp;"'!$A:$I"),6,FALSE)*(1+$C$37)^C43 * D44,0)</f>
        <v>0</v>
      </c>
      <c r="E68" s="71">
        <f ca="1">IF(Hypothèses!$D$40=1,VLOOKUP("MAincome"&amp;"S1"&amp;E$39&amp;Hypothèses!$D$17&amp;Hypothèses!$D$18,INDIRECT("'"&amp;Hypothèses!$D$42&amp;"'!$A:$I"),6,FALSE)*(1+$C$37)^D43 * E44,0)</f>
        <v>0</v>
      </c>
      <c r="F68" s="71">
        <f ca="1">IF(Hypothèses!$D$40=1,VLOOKUP("MAincome"&amp;"S1"&amp;F$39&amp;Hypothèses!$D$17&amp;Hypothèses!$D$18,INDIRECT("'"&amp;Hypothèses!$D$42&amp;"'!$A:$I"),6,FALSE)*(1+$C$37)^E43 * F44,0)</f>
        <v>0</v>
      </c>
      <c r="G68" s="71">
        <f ca="1">IF(Hypothèses!$D$40=1,VLOOKUP("MAincome"&amp;"S1"&amp;G$39&amp;Hypothèses!$D$17&amp;Hypothèses!$D$18,INDIRECT("'"&amp;Hypothèses!$D$42&amp;"'!$A:$I"),6,FALSE)*(1+$C$37)^F43 * G44,0)</f>
        <v>0</v>
      </c>
      <c r="H68" s="71">
        <f ca="1">IF(Hypothèses!$D$40=1,VLOOKUP("MAincome"&amp;"S1"&amp;H$39&amp;Hypothèses!$D$17&amp;Hypothèses!$D$18,INDIRECT("'"&amp;Hypothèses!$D$42&amp;"'!$A:$I"),6,FALSE)*(1+$C$37)^G43 * H44,0)</f>
        <v>0</v>
      </c>
      <c r="I68" s="71">
        <f ca="1">IF(Hypothèses!$D$40=1,VLOOKUP("MAincome"&amp;"S1"&amp;I$39&amp;Hypothèses!$D$17&amp;Hypothèses!$D$18,INDIRECT("'"&amp;Hypothèses!$D$42&amp;"'!$A:$I"),6,FALSE)*(1+$C$37)^H43 * I44,0)</f>
        <v>0</v>
      </c>
      <c r="J68" s="71">
        <f ca="1">IF(Hypothèses!$D$40=1,VLOOKUP("MAincome"&amp;"S1"&amp;J$39&amp;Hypothèses!$D$17&amp;Hypothèses!$D$18,INDIRECT("'"&amp;Hypothèses!$D$42&amp;"'!$A:$I"),6,FALSE)*(1+$C$37)^I43 * J44,0)</f>
        <v>0</v>
      </c>
      <c r="K68" s="71">
        <f ca="1">IF(Hypothèses!$D$40=1,VLOOKUP("MAincome"&amp;"S1"&amp;K$39&amp;Hypothèses!$D$17&amp;Hypothèses!$D$18,INDIRECT("'"&amp;Hypothèses!$D$42&amp;"'!$A:$I"),6,FALSE)*(1+$C$37)^J43 * K44,0)</f>
        <v>0</v>
      </c>
      <c r="L68" s="71">
        <f ca="1">IF(Hypothèses!$D$40=1,VLOOKUP("MAincome"&amp;"S1"&amp;L$39&amp;Hypothèses!$D$17&amp;Hypothèses!$D$18,INDIRECT("'"&amp;Hypothèses!$D$42&amp;"'!$A:$I"),6,FALSE)*(1+$C$37)^K43 * L44,0)</f>
        <v>0</v>
      </c>
      <c r="M68" s="71">
        <f ca="1">IF(Hypothèses!$D$40=1,VLOOKUP("MAincome"&amp;"S1"&amp;M$39&amp;Hypothèses!$D$17&amp;Hypothèses!$D$18,INDIRECT("'"&amp;Hypothèses!$D$42&amp;"'!$A:$I"),6,FALSE)*(1+$C$37)^L43 * M44,0)</f>
        <v>0</v>
      </c>
      <c r="N68" s="71">
        <f ca="1">IF(Hypothèses!$D$40=1,VLOOKUP("MAincome"&amp;"S1"&amp;N$39&amp;Hypothèses!$D$17&amp;Hypothèses!$D$18,INDIRECT("'"&amp;Hypothèses!$D$42&amp;"'!$A:$I"),6,FALSE)*(1+$C$37)^M43 * N44,0)</f>
        <v>0</v>
      </c>
      <c r="O68" s="71">
        <f ca="1">IF(Hypothèses!$D$40=1,VLOOKUP("MAincome"&amp;"S1"&amp;O$39&amp;Hypothèses!$D$17&amp;Hypothèses!$D$18,INDIRECT("'"&amp;Hypothèses!$D$42&amp;"'!$A:$I"),6,FALSE)*(1+$C$37)^N43 * O44,0)</f>
        <v>0</v>
      </c>
      <c r="P68" s="71">
        <f ca="1">IF(Hypothèses!$D$40=1,VLOOKUP("MAincome"&amp;"S1"&amp;P$39&amp;Hypothèses!$D$17&amp;Hypothèses!$D$18,INDIRECT("'"&amp;Hypothèses!$D$42&amp;"'!$A:$I"),6,FALSE)*(1+$C$37)^O43 * P44,0)</f>
        <v>0</v>
      </c>
      <c r="Q68" s="71">
        <f ca="1">IF(Hypothèses!$D$40=1,VLOOKUP("MAincome"&amp;"S1"&amp;Q$39&amp;Hypothèses!$D$17&amp;Hypothèses!$D$18,INDIRECT("'"&amp;Hypothèses!$D$42&amp;"'!$A:$I"),6,FALSE)*(1+$C$37)^P43 * Q44,0)</f>
        <v>0</v>
      </c>
      <c r="R68" s="71">
        <f ca="1">IF(Hypothèses!$D$40=1,VLOOKUP("MAincome"&amp;"S1"&amp;R$39&amp;Hypothèses!$D$17&amp;Hypothèses!$D$18,INDIRECT("'"&amp;Hypothèses!$D$42&amp;"'!$A:$I"),6,FALSE)*(1+$C$37)^Q43 * R44,0)</f>
        <v>0</v>
      </c>
      <c r="S68" s="71">
        <f ca="1">IF(Hypothèses!$D$40=1,VLOOKUP("MAincome"&amp;"S1"&amp;S$39&amp;Hypothèses!$D$17&amp;Hypothèses!$D$18,INDIRECT("'"&amp;Hypothèses!$D$42&amp;"'!$A:$I"),6,FALSE)*(1+$C$37)^R43 * S44,0)</f>
        <v>0</v>
      </c>
      <c r="T68" s="71">
        <f ca="1">IF(Hypothèses!$D$40=1,VLOOKUP("MAincome"&amp;"S1"&amp;T$39&amp;Hypothèses!$D$17&amp;Hypothèses!$D$18,INDIRECT("'"&amp;Hypothèses!$D$42&amp;"'!$A:$I"),6,FALSE)*(1+$C$37)^S43 * T44,0)</f>
        <v>0</v>
      </c>
      <c r="U68" s="71">
        <f ca="1">IF(Hypothèses!$D$40=1,VLOOKUP("MAincome"&amp;"S1"&amp;U$39&amp;Hypothèses!$D$17&amp;Hypothèses!$D$18,INDIRECT("'"&amp;Hypothèses!$D$42&amp;"'!$A:$I"),6,FALSE)*(1+$C$37)^T43 * U44,0)</f>
        <v>0</v>
      </c>
      <c r="V68" s="71">
        <f ca="1">IF(Hypothèses!$D$40=1,VLOOKUP("MAincome"&amp;"S1"&amp;V$39&amp;Hypothèses!$D$17&amp;Hypothèses!$D$18,INDIRECT("'"&amp;Hypothèses!$D$42&amp;"'!$A:$I"),6,FALSE)*(1+$C$37)^U43 * V44,0)</f>
        <v>0</v>
      </c>
      <c r="W68" s="71">
        <f ca="1">IF(Hypothèses!$D$40=1,VLOOKUP("MAincome"&amp;"S1"&amp;W$39&amp;Hypothèses!$D$17&amp;Hypothèses!$D$18,INDIRECT("'"&amp;Hypothèses!$D$42&amp;"'!$A:$I"),6,FALSE)*(1+$C$37)^V43 * W44,0)</f>
        <v>0</v>
      </c>
      <c r="X68" s="71">
        <f ca="1">IF(Hypothèses!$D$40=1,VLOOKUP("MAincome"&amp;"S1"&amp;X$39&amp;Hypothèses!$D$17&amp;Hypothèses!$D$18,INDIRECT("'"&amp;Hypothèses!$D$42&amp;"'!$A:$I"),6,FALSE)*(1+$C$37)^W43 * X44,0)</f>
        <v>0</v>
      </c>
      <c r="Y68" s="71">
        <f ca="1">IF(Hypothèses!$D$40=1,VLOOKUP("MAincome"&amp;"S1"&amp;Y$39&amp;Hypothèses!$D$17&amp;Hypothèses!$D$18,INDIRECT("'"&amp;Hypothèses!$D$42&amp;"'!$A:$I"),6,FALSE)*(1+$C$37)^X43 * Y44,0)</f>
        <v>0</v>
      </c>
      <c r="Z68" s="71">
        <f ca="1">IF(Hypothèses!$D$40=1,VLOOKUP("MAincome"&amp;"S1"&amp;Z$39&amp;Hypothèses!$D$17&amp;Hypothèses!$D$18,INDIRECT("'"&amp;Hypothèses!$D$42&amp;"'!$A:$I"),6,FALSE)*(1+$C$37)^Y43 * Z44,0)</f>
        <v>0</v>
      </c>
      <c r="AA68" s="71">
        <f ca="1">IF(Hypothèses!$D$40=1,VLOOKUP("MAincome"&amp;"S1"&amp;AA$39&amp;Hypothèses!$D$17&amp;Hypothèses!$D$18,INDIRECT("'"&amp;Hypothèses!$D$42&amp;"'!$A:$I"),6,FALSE)*(1+$C$37)^Z43 * AA44,0)</f>
        <v>0</v>
      </c>
      <c r="AB68" s="71">
        <f ca="1">IF(Hypothèses!$D$40=1,VLOOKUP("MAincome"&amp;"S1"&amp;AB$39&amp;Hypothèses!$D$17&amp;Hypothèses!$D$18,INDIRECT("'"&amp;Hypothèses!$D$42&amp;"'!$A:$I"),6,FALSE)*(1+$C$37)^AA43 * AB44,0)</f>
        <v>0</v>
      </c>
      <c r="AC68" s="71">
        <f ca="1">IF(Hypothèses!$D$40=1,VLOOKUP("MAincome"&amp;"S1"&amp;AC$39&amp;Hypothèses!$D$17&amp;Hypothèses!$D$18,INDIRECT("'"&amp;Hypothèses!$D$42&amp;"'!$A:$I"),6,FALSE)*(1+$C$37)^AB43 * AC44,0)</f>
        <v>0</v>
      </c>
      <c r="AD68" s="71">
        <f ca="1">IF(Hypothèses!$D$40=1,VLOOKUP("MAincome"&amp;"S1"&amp;AD$39&amp;Hypothèses!$D$17&amp;Hypothèses!$D$18,INDIRECT("'"&amp;Hypothèses!$D$42&amp;"'!$A:$I"),6,FALSE)*(1+$C$37)^AC43 * AD44,0)</f>
        <v>0</v>
      </c>
      <c r="AE68" s="71">
        <f ca="1">IF(Hypothèses!$D$40=1,VLOOKUP("MAincome"&amp;"S1"&amp;AE$39&amp;Hypothèses!$D$17&amp;Hypothèses!$D$18,INDIRECT("'"&amp;Hypothèses!$D$42&amp;"'!$A:$I"),6,FALSE)*(1+$C$37)^AD43 * AE44,0)</f>
        <v>0</v>
      </c>
      <c r="AF68" s="71">
        <f ca="1">IF(Hypothèses!$D$40=1,VLOOKUP("MAincome"&amp;"S1"&amp;AF$39&amp;Hypothèses!$D$17&amp;Hypothèses!$D$18,INDIRECT("'"&amp;Hypothèses!$D$42&amp;"'!$A:$I"),6,FALSE)*(1+$C$37)^AE43 * AF44,0)</f>
        <v>0</v>
      </c>
      <c r="AG68" s="71">
        <f ca="1">IF(Hypothèses!$D$40=1,VLOOKUP("MAincome"&amp;"S1"&amp;AG$39&amp;Hypothèses!$D$17&amp;Hypothèses!$D$18,INDIRECT("'"&amp;Hypothèses!$D$42&amp;"'!$A:$I"),6,FALSE)*(1+$C$37)^AF43 * AG44,0)</f>
        <v>0</v>
      </c>
      <c r="AH68" s="74"/>
    </row>
    <row r="69" spans="2:34" ht="14.5" hidden="1" outlineLevel="1" x14ac:dyDescent="0.35">
      <c r="B69" s="84" t="s">
        <v>26</v>
      </c>
      <c r="C69" s="77"/>
      <c r="D69" s="135"/>
      <c r="E69" s="135" t="e">
        <f t="shared" ref="E69" ca="1" si="234">E68/D68-1</f>
        <v>#DIV/0!</v>
      </c>
      <c r="F69" s="135" t="e">
        <f t="shared" ref="F69" ca="1" si="235">F68/E68-1</f>
        <v>#DIV/0!</v>
      </c>
      <c r="G69" s="135" t="e">
        <f t="shared" ref="G69" ca="1" si="236">G68/F68-1</f>
        <v>#DIV/0!</v>
      </c>
      <c r="H69" s="135" t="e">
        <f t="shared" ref="H69" ca="1" si="237">H68/G68-1</f>
        <v>#DIV/0!</v>
      </c>
      <c r="I69" s="135" t="e">
        <f t="shared" ref="I69" ca="1" si="238">I68/H68-1</f>
        <v>#DIV/0!</v>
      </c>
      <c r="J69" s="135" t="e">
        <f t="shared" ref="J69" ca="1" si="239">J68/I68-1</f>
        <v>#DIV/0!</v>
      </c>
      <c r="K69" s="135" t="e">
        <f t="shared" ref="K69" ca="1" si="240">K68/J68-1</f>
        <v>#DIV/0!</v>
      </c>
      <c r="L69" s="135" t="e">
        <f t="shared" ref="L69" ca="1" si="241">L68/K68-1</f>
        <v>#DIV/0!</v>
      </c>
      <c r="M69" s="135" t="e">
        <f t="shared" ref="M69" ca="1" si="242">M68/L68-1</f>
        <v>#DIV/0!</v>
      </c>
      <c r="N69" s="135" t="e">
        <f t="shared" ref="N69" ca="1" si="243">N68/M68-1</f>
        <v>#DIV/0!</v>
      </c>
      <c r="O69" s="135" t="e">
        <f t="shared" ref="O69" ca="1" si="244">O68/N68-1</f>
        <v>#DIV/0!</v>
      </c>
      <c r="P69" s="135" t="e">
        <f t="shared" ref="P69" ca="1" si="245">P68/O68-1</f>
        <v>#DIV/0!</v>
      </c>
      <c r="Q69" s="135" t="e">
        <f t="shared" ref="Q69" ca="1" si="246">Q68/P68-1</f>
        <v>#DIV/0!</v>
      </c>
      <c r="R69" s="135" t="e">
        <f t="shared" ref="R69" ca="1" si="247">R68/Q68-1</f>
        <v>#DIV/0!</v>
      </c>
      <c r="S69" s="135" t="e">
        <f t="shared" ref="S69" ca="1" si="248">S68/R68-1</f>
        <v>#DIV/0!</v>
      </c>
      <c r="T69" s="135" t="e">
        <f t="shared" ref="T69" ca="1" si="249">T68/S68-1</f>
        <v>#DIV/0!</v>
      </c>
      <c r="U69" s="135" t="e">
        <f t="shared" ref="U69" ca="1" si="250">U68/T68-1</f>
        <v>#DIV/0!</v>
      </c>
      <c r="V69" s="135" t="e">
        <f t="shared" ref="V69" ca="1" si="251">V68/U68-1</f>
        <v>#DIV/0!</v>
      </c>
      <c r="W69" s="135" t="e">
        <f t="shared" ref="W69" ca="1" si="252">W68/V68-1</f>
        <v>#DIV/0!</v>
      </c>
      <c r="X69" s="135" t="e">
        <f t="shared" ref="X69" ca="1" si="253">X68/W68-1</f>
        <v>#DIV/0!</v>
      </c>
      <c r="Y69" s="135" t="e">
        <f t="shared" ref="Y69" ca="1" si="254">Y68/X68-1</f>
        <v>#DIV/0!</v>
      </c>
      <c r="Z69" s="135" t="e">
        <f t="shared" ref="Z69" ca="1" si="255">Z68/Y68-1</f>
        <v>#DIV/0!</v>
      </c>
      <c r="AA69" s="135" t="e">
        <f t="shared" ref="AA69" ca="1" si="256">AA68/Z68-1</f>
        <v>#DIV/0!</v>
      </c>
      <c r="AB69" s="135" t="e">
        <f t="shared" ref="AB69" ca="1" si="257">AB68/AA68-1</f>
        <v>#DIV/0!</v>
      </c>
      <c r="AC69" s="135" t="e">
        <f t="shared" ref="AC69" ca="1" si="258">AC68/AB68-1</f>
        <v>#DIV/0!</v>
      </c>
      <c r="AD69" s="135" t="e">
        <f t="shared" ref="AD69" ca="1" si="259">AD68/AC68-1</f>
        <v>#DIV/0!</v>
      </c>
      <c r="AE69" s="135" t="e">
        <f t="shared" ref="AE69" ca="1" si="260">AE68/AD68-1</f>
        <v>#DIV/0!</v>
      </c>
      <c r="AF69" s="135" t="e">
        <f t="shared" ref="AF69" ca="1" si="261">AF68/AE68-1</f>
        <v>#DIV/0!</v>
      </c>
      <c r="AG69" s="135" t="e">
        <f t="shared" ref="AG69" ca="1" si="262">AG68/AF68-1</f>
        <v>#DIV/0!</v>
      </c>
      <c r="AH69" s="74"/>
    </row>
    <row r="70" spans="2:34" hidden="1" outlineLevel="1" x14ac:dyDescent="0.3">
      <c r="B70" s="77" t="s">
        <v>139</v>
      </c>
      <c r="C70" s="77"/>
      <c r="D70" s="68">
        <f ca="1">IF(Hypothèses!$D$40=1,VLOOKUP("MAenergy_sold"&amp;"S1"&amp;D$39&amp;Hypothèses!$D$17&amp;Hypothèses!$D$18,INDIRECT("'"&amp;Hypothèses!$D$42&amp;"'!$A:$I"),6,FALSE) * D44,0)</f>
        <v>0</v>
      </c>
      <c r="E70" s="68">
        <f ca="1">IF(Hypothèses!$D$40=1,VLOOKUP("MAenergy_sold"&amp;"S1"&amp;E$39&amp;Hypothèses!$D$17&amp;Hypothèses!$D$18,INDIRECT("'"&amp;Hypothèses!$D$42&amp;"'!$A:$I"),6,FALSE) * E44,0)</f>
        <v>0</v>
      </c>
      <c r="F70" s="68">
        <f ca="1">IF(Hypothèses!$D$40=1,VLOOKUP("MAenergy_sold"&amp;"S1"&amp;F$39&amp;Hypothèses!$D$17&amp;Hypothèses!$D$18,INDIRECT("'"&amp;Hypothèses!$D$42&amp;"'!$A:$I"),6,FALSE) * F44,0)</f>
        <v>0</v>
      </c>
      <c r="G70" s="68">
        <f ca="1">IF(Hypothèses!$D$40=1,VLOOKUP("MAenergy_sold"&amp;"S1"&amp;G$39&amp;Hypothèses!$D$17&amp;Hypothèses!$D$18,INDIRECT("'"&amp;Hypothèses!$D$42&amp;"'!$A:$I"),6,FALSE) * G44,0)</f>
        <v>0</v>
      </c>
      <c r="H70" s="68">
        <f ca="1">IF(Hypothèses!$D$40=1,VLOOKUP("MAenergy_sold"&amp;"S1"&amp;H$39&amp;Hypothèses!$D$17&amp;Hypothèses!$D$18,INDIRECT("'"&amp;Hypothèses!$D$42&amp;"'!$A:$I"),6,FALSE) * H44,0)</f>
        <v>0</v>
      </c>
      <c r="I70" s="68">
        <f ca="1">IF(Hypothèses!$D$40=1,VLOOKUP("MAenergy_sold"&amp;"S1"&amp;I$39&amp;Hypothèses!$D$17&amp;Hypothèses!$D$18,INDIRECT("'"&amp;Hypothèses!$D$42&amp;"'!$A:$I"),6,FALSE) * I44,0)</f>
        <v>0</v>
      </c>
      <c r="J70" s="68">
        <f ca="1">IF(Hypothèses!$D$40=1,VLOOKUP("MAenergy_sold"&amp;"S1"&amp;J$39&amp;Hypothèses!$D$17&amp;Hypothèses!$D$18,INDIRECT("'"&amp;Hypothèses!$D$42&amp;"'!$A:$I"),6,FALSE) * J44,0)</f>
        <v>0</v>
      </c>
      <c r="K70" s="68">
        <f ca="1">IF(Hypothèses!$D$40=1,VLOOKUP("MAenergy_sold"&amp;"S1"&amp;K$39&amp;Hypothèses!$D$17&amp;Hypothèses!$D$18,INDIRECT("'"&amp;Hypothèses!$D$42&amp;"'!$A:$I"),6,FALSE) * K44,0)</f>
        <v>0</v>
      </c>
      <c r="L70" s="68">
        <f ca="1">IF(Hypothèses!$D$40=1,VLOOKUP("MAenergy_sold"&amp;"S1"&amp;L$39&amp;Hypothèses!$D$17&amp;Hypothèses!$D$18,INDIRECT("'"&amp;Hypothèses!$D$42&amp;"'!$A:$I"),6,FALSE) * L44,0)</f>
        <v>0</v>
      </c>
      <c r="M70" s="68">
        <f ca="1">IF(Hypothèses!$D$40=1,VLOOKUP("MAenergy_sold"&amp;"S1"&amp;M$39&amp;Hypothèses!$D$17&amp;Hypothèses!$D$18,INDIRECT("'"&amp;Hypothèses!$D$42&amp;"'!$A:$I"),6,FALSE) * M44,0)</f>
        <v>0</v>
      </c>
      <c r="N70" s="68">
        <f ca="1">IF(Hypothèses!$D$40=1,VLOOKUP("MAenergy_sold"&amp;"S1"&amp;N$39&amp;Hypothèses!$D$17&amp;Hypothèses!$D$18,INDIRECT("'"&amp;Hypothèses!$D$42&amp;"'!$A:$I"),6,FALSE) * N44,0)</f>
        <v>0</v>
      </c>
      <c r="O70" s="68">
        <f ca="1">IF(Hypothèses!$D$40=1,VLOOKUP("MAenergy_sold"&amp;"S1"&amp;O$39&amp;Hypothèses!$D$17&amp;Hypothèses!$D$18,INDIRECT("'"&amp;Hypothèses!$D$42&amp;"'!$A:$I"),6,FALSE) * O44,0)</f>
        <v>0</v>
      </c>
      <c r="P70" s="68">
        <f ca="1">IF(Hypothèses!$D$40=1,VLOOKUP("MAenergy_sold"&amp;"S1"&amp;P$39&amp;Hypothèses!$D$17&amp;Hypothèses!$D$18,INDIRECT("'"&amp;Hypothèses!$D$42&amp;"'!$A:$I"),6,FALSE) * P44,0)</f>
        <v>0</v>
      </c>
      <c r="Q70" s="68">
        <f ca="1">IF(Hypothèses!$D$40=1,VLOOKUP("MAenergy_sold"&amp;"S1"&amp;Q$39&amp;Hypothèses!$D$17&amp;Hypothèses!$D$18,INDIRECT("'"&amp;Hypothèses!$D$42&amp;"'!$A:$I"),6,FALSE) * Q44,0)</f>
        <v>0</v>
      </c>
      <c r="R70" s="68">
        <f ca="1">IF(Hypothèses!$D$40=1,VLOOKUP("MAenergy_sold"&amp;"S1"&amp;R$39&amp;Hypothèses!$D$17&amp;Hypothèses!$D$18,INDIRECT("'"&amp;Hypothèses!$D$42&amp;"'!$A:$I"),6,FALSE) * R44,0)</f>
        <v>0</v>
      </c>
      <c r="S70" s="68">
        <f ca="1">IF(Hypothèses!$D$40=1,VLOOKUP("MAenergy_sold"&amp;"S1"&amp;S$39&amp;Hypothèses!$D$17&amp;Hypothèses!$D$18,INDIRECT("'"&amp;Hypothèses!$D$42&amp;"'!$A:$I"),6,FALSE) * S44,0)</f>
        <v>0</v>
      </c>
      <c r="T70" s="68">
        <f ca="1">IF(Hypothèses!$D$40=1,VLOOKUP("MAenergy_sold"&amp;"S1"&amp;T$39&amp;Hypothèses!$D$17&amp;Hypothèses!$D$18,INDIRECT("'"&amp;Hypothèses!$D$42&amp;"'!$A:$I"),6,FALSE) * T44,0)</f>
        <v>0</v>
      </c>
      <c r="U70" s="68">
        <f ca="1">IF(Hypothèses!$D$40=1,VLOOKUP("MAenergy_sold"&amp;"S1"&amp;U$39&amp;Hypothèses!$D$17&amp;Hypothèses!$D$18,INDIRECT("'"&amp;Hypothèses!$D$42&amp;"'!$A:$I"),6,FALSE) * U44,0)</f>
        <v>0</v>
      </c>
      <c r="V70" s="68">
        <f ca="1">IF(Hypothèses!$D$40=1,VLOOKUP("MAenergy_sold"&amp;"S1"&amp;V$39&amp;Hypothèses!$D$17&amp;Hypothèses!$D$18,INDIRECT("'"&amp;Hypothèses!$D$42&amp;"'!$A:$I"),6,FALSE) * V44,0)</f>
        <v>0</v>
      </c>
      <c r="W70" s="68">
        <f ca="1">IF(Hypothèses!$D$40=1,VLOOKUP("MAenergy_sold"&amp;"S1"&amp;W$39&amp;Hypothèses!$D$17&amp;Hypothèses!$D$18,INDIRECT("'"&amp;Hypothèses!$D$42&amp;"'!$A:$I"),6,FALSE) * W44,0)</f>
        <v>0</v>
      </c>
      <c r="X70" s="68">
        <f ca="1">IF(Hypothèses!$D$40=1,VLOOKUP("MAenergy_sold"&amp;"S1"&amp;X$39&amp;Hypothèses!$D$17&amp;Hypothèses!$D$18,INDIRECT("'"&amp;Hypothèses!$D$42&amp;"'!$A:$I"),6,FALSE) * X44,0)</f>
        <v>0</v>
      </c>
      <c r="Y70" s="68">
        <f ca="1">IF(Hypothèses!$D$40=1,VLOOKUP("MAenergy_sold"&amp;"S1"&amp;Y$39&amp;Hypothèses!$D$17&amp;Hypothèses!$D$18,INDIRECT("'"&amp;Hypothèses!$D$42&amp;"'!$A:$I"),6,FALSE) * Y44,0)</f>
        <v>0</v>
      </c>
      <c r="Z70" s="68">
        <f ca="1">IF(Hypothèses!$D$40=1,VLOOKUP("MAenergy_sold"&amp;"S1"&amp;Z$39&amp;Hypothèses!$D$17&amp;Hypothèses!$D$18,INDIRECT("'"&amp;Hypothèses!$D$42&amp;"'!$A:$I"),6,FALSE) * Z44,0)</f>
        <v>0</v>
      </c>
      <c r="AA70" s="68">
        <f ca="1">IF(Hypothèses!$D$40=1,VLOOKUP("MAenergy_sold"&amp;"S1"&amp;AA$39&amp;Hypothèses!$D$17&amp;Hypothèses!$D$18,INDIRECT("'"&amp;Hypothèses!$D$42&amp;"'!$A:$I"),6,FALSE) * AA44,0)</f>
        <v>0</v>
      </c>
      <c r="AB70" s="68">
        <f ca="1">IF(Hypothèses!$D$40=1,VLOOKUP("MAenergy_sold"&amp;"S1"&amp;AB$39&amp;Hypothèses!$D$17&amp;Hypothèses!$D$18,INDIRECT("'"&amp;Hypothèses!$D$42&amp;"'!$A:$I"),6,FALSE) * AB44,0)</f>
        <v>0</v>
      </c>
      <c r="AC70" s="68">
        <f ca="1">IF(Hypothèses!$D$40=1,VLOOKUP("MAenergy_sold"&amp;"S1"&amp;AC$39&amp;Hypothèses!$D$17&amp;Hypothèses!$D$18,INDIRECT("'"&amp;Hypothèses!$D$42&amp;"'!$A:$I"),6,FALSE) * AC44,0)</f>
        <v>0</v>
      </c>
      <c r="AD70" s="68">
        <f ca="1">IF(Hypothèses!$D$40=1,VLOOKUP("MAenergy_sold"&amp;"S1"&amp;AD$39&amp;Hypothèses!$D$17&amp;Hypothèses!$D$18,INDIRECT("'"&amp;Hypothèses!$D$42&amp;"'!$A:$I"),6,FALSE) * AD44,0)</f>
        <v>0</v>
      </c>
      <c r="AE70" s="68">
        <f ca="1">IF(Hypothèses!$D$40=1,VLOOKUP("MAenergy_sold"&amp;"S1"&amp;AE$39&amp;Hypothèses!$D$17&amp;Hypothèses!$D$18,INDIRECT("'"&amp;Hypothèses!$D$42&amp;"'!$A:$I"),6,FALSE) * AE44,0)</f>
        <v>0</v>
      </c>
      <c r="AF70" s="68">
        <f ca="1">IF(Hypothèses!$D$40=1,VLOOKUP("MAenergy_sold"&amp;"S1"&amp;AF$39&amp;Hypothèses!$D$17&amp;Hypothèses!$D$18,INDIRECT("'"&amp;Hypothèses!$D$42&amp;"'!$A:$I"),6,FALSE) * AF44,0)</f>
        <v>0</v>
      </c>
      <c r="AG70" s="68">
        <f ca="1">IF(Hypothèses!$D$40=1,VLOOKUP("MAenergy_sold"&amp;"S1"&amp;AG$39&amp;Hypothèses!$D$17&amp;Hypothèses!$D$18,INDIRECT("'"&amp;Hypothèses!$D$42&amp;"'!$A:$I"),6,FALSE) * AG44,0)</f>
        <v>0</v>
      </c>
      <c r="AH70" s="74"/>
    </row>
    <row r="71" spans="2:34" ht="14.5" hidden="1" outlineLevel="1" x14ac:dyDescent="0.35">
      <c r="B71" s="84" t="s">
        <v>26</v>
      </c>
      <c r="C71" s="77"/>
      <c r="D71" s="135"/>
      <c r="E71" s="135" t="e">
        <f t="shared" ref="E71" ca="1" si="263">E70/D70-1</f>
        <v>#DIV/0!</v>
      </c>
      <c r="F71" s="135" t="e">
        <f t="shared" ref="F71" ca="1" si="264">F70/E70-1</f>
        <v>#DIV/0!</v>
      </c>
      <c r="G71" s="135" t="e">
        <f t="shared" ref="G71" ca="1" si="265">G70/F70-1</f>
        <v>#DIV/0!</v>
      </c>
      <c r="H71" s="135" t="e">
        <f t="shared" ref="H71" ca="1" si="266">H70/G70-1</f>
        <v>#DIV/0!</v>
      </c>
      <c r="I71" s="135" t="e">
        <f t="shared" ref="I71" ca="1" si="267">I70/H70-1</f>
        <v>#DIV/0!</v>
      </c>
      <c r="J71" s="135" t="e">
        <f t="shared" ref="J71" ca="1" si="268">J70/I70-1</f>
        <v>#DIV/0!</v>
      </c>
      <c r="K71" s="135" t="e">
        <f t="shared" ref="K71" ca="1" si="269">K70/J70-1</f>
        <v>#DIV/0!</v>
      </c>
      <c r="L71" s="135" t="e">
        <f t="shared" ref="L71" ca="1" si="270">L70/K70-1</f>
        <v>#DIV/0!</v>
      </c>
      <c r="M71" s="135" t="e">
        <f t="shared" ref="M71" ca="1" si="271">M70/L70-1</f>
        <v>#DIV/0!</v>
      </c>
      <c r="N71" s="135" t="e">
        <f t="shared" ref="N71" ca="1" si="272">N70/M70-1</f>
        <v>#DIV/0!</v>
      </c>
      <c r="O71" s="135" t="e">
        <f t="shared" ref="O71" ca="1" si="273">O70/N70-1</f>
        <v>#DIV/0!</v>
      </c>
      <c r="P71" s="135" t="e">
        <f t="shared" ref="P71" ca="1" si="274">P70/O70-1</f>
        <v>#DIV/0!</v>
      </c>
      <c r="Q71" s="135" t="e">
        <f t="shared" ref="Q71" ca="1" si="275">Q70/P70-1</f>
        <v>#DIV/0!</v>
      </c>
      <c r="R71" s="135" t="e">
        <f t="shared" ref="R71" ca="1" si="276">R70/Q70-1</f>
        <v>#DIV/0!</v>
      </c>
      <c r="S71" s="135" t="e">
        <f t="shared" ref="S71" ca="1" si="277">S70/R70-1</f>
        <v>#DIV/0!</v>
      </c>
      <c r="T71" s="135" t="e">
        <f t="shared" ref="T71" ca="1" si="278">T70/S70-1</f>
        <v>#DIV/0!</v>
      </c>
      <c r="U71" s="135" t="e">
        <f t="shared" ref="U71" ca="1" si="279">U70/T70-1</f>
        <v>#DIV/0!</v>
      </c>
      <c r="V71" s="135" t="e">
        <f t="shared" ref="V71" ca="1" si="280">V70/U70-1</f>
        <v>#DIV/0!</v>
      </c>
      <c r="W71" s="135" t="e">
        <f t="shared" ref="W71" ca="1" si="281">W70/V70-1</f>
        <v>#DIV/0!</v>
      </c>
      <c r="X71" s="135" t="e">
        <f t="shared" ref="X71" ca="1" si="282">X70/W70-1</f>
        <v>#DIV/0!</v>
      </c>
      <c r="Y71" s="135" t="e">
        <f t="shared" ref="Y71" ca="1" si="283">Y70/X70-1</f>
        <v>#DIV/0!</v>
      </c>
      <c r="Z71" s="135" t="e">
        <f t="shared" ref="Z71" ca="1" si="284">Z70/Y70-1</f>
        <v>#DIV/0!</v>
      </c>
      <c r="AA71" s="135" t="e">
        <f t="shared" ref="AA71" ca="1" si="285">AA70/Z70-1</f>
        <v>#DIV/0!</v>
      </c>
      <c r="AB71" s="135" t="e">
        <f t="shared" ref="AB71" ca="1" si="286">AB70/AA70-1</f>
        <v>#DIV/0!</v>
      </c>
      <c r="AC71" s="135" t="e">
        <f t="shared" ref="AC71" ca="1" si="287">AC70/AB70-1</f>
        <v>#DIV/0!</v>
      </c>
      <c r="AD71" s="135" t="e">
        <f t="shared" ref="AD71" ca="1" si="288">AD70/AC70-1</f>
        <v>#DIV/0!</v>
      </c>
      <c r="AE71" s="135" t="e">
        <f t="shared" ref="AE71" ca="1" si="289">AE70/AD70-1</f>
        <v>#DIV/0!</v>
      </c>
      <c r="AF71" s="135" t="e">
        <f t="shared" ref="AF71" ca="1" si="290">AF70/AE70-1</f>
        <v>#DIV/0!</v>
      </c>
      <c r="AG71" s="135" t="e">
        <f t="shared" ref="AG71" ca="1" si="291">AG70/AF70-1</f>
        <v>#DIV/0!</v>
      </c>
      <c r="AH71" s="74"/>
    </row>
    <row r="72" spans="2:34" ht="14.5" hidden="1" outlineLevel="1" x14ac:dyDescent="0.35">
      <c r="B72" s="84" t="s">
        <v>119</v>
      </c>
      <c r="C72" s="77"/>
      <c r="D72" s="68">
        <f ca="1">IF(Hypothèses!$D$40=1,VLOOKUP("MAhours_sold"&amp;"S1"&amp;D$39&amp;Hypothèses!$D$17&amp;Hypothèses!$D$18,INDIRECT("'"&amp;Hypothèses!$D$42&amp;"'!$A:$I"),6,FALSE) * D44,0)</f>
        <v>0</v>
      </c>
      <c r="E72" s="68">
        <f ca="1">IF(Hypothèses!$D$40=1,VLOOKUP("MAhours_sold"&amp;"S1"&amp;E$39&amp;Hypothèses!$D$17&amp;Hypothèses!$D$18,INDIRECT("'"&amp;Hypothèses!$D$42&amp;"'!$A:$I"),6,FALSE) * E44,0)</f>
        <v>0</v>
      </c>
      <c r="F72" s="68">
        <f ca="1">IF(Hypothèses!$D$40=1,VLOOKUP("MAhours_sold"&amp;"S1"&amp;F$39&amp;Hypothèses!$D$17&amp;Hypothèses!$D$18,INDIRECT("'"&amp;Hypothèses!$D$42&amp;"'!$A:$I"),6,FALSE) * F44,0)</f>
        <v>0</v>
      </c>
      <c r="G72" s="68">
        <f ca="1">IF(Hypothèses!$D$40=1,VLOOKUP("MAhours_sold"&amp;"S1"&amp;G$39&amp;Hypothèses!$D$17&amp;Hypothèses!$D$18,INDIRECT("'"&amp;Hypothèses!$D$42&amp;"'!$A:$I"),6,FALSE) * G44,0)</f>
        <v>0</v>
      </c>
      <c r="H72" s="68">
        <f ca="1">IF(Hypothèses!$D$40=1,VLOOKUP("MAhours_sold"&amp;"S1"&amp;H$39&amp;Hypothèses!$D$17&amp;Hypothèses!$D$18,INDIRECT("'"&amp;Hypothèses!$D$42&amp;"'!$A:$I"),6,FALSE) * H44,0)</f>
        <v>0</v>
      </c>
      <c r="I72" s="68">
        <f ca="1">IF(Hypothèses!$D$40=1,VLOOKUP("MAhours_sold"&amp;"S1"&amp;I$39&amp;Hypothèses!$D$17&amp;Hypothèses!$D$18,INDIRECT("'"&amp;Hypothèses!$D$42&amp;"'!$A:$I"),6,FALSE) * I44,0)</f>
        <v>0</v>
      </c>
      <c r="J72" s="68">
        <f ca="1">IF(Hypothèses!$D$40=1,VLOOKUP("MAhours_sold"&amp;"S1"&amp;J$39&amp;Hypothèses!$D$17&amp;Hypothèses!$D$18,INDIRECT("'"&amp;Hypothèses!$D$42&amp;"'!$A:$I"),6,FALSE) * J44,0)</f>
        <v>0</v>
      </c>
      <c r="K72" s="68">
        <f ca="1">IF(Hypothèses!$D$40=1,VLOOKUP("MAhours_sold"&amp;"S1"&amp;K$39&amp;Hypothèses!$D$17&amp;Hypothèses!$D$18,INDIRECT("'"&amp;Hypothèses!$D$42&amp;"'!$A:$I"),6,FALSE) * K44,0)</f>
        <v>0</v>
      </c>
      <c r="L72" s="68">
        <f ca="1">IF(Hypothèses!$D$40=1,VLOOKUP("MAhours_sold"&amp;"S1"&amp;L$39&amp;Hypothèses!$D$17&amp;Hypothèses!$D$18,INDIRECT("'"&amp;Hypothèses!$D$42&amp;"'!$A:$I"),6,FALSE) * L44,0)</f>
        <v>0</v>
      </c>
      <c r="M72" s="68">
        <f ca="1">IF(Hypothèses!$D$40=1,VLOOKUP("MAhours_sold"&amp;"S1"&amp;M$39&amp;Hypothèses!$D$17&amp;Hypothèses!$D$18,INDIRECT("'"&amp;Hypothèses!$D$42&amp;"'!$A:$I"),6,FALSE) * M44,0)</f>
        <v>0</v>
      </c>
      <c r="N72" s="68">
        <f ca="1">IF(Hypothèses!$D$40=1,VLOOKUP("MAhours_sold"&amp;"S1"&amp;N$39&amp;Hypothèses!$D$17&amp;Hypothèses!$D$18,INDIRECT("'"&amp;Hypothèses!$D$42&amp;"'!$A:$I"),6,FALSE) * N44,0)</f>
        <v>0</v>
      </c>
      <c r="O72" s="68">
        <f ca="1">IF(Hypothèses!$D$40=1,VLOOKUP("MAhours_sold"&amp;"S1"&amp;O$39&amp;Hypothèses!$D$17&amp;Hypothèses!$D$18,INDIRECT("'"&amp;Hypothèses!$D$42&amp;"'!$A:$I"),6,FALSE) * O44,0)</f>
        <v>0</v>
      </c>
      <c r="P72" s="68">
        <f ca="1">IF(Hypothèses!$D$40=1,VLOOKUP("MAhours_sold"&amp;"S1"&amp;P$39&amp;Hypothèses!$D$17&amp;Hypothèses!$D$18,INDIRECT("'"&amp;Hypothèses!$D$42&amp;"'!$A:$I"),6,FALSE) * P44,0)</f>
        <v>0</v>
      </c>
      <c r="Q72" s="68">
        <f ca="1">IF(Hypothèses!$D$40=1,VLOOKUP("MAhours_sold"&amp;"S1"&amp;Q$39&amp;Hypothèses!$D$17&amp;Hypothèses!$D$18,INDIRECT("'"&amp;Hypothèses!$D$42&amp;"'!$A:$I"),6,FALSE) * Q44,0)</f>
        <v>0</v>
      </c>
      <c r="R72" s="68">
        <f ca="1">IF(Hypothèses!$D$40=1,VLOOKUP("MAhours_sold"&amp;"S1"&amp;R$39&amp;Hypothèses!$D$17&amp;Hypothèses!$D$18,INDIRECT("'"&amp;Hypothèses!$D$42&amp;"'!$A:$I"),6,FALSE) * R44,0)</f>
        <v>0</v>
      </c>
      <c r="S72" s="68">
        <f ca="1">IF(Hypothèses!$D$40=1,VLOOKUP("MAhours_sold"&amp;"S1"&amp;S$39&amp;Hypothèses!$D$17&amp;Hypothèses!$D$18,INDIRECT("'"&amp;Hypothèses!$D$42&amp;"'!$A:$I"),6,FALSE) * S44,0)</f>
        <v>0</v>
      </c>
      <c r="T72" s="68">
        <f ca="1">IF(Hypothèses!$D$40=1,VLOOKUP("MAhours_sold"&amp;"S1"&amp;T$39&amp;Hypothèses!$D$17&amp;Hypothèses!$D$18,INDIRECT("'"&amp;Hypothèses!$D$42&amp;"'!$A:$I"),6,FALSE) * T44,0)</f>
        <v>0</v>
      </c>
      <c r="U72" s="68">
        <f ca="1">IF(Hypothèses!$D$40=1,VLOOKUP("MAhours_sold"&amp;"S1"&amp;U$39&amp;Hypothèses!$D$17&amp;Hypothèses!$D$18,INDIRECT("'"&amp;Hypothèses!$D$42&amp;"'!$A:$I"),6,FALSE) * U44,0)</f>
        <v>0</v>
      </c>
      <c r="V72" s="68">
        <f ca="1">IF(Hypothèses!$D$40=1,VLOOKUP("MAhours_sold"&amp;"S1"&amp;V$39&amp;Hypothèses!$D$17&amp;Hypothèses!$D$18,INDIRECT("'"&amp;Hypothèses!$D$42&amp;"'!$A:$I"),6,FALSE) * V44,0)</f>
        <v>0</v>
      </c>
      <c r="W72" s="68">
        <f ca="1">IF(Hypothèses!$D$40=1,VLOOKUP("MAhours_sold"&amp;"S1"&amp;W$39&amp;Hypothèses!$D$17&amp;Hypothèses!$D$18,INDIRECT("'"&amp;Hypothèses!$D$42&amp;"'!$A:$I"),6,FALSE) * W44,0)</f>
        <v>0</v>
      </c>
      <c r="X72" s="68">
        <f ca="1">IF(Hypothèses!$D$40=1,VLOOKUP("MAhours_sold"&amp;"S1"&amp;X$39&amp;Hypothèses!$D$17&amp;Hypothèses!$D$18,INDIRECT("'"&amp;Hypothèses!$D$42&amp;"'!$A:$I"),6,FALSE) * X44,0)</f>
        <v>0</v>
      </c>
      <c r="Y72" s="68">
        <f ca="1">IF(Hypothèses!$D$40=1,VLOOKUP("MAhours_sold"&amp;"S1"&amp;Y$39&amp;Hypothèses!$D$17&amp;Hypothèses!$D$18,INDIRECT("'"&amp;Hypothèses!$D$42&amp;"'!$A:$I"),6,FALSE) * Y44,0)</f>
        <v>0</v>
      </c>
      <c r="Z72" s="68">
        <f ca="1">IF(Hypothèses!$D$40=1,VLOOKUP("MAhours_sold"&amp;"S1"&amp;Z$39&amp;Hypothèses!$D$17&amp;Hypothèses!$D$18,INDIRECT("'"&amp;Hypothèses!$D$42&amp;"'!$A:$I"),6,FALSE) * Z44,0)</f>
        <v>0</v>
      </c>
      <c r="AA72" s="68">
        <f ca="1">IF(Hypothèses!$D$40=1,VLOOKUP("MAhours_sold"&amp;"S1"&amp;AA$39&amp;Hypothèses!$D$17&amp;Hypothèses!$D$18,INDIRECT("'"&amp;Hypothèses!$D$42&amp;"'!$A:$I"),6,FALSE) * AA44,0)</f>
        <v>0</v>
      </c>
      <c r="AB72" s="68">
        <f ca="1">IF(Hypothèses!$D$40=1,VLOOKUP("MAhours_sold"&amp;"S1"&amp;AB$39&amp;Hypothèses!$D$17&amp;Hypothèses!$D$18,INDIRECT("'"&amp;Hypothèses!$D$42&amp;"'!$A:$I"),6,FALSE) * AB44,0)</f>
        <v>0</v>
      </c>
      <c r="AC72" s="68">
        <f ca="1">IF(Hypothèses!$D$40=1,VLOOKUP("MAhours_sold"&amp;"S1"&amp;AC$39&amp;Hypothèses!$D$17&amp;Hypothèses!$D$18,INDIRECT("'"&amp;Hypothèses!$D$42&amp;"'!$A:$I"),6,FALSE) * AC44,0)</f>
        <v>0</v>
      </c>
      <c r="AD72" s="68">
        <f ca="1">IF(Hypothèses!$D$40=1,VLOOKUP("MAhours_sold"&amp;"S1"&amp;AD$39&amp;Hypothèses!$D$17&amp;Hypothèses!$D$18,INDIRECT("'"&amp;Hypothèses!$D$42&amp;"'!$A:$I"),6,FALSE) * AD44,0)</f>
        <v>0</v>
      </c>
      <c r="AE72" s="68">
        <f ca="1">IF(Hypothèses!$D$40=1,VLOOKUP("MAhours_sold"&amp;"S1"&amp;AE$39&amp;Hypothèses!$D$17&amp;Hypothèses!$D$18,INDIRECT("'"&amp;Hypothèses!$D$42&amp;"'!$A:$I"),6,FALSE) * AE44,0)</f>
        <v>0</v>
      </c>
      <c r="AF72" s="68">
        <f ca="1">IF(Hypothèses!$D$40=1,VLOOKUP("MAhours_sold"&amp;"S1"&amp;AF$39&amp;Hypothèses!$D$17&amp;Hypothèses!$D$18,INDIRECT("'"&amp;Hypothèses!$D$42&amp;"'!$A:$I"),6,FALSE) * AF44,0)</f>
        <v>0</v>
      </c>
      <c r="AG72" s="68">
        <f ca="1">IF(Hypothèses!$D$40=1,VLOOKUP("MAhours_sold"&amp;"S1"&amp;AG$39&amp;Hypothèses!$D$17&amp;Hypothèses!$D$18,INDIRECT("'"&amp;Hypothèses!$D$42&amp;"'!$A:$I"),6,FALSE) * AG44,0)</f>
        <v>0</v>
      </c>
      <c r="AH72" s="74"/>
    </row>
    <row r="73" spans="2:34" hidden="1" outlineLevel="1" x14ac:dyDescent="0.3">
      <c r="B73" s="77" t="s">
        <v>140</v>
      </c>
      <c r="C73" s="77"/>
      <c r="D73" s="71">
        <f ca="1">IF(Hypothèses!$D$40=1,VLOOKUP("MAcost"&amp;"S1"&amp;D$39&amp;Hypothèses!$D$17&amp;Hypothèses!$D$18,INDIRECT("'"&amp;Hypothèses!$D$42&amp;"'!$A:$I"),6,FALSE)*(1+$C$37)^C43 * D44,0)</f>
        <v>0</v>
      </c>
      <c r="E73" s="71">
        <f ca="1">IF(Hypothèses!$D$40=1,VLOOKUP("MAcost"&amp;"S1"&amp;E$39&amp;Hypothèses!$D$17&amp;Hypothèses!$D$18,INDIRECT("'"&amp;Hypothèses!$D$42&amp;"'!$A:$I"),6,FALSE)*(1+$C$37)^D43 * E44,0)</f>
        <v>0</v>
      </c>
      <c r="F73" s="71">
        <f ca="1">IF(Hypothèses!$D$40=1,VLOOKUP("MAcost"&amp;"S1"&amp;F$39&amp;Hypothèses!$D$17&amp;Hypothèses!$D$18,INDIRECT("'"&amp;Hypothèses!$D$42&amp;"'!$A:$I"),6,FALSE)*(1+$C$37)^E43 * F44,0)</f>
        <v>0</v>
      </c>
      <c r="G73" s="71">
        <f ca="1">IF(Hypothèses!$D$40=1,VLOOKUP("MAcost"&amp;"S1"&amp;G$39&amp;Hypothèses!$D$17&amp;Hypothèses!$D$18,INDIRECT("'"&amp;Hypothèses!$D$42&amp;"'!$A:$I"),6,FALSE)*(1+$C$37)^F43 * G44,0)</f>
        <v>0</v>
      </c>
      <c r="H73" s="71">
        <f ca="1">IF(Hypothèses!$D$40=1,VLOOKUP("MAcost"&amp;"S1"&amp;H$39&amp;Hypothèses!$D$17&amp;Hypothèses!$D$18,INDIRECT("'"&amp;Hypothèses!$D$42&amp;"'!$A:$I"),6,FALSE)*(1+$C$37)^G43 * H44,0)</f>
        <v>0</v>
      </c>
      <c r="I73" s="71">
        <f ca="1">IF(Hypothèses!$D$40=1,VLOOKUP("MAcost"&amp;"S1"&amp;I$39&amp;Hypothèses!$D$17&amp;Hypothèses!$D$18,INDIRECT("'"&amp;Hypothèses!$D$42&amp;"'!$A:$I"),6,FALSE)*(1+$C$37)^H43 * I44,0)</f>
        <v>0</v>
      </c>
      <c r="J73" s="71">
        <f ca="1">IF(Hypothèses!$D$40=1,VLOOKUP("MAcost"&amp;"S1"&amp;J$39&amp;Hypothèses!$D$17&amp;Hypothèses!$D$18,INDIRECT("'"&amp;Hypothèses!$D$42&amp;"'!$A:$I"),6,FALSE)*(1+$C$37)^I43 * J44,0)</f>
        <v>0</v>
      </c>
      <c r="K73" s="71">
        <f ca="1">IF(Hypothèses!$D$40=1,VLOOKUP("MAcost"&amp;"S1"&amp;K$39&amp;Hypothèses!$D$17&amp;Hypothèses!$D$18,INDIRECT("'"&amp;Hypothèses!$D$42&amp;"'!$A:$I"),6,FALSE)*(1+$C$37)^J43 * K44,0)</f>
        <v>0</v>
      </c>
      <c r="L73" s="71">
        <f ca="1">IF(Hypothèses!$D$40=1,VLOOKUP("MAcost"&amp;"S1"&amp;L$39&amp;Hypothèses!$D$17&amp;Hypothèses!$D$18,INDIRECT("'"&amp;Hypothèses!$D$42&amp;"'!$A:$I"),6,FALSE)*(1+$C$37)^K43 * L44,0)</f>
        <v>0</v>
      </c>
      <c r="M73" s="71">
        <f ca="1">IF(Hypothèses!$D$40=1,VLOOKUP("MAcost"&amp;"S1"&amp;M$39&amp;Hypothèses!$D$17&amp;Hypothèses!$D$18,INDIRECT("'"&amp;Hypothèses!$D$42&amp;"'!$A:$I"),6,FALSE)*(1+$C$37)^L43 * M44,0)</f>
        <v>0</v>
      </c>
      <c r="N73" s="71">
        <f ca="1">IF(Hypothèses!$D$40=1,VLOOKUP("MAcost"&amp;"S1"&amp;N$39&amp;Hypothèses!$D$17&amp;Hypothèses!$D$18,INDIRECT("'"&amp;Hypothèses!$D$42&amp;"'!$A:$I"),6,FALSE)*(1+$C$37)^M43 * N44,0)</f>
        <v>0</v>
      </c>
      <c r="O73" s="71">
        <f ca="1">IF(Hypothèses!$D$40=1,VLOOKUP("MAcost"&amp;"S1"&amp;O$39&amp;Hypothèses!$D$17&amp;Hypothèses!$D$18,INDIRECT("'"&amp;Hypothèses!$D$42&amp;"'!$A:$I"),6,FALSE)*(1+$C$37)^N43 * O44,0)</f>
        <v>0</v>
      </c>
      <c r="P73" s="71">
        <f ca="1">IF(Hypothèses!$D$40=1,VLOOKUP("MAcost"&amp;"S1"&amp;P$39&amp;Hypothèses!$D$17&amp;Hypothèses!$D$18,INDIRECT("'"&amp;Hypothèses!$D$42&amp;"'!$A:$I"),6,FALSE)*(1+$C$37)^O43 * P44,0)</f>
        <v>0</v>
      </c>
      <c r="Q73" s="71">
        <f ca="1">IF(Hypothèses!$D$40=1,VLOOKUP("MAcost"&amp;"S1"&amp;Q$39&amp;Hypothèses!$D$17&amp;Hypothèses!$D$18,INDIRECT("'"&amp;Hypothèses!$D$42&amp;"'!$A:$I"),6,FALSE)*(1+$C$37)^P43 * Q44,0)</f>
        <v>0</v>
      </c>
      <c r="R73" s="71">
        <f ca="1">IF(Hypothèses!$D$40=1,VLOOKUP("MAcost"&amp;"S1"&amp;R$39&amp;Hypothèses!$D$17&amp;Hypothèses!$D$18,INDIRECT("'"&amp;Hypothèses!$D$42&amp;"'!$A:$I"),6,FALSE)*(1+$C$37)^Q43 * R44,0)</f>
        <v>0</v>
      </c>
      <c r="S73" s="71">
        <f ca="1">IF(Hypothèses!$D$40=1,VLOOKUP("MAcost"&amp;"S1"&amp;S$39&amp;Hypothèses!$D$17&amp;Hypothèses!$D$18,INDIRECT("'"&amp;Hypothèses!$D$42&amp;"'!$A:$I"),6,FALSE)*(1+$C$37)^R43 * S44,0)</f>
        <v>0</v>
      </c>
      <c r="T73" s="71">
        <f ca="1">IF(Hypothèses!$D$40=1,VLOOKUP("MAcost"&amp;"S1"&amp;T$39&amp;Hypothèses!$D$17&amp;Hypothèses!$D$18,INDIRECT("'"&amp;Hypothèses!$D$42&amp;"'!$A:$I"),6,FALSE)*(1+$C$37)^S43 * T44,0)</f>
        <v>0</v>
      </c>
      <c r="U73" s="71">
        <f ca="1">IF(Hypothèses!$D$40=1,VLOOKUP("MAcost"&amp;"S1"&amp;U$39&amp;Hypothèses!$D$17&amp;Hypothèses!$D$18,INDIRECT("'"&amp;Hypothèses!$D$42&amp;"'!$A:$I"),6,FALSE)*(1+$C$37)^T43 * U44,0)</f>
        <v>0</v>
      </c>
      <c r="V73" s="71">
        <f ca="1">IF(Hypothèses!$D$40=1,VLOOKUP("MAcost"&amp;"S1"&amp;V$39&amp;Hypothèses!$D$17&amp;Hypothèses!$D$18,INDIRECT("'"&amp;Hypothèses!$D$42&amp;"'!$A:$I"),6,FALSE)*(1+$C$37)^U43 * V44,0)</f>
        <v>0</v>
      </c>
      <c r="W73" s="71">
        <f ca="1">IF(Hypothèses!$D$40=1,VLOOKUP("MAcost"&amp;"S1"&amp;W$39&amp;Hypothèses!$D$17&amp;Hypothèses!$D$18,INDIRECT("'"&amp;Hypothèses!$D$42&amp;"'!$A:$I"),6,FALSE)*(1+$C$37)^V43 * W44,0)</f>
        <v>0</v>
      </c>
      <c r="X73" s="71">
        <f ca="1">IF(Hypothèses!$D$40=1,VLOOKUP("MAcost"&amp;"S1"&amp;X$39&amp;Hypothèses!$D$17&amp;Hypothèses!$D$18,INDIRECT("'"&amp;Hypothèses!$D$42&amp;"'!$A:$I"),6,FALSE)*(1+$C$37)^W43 * X44,0)</f>
        <v>0</v>
      </c>
      <c r="Y73" s="71">
        <f ca="1">IF(Hypothèses!$D$40=1,VLOOKUP("MAcost"&amp;"S1"&amp;Y$39&amp;Hypothèses!$D$17&amp;Hypothèses!$D$18,INDIRECT("'"&amp;Hypothèses!$D$42&amp;"'!$A:$I"),6,FALSE)*(1+$C$37)^X43 * Y44,0)</f>
        <v>0</v>
      </c>
      <c r="Z73" s="71">
        <f ca="1">IF(Hypothèses!$D$40=1,VLOOKUP("MAcost"&amp;"S1"&amp;Z$39&amp;Hypothèses!$D$17&amp;Hypothèses!$D$18,INDIRECT("'"&amp;Hypothèses!$D$42&amp;"'!$A:$I"),6,FALSE)*(1+$C$37)^Y43 * Z44,0)</f>
        <v>0</v>
      </c>
      <c r="AA73" s="71">
        <f ca="1">IF(Hypothèses!$D$40=1,VLOOKUP("MAcost"&amp;"S1"&amp;AA$39&amp;Hypothèses!$D$17&amp;Hypothèses!$D$18,INDIRECT("'"&amp;Hypothèses!$D$42&amp;"'!$A:$I"),6,FALSE)*(1+$C$37)^Z43 * AA44,0)</f>
        <v>0</v>
      </c>
      <c r="AB73" s="71">
        <f ca="1">IF(Hypothèses!$D$40=1,VLOOKUP("MAcost"&amp;"S1"&amp;AB$39&amp;Hypothèses!$D$17&amp;Hypothèses!$D$18,INDIRECT("'"&amp;Hypothèses!$D$42&amp;"'!$A:$I"),6,FALSE)*(1+$C$37)^AA43 * AB44,0)</f>
        <v>0</v>
      </c>
      <c r="AC73" s="71">
        <f ca="1">IF(Hypothèses!$D$40=1,VLOOKUP("MAcost"&amp;"S1"&amp;AC$39&amp;Hypothèses!$D$17&amp;Hypothèses!$D$18,INDIRECT("'"&amp;Hypothèses!$D$42&amp;"'!$A:$I"),6,FALSE)*(1+$C$37)^AB43 * AC44,0)</f>
        <v>0</v>
      </c>
      <c r="AD73" s="71">
        <f ca="1">IF(Hypothèses!$D$40=1,VLOOKUP("MAcost"&amp;"S1"&amp;AD$39&amp;Hypothèses!$D$17&amp;Hypothèses!$D$18,INDIRECT("'"&amp;Hypothèses!$D$42&amp;"'!$A:$I"),6,FALSE)*(1+$C$37)^AC43 * AD44,0)</f>
        <v>0</v>
      </c>
      <c r="AE73" s="71">
        <f ca="1">IF(Hypothèses!$D$40=1,VLOOKUP("MAcost"&amp;"S1"&amp;AE$39&amp;Hypothèses!$D$17&amp;Hypothèses!$D$18,INDIRECT("'"&amp;Hypothèses!$D$42&amp;"'!$A:$I"),6,FALSE)*(1+$C$37)^AD43 * AE44,0)</f>
        <v>0</v>
      </c>
      <c r="AF73" s="71">
        <f ca="1">IF(Hypothèses!$D$40=1,VLOOKUP("MAcost"&amp;"S1"&amp;AF$39&amp;Hypothèses!$D$17&amp;Hypothèses!$D$18,INDIRECT("'"&amp;Hypothèses!$D$42&amp;"'!$A:$I"),6,FALSE)*(1+$C$37)^AE43 * AF44,0)</f>
        <v>0</v>
      </c>
      <c r="AG73" s="71">
        <f ca="1">IF(Hypothèses!$D$40=1,VLOOKUP("MAcost"&amp;"S1"&amp;AG$39&amp;Hypothèses!$D$17&amp;Hypothèses!$D$18,INDIRECT("'"&amp;Hypothèses!$D$42&amp;"'!$A:$I"),6,FALSE)*(1+$C$37)^AF43 * AG44,0)</f>
        <v>0</v>
      </c>
      <c r="AH73" s="74"/>
    </row>
    <row r="74" spans="2:34" ht="14.5" hidden="1" outlineLevel="1" x14ac:dyDescent="0.35">
      <c r="B74" s="84" t="s">
        <v>26</v>
      </c>
      <c r="C74" s="77"/>
      <c r="D74" s="135"/>
      <c r="E74" s="135" t="e">
        <f t="shared" ref="E74" ca="1" si="292">E73/D73-1</f>
        <v>#DIV/0!</v>
      </c>
      <c r="F74" s="135" t="e">
        <f t="shared" ref="F74" ca="1" si="293">F73/E73-1</f>
        <v>#DIV/0!</v>
      </c>
      <c r="G74" s="135" t="e">
        <f t="shared" ref="G74" ca="1" si="294">G73/F73-1</f>
        <v>#DIV/0!</v>
      </c>
      <c r="H74" s="135" t="e">
        <f t="shared" ref="H74" ca="1" si="295">H73/G73-1</f>
        <v>#DIV/0!</v>
      </c>
      <c r="I74" s="135" t="e">
        <f t="shared" ref="I74" ca="1" si="296">I73/H73-1</f>
        <v>#DIV/0!</v>
      </c>
      <c r="J74" s="135" t="e">
        <f t="shared" ref="J74" ca="1" si="297">J73/I73-1</f>
        <v>#DIV/0!</v>
      </c>
      <c r="K74" s="135" t="e">
        <f t="shared" ref="K74" ca="1" si="298">K73/J73-1</f>
        <v>#DIV/0!</v>
      </c>
      <c r="L74" s="135" t="e">
        <f t="shared" ref="L74" ca="1" si="299">L73/K73-1</f>
        <v>#DIV/0!</v>
      </c>
      <c r="M74" s="135" t="e">
        <f t="shared" ref="M74" ca="1" si="300">M73/L73-1</f>
        <v>#DIV/0!</v>
      </c>
      <c r="N74" s="135" t="e">
        <f t="shared" ref="N74" ca="1" si="301">N73/M73-1</f>
        <v>#DIV/0!</v>
      </c>
      <c r="O74" s="135" t="e">
        <f t="shared" ref="O74" ca="1" si="302">O73/N73-1</f>
        <v>#DIV/0!</v>
      </c>
      <c r="P74" s="135" t="e">
        <f t="shared" ref="P74" ca="1" si="303">P73/O73-1</f>
        <v>#DIV/0!</v>
      </c>
      <c r="Q74" s="135" t="e">
        <f t="shared" ref="Q74" ca="1" si="304">Q73/P73-1</f>
        <v>#DIV/0!</v>
      </c>
      <c r="R74" s="135" t="e">
        <f t="shared" ref="R74" ca="1" si="305">R73/Q73-1</f>
        <v>#DIV/0!</v>
      </c>
      <c r="S74" s="135" t="e">
        <f t="shared" ref="S74" ca="1" si="306">S73/R73-1</f>
        <v>#DIV/0!</v>
      </c>
      <c r="T74" s="135" t="e">
        <f t="shared" ref="T74" ca="1" si="307">T73/S73-1</f>
        <v>#DIV/0!</v>
      </c>
      <c r="U74" s="135" t="e">
        <f t="shared" ref="U74" ca="1" si="308">U73/T73-1</f>
        <v>#DIV/0!</v>
      </c>
      <c r="V74" s="135" t="e">
        <f t="shared" ref="V74" ca="1" si="309">V73/U73-1</f>
        <v>#DIV/0!</v>
      </c>
      <c r="W74" s="135" t="e">
        <f t="shared" ref="W74" ca="1" si="310">W73/V73-1</f>
        <v>#DIV/0!</v>
      </c>
      <c r="X74" s="135" t="e">
        <f t="shared" ref="X74" ca="1" si="311">X73/W73-1</f>
        <v>#DIV/0!</v>
      </c>
      <c r="Y74" s="135" t="e">
        <f t="shared" ref="Y74" ca="1" si="312">Y73/X73-1</f>
        <v>#DIV/0!</v>
      </c>
      <c r="Z74" s="135" t="e">
        <f t="shared" ref="Z74" ca="1" si="313">Z73/Y73-1</f>
        <v>#DIV/0!</v>
      </c>
      <c r="AA74" s="135" t="e">
        <f t="shared" ref="AA74" ca="1" si="314">AA73/Z73-1</f>
        <v>#DIV/0!</v>
      </c>
      <c r="AB74" s="135" t="e">
        <f t="shared" ref="AB74" ca="1" si="315">AB73/AA73-1</f>
        <v>#DIV/0!</v>
      </c>
      <c r="AC74" s="135" t="e">
        <f t="shared" ref="AC74" ca="1" si="316">AC73/AB73-1</f>
        <v>#DIV/0!</v>
      </c>
      <c r="AD74" s="135" t="e">
        <f t="shared" ref="AD74" ca="1" si="317">AD73/AC73-1</f>
        <v>#DIV/0!</v>
      </c>
      <c r="AE74" s="135" t="e">
        <f t="shared" ref="AE74" ca="1" si="318">AE73/AD73-1</f>
        <v>#DIV/0!</v>
      </c>
      <c r="AF74" s="135" t="e">
        <f t="shared" ref="AF74" ca="1" si="319">AF73/AE73-1</f>
        <v>#DIV/0!</v>
      </c>
      <c r="AG74" s="135" t="e">
        <f t="shared" ref="AG74" ca="1" si="320">AG73/AF73-1</f>
        <v>#DIV/0!</v>
      </c>
      <c r="AH74" s="74"/>
    </row>
    <row r="75" spans="2:34" hidden="1" outlineLevel="1" x14ac:dyDescent="0.3">
      <c r="B75" s="77" t="s">
        <v>141</v>
      </c>
      <c r="C75" s="77"/>
      <c r="D75" s="68">
        <f ca="1">IF(Hypothèses!$D$40=1,VLOOKUP("MAenergy_bought"&amp;"S1"&amp;D$39&amp;Hypothèses!$D$17&amp;Hypothèses!$D$18,INDIRECT("'"&amp;Hypothèses!$D$42&amp;"'!$A:$I"),6,FALSE) * D44,0)</f>
        <v>0</v>
      </c>
      <c r="E75" s="68">
        <f ca="1">IF(Hypothèses!$D$40=1,VLOOKUP("MAenergy_bought"&amp;"S1"&amp;E$39&amp;Hypothèses!$D$17&amp;Hypothèses!$D$18,INDIRECT("'"&amp;Hypothèses!$D$42&amp;"'!$A:$I"),6,FALSE) * E44,0)</f>
        <v>0</v>
      </c>
      <c r="F75" s="68">
        <f ca="1">IF(Hypothèses!$D$40=1,VLOOKUP("MAenergy_bought"&amp;"S1"&amp;F$39&amp;Hypothèses!$D$17&amp;Hypothèses!$D$18,INDIRECT("'"&amp;Hypothèses!$D$42&amp;"'!$A:$I"),6,FALSE) * F44,0)</f>
        <v>0</v>
      </c>
      <c r="G75" s="68">
        <f ca="1">IF(Hypothèses!$D$40=1,VLOOKUP("MAenergy_bought"&amp;"S1"&amp;G$39&amp;Hypothèses!$D$17&amp;Hypothèses!$D$18,INDIRECT("'"&amp;Hypothèses!$D$42&amp;"'!$A:$I"),6,FALSE) * G44,0)</f>
        <v>0</v>
      </c>
      <c r="H75" s="68">
        <f ca="1">IF(Hypothèses!$D$40=1,VLOOKUP("MAenergy_bought"&amp;"S1"&amp;H$39&amp;Hypothèses!$D$17&amp;Hypothèses!$D$18,INDIRECT("'"&amp;Hypothèses!$D$42&amp;"'!$A:$I"),6,FALSE) * H44,0)</f>
        <v>0</v>
      </c>
      <c r="I75" s="68">
        <f ca="1">IF(Hypothèses!$D$40=1,VLOOKUP("MAenergy_bought"&amp;"S1"&amp;I$39&amp;Hypothèses!$D$17&amp;Hypothèses!$D$18,INDIRECT("'"&amp;Hypothèses!$D$42&amp;"'!$A:$I"),6,FALSE) * I44,0)</f>
        <v>0</v>
      </c>
      <c r="J75" s="68">
        <f ca="1">IF(Hypothèses!$D$40=1,VLOOKUP("MAenergy_bought"&amp;"S1"&amp;J$39&amp;Hypothèses!$D$17&amp;Hypothèses!$D$18,INDIRECT("'"&amp;Hypothèses!$D$42&amp;"'!$A:$I"),6,FALSE) * J44,0)</f>
        <v>0</v>
      </c>
      <c r="K75" s="68">
        <f ca="1">IF(Hypothèses!$D$40=1,VLOOKUP("MAenergy_bought"&amp;"S1"&amp;K$39&amp;Hypothèses!$D$17&amp;Hypothèses!$D$18,INDIRECT("'"&amp;Hypothèses!$D$42&amp;"'!$A:$I"),6,FALSE) * K44,0)</f>
        <v>0</v>
      </c>
      <c r="L75" s="68">
        <f ca="1">IF(Hypothèses!$D$40=1,VLOOKUP("MAenergy_bought"&amp;"S1"&amp;L$39&amp;Hypothèses!$D$17&amp;Hypothèses!$D$18,INDIRECT("'"&amp;Hypothèses!$D$42&amp;"'!$A:$I"),6,FALSE) * L44,0)</f>
        <v>0</v>
      </c>
      <c r="M75" s="68">
        <f ca="1">IF(Hypothèses!$D$40=1,VLOOKUP("MAenergy_bought"&amp;"S1"&amp;M$39&amp;Hypothèses!$D$17&amp;Hypothèses!$D$18,INDIRECT("'"&amp;Hypothèses!$D$42&amp;"'!$A:$I"),6,FALSE) * M44,0)</f>
        <v>0</v>
      </c>
      <c r="N75" s="68">
        <f ca="1">IF(Hypothèses!$D$40=1,VLOOKUP("MAenergy_bought"&amp;"S1"&amp;N$39&amp;Hypothèses!$D$17&amp;Hypothèses!$D$18,INDIRECT("'"&amp;Hypothèses!$D$42&amp;"'!$A:$I"),6,FALSE) * N44,0)</f>
        <v>0</v>
      </c>
      <c r="O75" s="68">
        <f ca="1">IF(Hypothèses!$D$40=1,VLOOKUP("MAenergy_bought"&amp;"S1"&amp;O$39&amp;Hypothèses!$D$17&amp;Hypothèses!$D$18,INDIRECT("'"&amp;Hypothèses!$D$42&amp;"'!$A:$I"),6,FALSE) * O44,0)</f>
        <v>0</v>
      </c>
      <c r="P75" s="68">
        <f ca="1">IF(Hypothèses!$D$40=1,VLOOKUP("MAenergy_bought"&amp;"S1"&amp;P$39&amp;Hypothèses!$D$17&amp;Hypothèses!$D$18,INDIRECT("'"&amp;Hypothèses!$D$42&amp;"'!$A:$I"),6,FALSE) * P44,0)</f>
        <v>0</v>
      </c>
      <c r="Q75" s="68">
        <f ca="1">IF(Hypothèses!$D$40=1,VLOOKUP("MAenergy_bought"&amp;"S1"&amp;Q$39&amp;Hypothèses!$D$17&amp;Hypothèses!$D$18,INDIRECT("'"&amp;Hypothèses!$D$42&amp;"'!$A:$I"),6,FALSE) * Q44,0)</f>
        <v>0</v>
      </c>
      <c r="R75" s="68">
        <f ca="1">IF(Hypothèses!$D$40=1,VLOOKUP("MAenergy_bought"&amp;"S1"&amp;R$39&amp;Hypothèses!$D$17&amp;Hypothèses!$D$18,INDIRECT("'"&amp;Hypothèses!$D$42&amp;"'!$A:$I"),6,FALSE) * R44,0)</f>
        <v>0</v>
      </c>
      <c r="S75" s="68">
        <f ca="1">IF(Hypothèses!$D$40=1,VLOOKUP("MAenergy_bought"&amp;"S1"&amp;S$39&amp;Hypothèses!$D$17&amp;Hypothèses!$D$18,INDIRECT("'"&amp;Hypothèses!$D$42&amp;"'!$A:$I"),6,FALSE) * S44,0)</f>
        <v>0</v>
      </c>
      <c r="T75" s="68">
        <f ca="1">IF(Hypothèses!$D$40=1,VLOOKUP("MAenergy_bought"&amp;"S1"&amp;T$39&amp;Hypothèses!$D$17&amp;Hypothèses!$D$18,INDIRECT("'"&amp;Hypothèses!$D$42&amp;"'!$A:$I"),6,FALSE) * T44,0)</f>
        <v>0</v>
      </c>
      <c r="U75" s="68">
        <f ca="1">IF(Hypothèses!$D$40=1,VLOOKUP("MAenergy_bought"&amp;"S1"&amp;U$39&amp;Hypothèses!$D$17&amp;Hypothèses!$D$18,INDIRECT("'"&amp;Hypothèses!$D$42&amp;"'!$A:$I"),6,FALSE) * U44,0)</f>
        <v>0</v>
      </c>
      <c r="V75" s="68">
        <f ca="1">IF(Hypothèses!$D$40=1,VLOOKUP("MAenergy_bought"&amp;"S1"&amp;V$39&amp;Hypothèses!$D$17&amp;Hypothèses!$D$18,INDIRECT("'"&amp;Hypothèses!$D$42&amp;"'!$A:$I"),6,FALSE) * V44,0)</f>
        <v>0</v>
      </c>
      <c r="W75" s="68">
        <f ca="1">IF(Hypothèses!$D$40=1,VLOOKUP("MAenergy_bought"&amp;"S1"&amp;W$39&amp;Hypothèses!$D$17&amp;Hypothèses!$D$18,INDIRECT("'"&amp;Hypothèses!$D$42&amp;"'!$A:$I"),6,FALSE) * W44,0)</f>
        <v>0</v>
      </c>
      <c r="X75" s="68">
        <f ca="1">IF(Hypothèses!$D$40=1,VLOOKUP("MAenergy_bought"&amp;"S1"&amp;X$39&amp;Hypothèses!$D$17&amp;Hypothèses!$D$18,INDIRECT("'"&amp;Hypothèses!$D$42&amp;"'!$A:$I"),6,FALSE) * X44,0)</f>
        <v>0</v>
      </c>
      <c r="Y75" s="68">
        <f ca="1">IF(Hypothèses!$D$40=1,VLOOKUP("MAenergy_bought"&amp;"S1"&amp;Y$39&amp;Hypothèses!$D$17&amp;Hypothèses!$D$18,INDIRECT("'"&amp;Hypothèses!$D$42&amp;"'!$A:$I"),6,FALSE) * Y44,0)</f>
        <v>0</v>
      </c>
      <c r="Z75" s="68">
        <f ca="1">IF(Hypothèses!$D$40=1,VLOOKUP("MAenergy_bought"&amp;"S1"&amp;Z$39&amp;Hypothèses!$D$17&amp;Hypothèses!$D$18,INDIRECT("'"&amp;Hypothèses!$D$42&amp;"'!$A:$I"),6,FALSE) * Z44,0)</f>
        <v>0</v>
      </c>
      <c r="AA75" s="68">
        <f ca="1">IF(Hypothèses!$D$40=1,VLOOKUP("MAenergy_bought"&amp;"S1"&amp;AA$39&amp;Hypothèses!$D$17&amp;Hypothèses!$D$18,INDIRECT("'"&amp;Hypothèses!$D$42&amp;"'!$A:$I"),6,FALSE) * AA44,0)</f>
        <v>0</v>
      </c>
      <c r="AB75" s="68">
        <f ca="1">IF(Hypothèses!$D$40=1,VLOOKUP("MAenergy_bought"&amp;"S1"&amp;AB$39&amp;Hypothèses!$D$17&amp;Hypothèses!$D$18,INDIRECT("'"&amp;Hypothèses!$D$42&amp;"'!$A:$I"),6,FALSE) * AB44,0)</f>
        <v>0</v>
      </c>
      <c r="AC75" s="68">
        <f ca="1">IF(Hypothèses!$D$40=1,VLOOKUP("MAenergy_bought"&amp;"S1"&amp;AC$39&amp;Hypothèses!$D$17&amp;Hypothèses!$D$18,INDIRECT("'"&amp;Hypothèses!$D$42&amp;"'!$A:$I"),6,FALSE) * AC44,0)</f>
        <v>0</v>
      </c>
      <c r="AD75" s="68">
        <f ca="1">IF(Hypothèses!$D$40=1,VLOOKUP("MAenergy_bought"&amp;"S1"&amp;AD$39&amp;Hypothèses!$D$17&amp;Hypothèses!$D$18,INDIRECT("'"&amp;Hypothèses!$D$42&amp;"'!$A:$I"),6,FALSE) * AD44,0)</f>
        <v>0</v>
      </c>
      <c r="AE75" s="68">
        <f ca="1">IF(Hypothèses!$D$40=1,VLOOKUP("MAenergy_bought"&amp;"S1"&amp;AE$39&amp;Hypothèses!$D$17&amp;Hypothèses!$D$18,INDIRECT("'"&amp;Hypothèses!$D$42&amp;"'!$A:$I"),6,FALSE) * AE44,0)</f>
        <v>0</v>
      </c>
      <c r="AF75" s="68">
        <f ca="1">IF(Hypothèses!$D$40=1,VLOOKUP("MAenergy_bought"&amp;"S1"&amp;AF$39&amp;Hypothèses!$D$17&amp;Hypothèses!$D$18,INDIRECT("'"&amp;Hypothèses!$D$42&amp;"'!$A:$I"),6,FALSE) * AF44,0)</f>
        <v>0</v>
      </c>
      <c r="AG75" s="68">
        <f ca="1">IF(Hypothèses!$D$40=1,VLOOKUP("MAenergy_bought"&amp;"S1"&amp;AG$39&amp;Hypothèses!$D$17&amp;Hypothèses!$D$18,INDIRECT("'"&amp;Hypothèses!$D$42&amp;"'!$A:$I"),6,FALSE) * AG44,0)</f>
        <v>0</v>
      </c>
      <c r="AH75" s="74"/>
    </row>
    <row r="76" spans="2:34" ht="14.5" hidden="1" outlineLevel="1" x14ac:dyDescent="0.35">
      <c r="B76" s="84" t="s">
        <v>26</v>
      </c>
      <c r="C76" s="77"/>
      <c r="D76" s="135"/>
      <c r="E76" s="135" t="e">
        <f t="shared" ref="E76" ca="1" si="321">E75/D75-1</f>
        <v>#DIV/0!</v>
      </c>
      <c r="F76" s="135" t="e">
        <f t="shared" ref="F76" ca="1" si="322">F75/E75-1</f>
        <v>#DIV/0!</v>
      </c>
      <c r="G76" s="135" t="e">
        <f t="shared" ref="G76" ca="1" si="323">G75/F75-1</f>
        <v>#DIV/0!</v>
      </c>
      <c r="H76" s="135" t="e">
        <f t="shared" ref="H76" ca="1" si="324">H75/G75-1</f>
        <v>#DIV/0!</v>
      </c>
      <c r="I76" s="135" t="e">
        <f t="shared" ref="I76" ca="1" si="325">I75/H75-1</f>
        <v>#DIV/0!</v>
      </c>
      <c r="J76" s="135" t="e">
        <f t="shared" ref="J76" ca="1" si="326">J75/I75-1</f>
        <v>#DIV/0!</v>
      </c>
      <c r="K76" s="135" t="e">
        <f t="shared" ref="K76" ca="1" si="327">K75/J75-1</f>
        <v>#DIV/0!</v>
      </c>
      <c r="L76" s="135" t="e">
        <f t="shared" ref="L76" ca="1" si="328">L75/K75-1</f>
        <v>#DIV/0!</v>
      </c>
      <c r="M76" s="135" t="e">
        <f t="shared" ref="M76" ca="1" si="329">M75/L75-1</f>
        <v>#DIV/0!</v>
      </c>
      <c r="N76" s="135" t="e">
        <f t="shared" ref="N76" ca="1" si="330">N75/M75-1</f>
        <v>#DIV/0!</v>
      </c>
      <c r="O76" s="135" t="e">
        <f t="shared" ref="O76" ca="1" si="331">O75/N75-1</f>
        <v>#DIV/0!</v>
      </c>
      <c r="P76" s="135" t="e">
        <f t="shared" ref="P76" ca="1" si="332">P75/O75-1</f>
        <v>#DIV/0!</v>
      </c>
      <c r="Q76" s="135" t="e">
        <f t="shared" ref="Q76" ca="1" si="333">Q75/P75-1</f>
        <v>#DIV/0!</v>
      </c>
      <c r="R76" s="135" t="e">
        <f t="shared" ref="R76" ca="1" si="334">R75/Q75-1</f>
        <v>#DIV/0!</v>
      </c>
      <c r="S76" s="135" t="e">
        <f t="shared" ref="S76" ca="1" si="335">S75/R75-1</f>
        <v>#DIV/0!</v>
      </c>
      <c r="T76" s="135" t="e">
        <f t="shared" ref="T76" ca="1" si="336">T75/S75-1</f>
        <v>#DIV/0!</v>
      </c>
      <c r="U76" s="135" t="e">
        <f t="shared" ref="U76" ca="1" si="337">U75/T75-1</f>
        <v>#DIV/0!</v>
      </c>
      <c r="V76" s="135" t="e">
        <f t="shared" ref="V76" ca="1" si="338">V75/U75-1</f>
        <v>#DIV/0!</v>
      </c>
      <c r="W76" s="135" t="e">
        <f t="shared" ref="W76" ca="1" si="339">W75/V75-1</f>
        <v>#DIV/0!</v>
      </c>
      <c r="X76" s="135" t="e">
        <f t="shared" ref="X76" ca="1" si="340">X75/W75-1</f>
        <v>#DIV/0!</v>
      </c>
      <c r="Y76" s="135" t="e">
        <f t="shared" ref="Y76" ca="1" si="341">Y75/X75-1</f>
        <v>#DIV/0!</v>
      </c>
      <c r="Z76" s="135" t="e">
        <f t="shared" ref="Z76" ca="1" si="342">Z75/Y75-1</f>
        <v>#DIV/0!</v>
      </c>
      <c r="AA76" s="135" t="e">
        <f t="shared" ref="AA76" ca="1" si="343">AA75/Z75-1</f>
        <v>#DIV/0!</v>
      </c>
      <c r="AB76" s="135" t="e">
        <f t="shared" ref="AB76" ca="1" si="344">AB75/AA75-1</f>
        <v>#DIV/0!</v>
      </c>
      <c r="AC76" s="135" t="e">
        <f t="shared" ref="AC76" ca="1" si="345">AC75/AB75-1</f>
        <v>#DIV/0!</v>
      </c>
      <c r="AD76" s="135" t="e">
        <f t="shared" ref="AD76" ca="1" si="346">AD75/AC75-1</f>
        <v>#DIV/0!</v>
      </c>
      <c r="AE76" s="135" t="e">
        <f t="shared" ref="AE76" ca="1" si="347">AE75/AD75-1</f>
        <v>#DIV/0!</v>
      </c>
      <c r="AF76" s="135" t="e">
        <f t="shared" ref="AF76" ca="1" si="348">AF75/AE75-1</f>
        <v>#DIV/0!</v>
      </c>
      <c r="AG76" s="135" t="e">
        <f t="shared" ref="AG76" ca="1" si="349">AG75/AF75-1</f>
        <v>#DIV/0!</v>
      </c>
      <c r="AH76" s="74"/>
    </row>
    <row r="77" spans="2:34" ht="14.5" hidden="1" outlineLevel="1" x14ac:dyDescent="0.35">
      <c r="B77" s="84" t="s">
        <v>120</v>
      </c>
      <c r="C77" s="77"/>
      <c r="D77" s="68">
        <f ca="1">IF(Hypothèses!$D$40=1,VLOOKUP("MAhours_bought"&amp;"S1"&amp;D$39&amp;Hypothèses!$D$17&amp;Hypothèses!$D$18,INDIRECT("'"&amp;Hypothèses!$D$42&amp;"'!$A:$I"),6,FALSE) * D44,0)</f>
        <v>0</v>
      </c>
      <c r="E77" s="68">
        <f ca="1">IF(Hypothèses!$D$40=1,VLOOKUP("MAhours_bought"&amp;"S1"&amp;E$39&amp;Hypothèses!$D$17&amp;Hypothèses!$D$18,INDIRECT("'"&amp;Hypothèses!$D$42&amp;"'!$A:$I"),6,FALSE) * E44,0)</f>
        <v>0</v>
      </c>
      <c r="F77" s="68">
        <f ca="1">IF(Hypothèses!$D$40=1,VLOOKUP("MAhours_bought"&amp;"S1"&amp;F$39&amp;Hypothèses!$D$17&amp;Hypothèses!$D$18,INDIRECT("'"&amp;Hypothèses!$D$42&amp;"'!$A:$I"),6,FALSE) * F44,0)</f>
        <v>0</v>
      </c>
      <c r="G77" s="68">
        <f ca="1">IF(Hypothèses!$D$40=1,VLOOKUP("MAhours_bought"&amp;"S1"&amp;G$39&amp;Hypothèses!$D$17&amp;Hypothèses!$D$18,INDIRECT("'"&amp;Hypothèses!$D$42&amp;"'!$A:$I"),6,FALSE) * G44,0)</f>
        <v>0</v>
      </c>
      <c r="H77" s="68">
        <f ca="1">IF(Hypothèses!$D$40=1,VLOOKUP("MAhours_bought"&amp;"S1"&amp;H$39&amp;Hypothèses!$D$17&amp;Hypothèses!$D$18,INDIRECT("'"&amp;Hypothèses!$D$42&amp;"'!$A:$I"),6,FALSE) * H44,0)</f>
        <v>0</v>
      </c>
      <c r="I77" s="68">
        <f ca="1">IF(Hypothèses!$D$40=1,VLOOKUP("MAhours_bought"&amp;"S1"&amp;I$39&amp;Hypothèses!$D$17&amp;Hypothèses!$D$18,INDIRECT("'"&amp;Hypothèses!$D$42&amp;"'!$A:$I"),6,FALSE) * I44,0)</f>
        <v>0</v>
      </c>
      <c r="J77" s="68">
        <f ca="1">IF(Hypothèses!$D$40=1,VLOOKUP("MAhours_bought"&amp;"S1"&amp;J$39&amp;Hypothèses!$D$17&amp;Hypothèses!$D$18,INDIRECT("'"&amp;Hypothèses!$D$42&amp;"'!$A:$I"),6,FALSE) * J44,0)</f>
        <v>0</v>
      </c>
      <c r="K77" s="68">
        <f ca="1">IF(Hypothèses!$D$40=1,VLOOKUP("MAhours_bought"&amp;"S1"&amp;K$39&amp;Hypothèses!$D$17&amp;Hypothèses!$D$18,INDIRECT("'"&amp;Hypothèses!$D$42&amp;"'!$A:$I"),6,FALSE) * K44,0)</f>
        <v>0</v>
      </c>
      <c r="L77" s="68">
        <f ca="1">IF(Hypothèses!$D$40=1,VLOOKUP("MAhours_bought"&amp;"S1"&amp;L$39&amp;Hypothèses!$D$17&amp;Hypothèses!$D$18,INDIRECT("'"&amp;Hypothèses!$D$42&amp;"'!$A:$I"),6,FALSE) * L44,0)</f>
        <v>0</v>
      </c>
      <c r="M77" s="68">
        <f ca="1">IF(Hypothèses!$D$40=1,VLOOKUP("MAhours_bought"&amp;"S1"&amp;M$39&amp;Hypothèses!$D$17&amp;Hypothèses!$D$18,INDIRECT("'"&amp;Hypothèses!$D$42&amp;"'!$A:$I"),6,FALSE) * M44,0)</f>
        <v>0</v>
      </c>
      <c r="N77" s="68">
        <f ca="1">IF(Hypothèses!$D$40=1,VLOOKUP("MAhours_bought"&amp;"S1"&amp;N$39&amp;Hypothèses!$D$17&amp;Hypothèses!$D$18,INDIRECT("'"&amp;Hypothèses!$D$42&amp;"'!$A:$I"),6,FALSE) * N44,0)</f>
        <v>0</v>
      </c>
      <c r="O77" s="68">
        <f ca="1">IF(Hypothèses!$D$40=1,VLOOKUP("MAhours_bought"&amp;"S1"&amp;O$39&amp;Hypothèses!$D$17&amp;Hypothèses!$D$18,INDIRECT("'"&amp;Hypothèses!$D$42&amp;"'!$A:$I"),6,FALSE) * O44,0)</f>
        <v>0</v>
      </c>
      <c r="P77" s="68">
        <f ca="1">IF(Hypothèses!$D$40=1,VLOOKUP("MAhours_bought"&amp;"S1"&amp;P$39&amp;Hypothèses!$D$17&amp;Hypothèses!$D$18,INDIRECT("'"&amp;Hypothèses!$D$42&amp;"'!$A:$I"),6,FALSE) * P44,0)</f>
        <v>0</v>
      </c>
      <c r="Q77" s="68">
        <f ca="1">IF(Hypothèses!$D$40=1,VLOOKUP("MAhours_bought"&amp;"S1"&amp;Q$39&amp;Hypothèses!$D$17&amp;Hypothèses!$D$18,INDIRECT("'"&amp;Hypothèses!$D$42&amp;"'!$A:$I"),6,FALSE) * Q44,0)</f>
        <v>0</v>
      </c>
      <c r="R77" s="68">
        <f ca="1">IF(Hypothèses!$D$40=1,VLOOKUP("MAhours_bought"&amp;"S1"&amp;R$39&amp;Hypothèses!$D$17&amp;Hypothèses!$D$18,INDIRECT("'"&amp;Hypothèses!$D$42&amp;"'!$A:$I"),6,FALSE) * R44,0)</f>
        <v>0</v>
      </c>
      <c r="S77" s="68">
        <f ca="1">IF(Hypothèses!$D$40=1,VLOOKUP("MAhours_bought"&amp;"S1"&amp;S$39&amp;Hypothèses!$D$17&amp;Hypothèses!$D$18,INDIRECT("'"&amp;Hypothèses!$D$42&amp;"'!$A:$I"),6,FALSE) * S44,0)</f>
        <v>0</v>
      </c>
      <c r="T77" s="68">
        <f ca="1">IF(Hypothèses!$D$40=1,VLOOKUP("MAhours_bought"&amp;"S1"&amp;T$39&amp;Hypothèses!$D$17&amp;Hypothèses!$D$18,INDIRECT("'"&amp;Hypothèses!$D$42&amp;"'!$A:$I"),6,FALSE) * T44,0)</f>
        <v>0</v>
      </c>
      <c r="U77" s="68">
        <f ca="1">IF(Hypothèses!$D$40=1,VLOOKUP("MAhours_bought"&amp;"S1"&amp;U$39&amp;Hypothèses!$D$17&amp;Hypothèses!$D$18,INDIRECT("'"&amp;Hypothèses!$D$42&amp;"'!$A:$I"),6,FALSE) * U44,0)</f>
        <v>0</v>
      </c>
      <c r="V77" s="68">
        <f ca="1">IF(Hypothèses!$D$40=1,VLOOKUP("MAhours_bought"&amp;"S1"&amp;V$39&amp;Hypothèses!$D$17&amp;Hypothèses!$D$18,INDIRECT("'"&amp;Hypothèses!$D$42&amp;"'!$A:$I"),6,FALSE) * V44,0)</f>
        <v>0</v>
      </c>
      <c r="W77" s="68">
        <f ca="1">IF(Hypothèses!$D$40=1,VLOOKUP("MAhours_bought"&amp;"S1"&amp;W$39&amp;Hypothèses!$D$17&amp;Hypothèses!$D$18,INDIRECT("'"&amp;Hypothèses!$D$42&amp;"'!$A:$I"),6,FALSE) * W44,0)</f>
        <v>0</v>
      </c>
      <c r="X77" s="68">
        <f ca="1">IF(Hypothèses!$D$40=1,VLOOKUP("MAhours_bought"&amp;"S1"&amp;X$39&amp;Hypothèses!$D$17&amp;Hypothèses!$D$18,INDIRECT("'"&amp;Hypothèses!$D$42&amp;"'!$A:$I"),6,FALSE) * X44,0)</f>
        <v>0</v>
      </c>
      <c r="Y77" s="68">
        <f ca="1">IF(Hypothèses!$D$40=1,VLOOKUP("MAhours_bought"&amp;"S1"&amp;Y$39&amp;Hypothèses!$D$17&amp;Hypothèses!$D$18,INDIRECT("'"&amp;Hypothèses!$D$42&amp;"'!$A:$I"),6,FALSE) * Y44,0)</f>
        <v>0</v>
      </c>
      <c r="Z77" s="68">
        <f ca="1">IF(Hypothèses!$D$40=1,VLOOKUP("MAhours_bought"&amp;"S1"&amp;Z$39&amp;Hypothèses!$D$17&amp;Hypothèses!$D$18,INDIRECT("'"&amp;Hypothèses!$D$42&amp;"'!$A:$I"),6,FALSE) * Z44,0)</f>
        <v>0</v>
      </c>
      <c r="AA77" s="68">
        <f ca="1">IF(Hypothèses!$D$40=1,VLOOKUP("MAhours_bought"&amp;"S1"&amp;AA$39&amp;Hypothèses!$D$17&amp;Hypothèses!$D$18,INDIRECT("'"&amp;Hypothèses!$D$42&amp;"'!$A:$I"),6,FALSE) * AA44,0)</f>
        <v>0</v>
      </c>
      <c r="AB77" s="68">
        <f ca="1">IF(Hypothèses!$D$40=1,VLOOKUP("MAhours_bought"&amp;"S1"&amp;AB$39&amp;Hypothèses!$D$17&amp;Hypothèses!$D$18,INDIRECT("'"&amp;Hypothèses!$D$42&amp;"'!$A:$I"),6,FALSE) * AB44,0)</f>
        <v>0</v>
      </c>
      <c r="AC77" s="68">
        <f ca="1">IF(Hypothèses!$D$40=1,VLOOKUP("MAhours_bought"&amp;"S1"&amp;AC$39&amp;Hypothèses!$D$17&amp;Hypothèses!$D$18,INDIRECT("'"&amp;Hypothèses!$D$42&amp;"'!$A:$I"),6,FALSE) * AC44,0)</f>
        <v>0</v>
      </c>
      <c r="AD77" s="68">
        <f ca="1">IF(Hypothèses!$D$40=1,VLOOKUP("MAhours_bought"&amp;"S1"&amp;AD$39&amp;Hypothèses!$D$17&amp;Hypothèses!$D$18,INDIRECT("'"&amp;Hypothèses!$D$42&amp;"'!$A:$I"),6,FALSE) * AD44,0)</f>
        <v>0</v>
      </c>
      <c r="AE77" s="68">
        <f ca="1">IF(Hypothèses!$D$40=1,VLOOKUP("MAhours_bought"&amp;"S1"&amp;AE$39&amp;Hypothèses!$D$17&amp;Hypothèses!$D$18,INDIRECT("'"&amp;Hypothèses!$D$42&amp;"'!$A:$I"),6,FALSE) * AE44,0)</f>
        <v>0</v>
      </c>
      <c r="AF77" s="68">
        <f ca="1">IF(Hypothèses!$D$40=1,VLOOKUP("MAhours_bought"&amp;"S1"&amp;AF$39&amp;Hypothèses!$D$17&amp;Hypothèses!$D$18,INDIRECT("'"&amp;Hypothèses!$D$42&amp;"'!$A:$I"),6,FALSE) * AF44,0)</f>
        <v>0</v>
      </c>
      <c r="AG77" s="68">
        <f ca="1">IF(Hypothèses!$D$40=1,VLOOKUP("MAhours_bought"&amp;"S1"&amp;AG$39&amp;Hypothèses!$D$17&amp;Hypothèses!$D$18,INDIRECT("'"&amp;Hypothèses!$D$42&amp;"'!$A:$I"),6,FALSE) * AG44,0)</f>
        <v>0</v>
      </c>
      <c r="AH77" s="74"/>
    </row>
    <row r="78" spans="2:34" s="75" customFormat="1" collapsed="1" x14ac:dyDescent="0.3">
      <c r="B78" s="78" t="s">
        <v>81</v>
      </c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</row>
    <row r="79" spans="2:34" x14ac:dyDescent="0.3">
      <c r="B79" s="10" t="s">
        <v>82</v>
      </c>
      <c r="C79" s="10"/>
      <c r="D79" s="71">
        <f ca="1">VLOOKUP("fcrincome"&amp;"S1"&amp;D$39&amp;Hypothèses!$D$17&amp;Hypothèses!$D$18,INDIRECT("'"&amp;Hypothèses!$D$42&amp;"'!$A:$I"),6,FALSE)*(1+$C$32)^C43 * D44</f>
        <v>0</v>
      </c>
      <c r="E79" s="71" t="e">
        <f ca="1">VLOOKUP("fcrincome"&amp;"S1"&amp;E$39&amp;Hypothèses!$D$17&amp;Hypothèses!$D$18,INDIRECT("'"&amp;Hypothèses!$D$42&amp;"'!$A:$I"),6,FALSE)*(1+$C$32)^D43 * E44</f>
        <v>#N/A</v>
      </c>
      <c r="F79" s="71" t="e">
        <f ca="1">VLOOKUP("fcrincome"&amp;"S1"&amp;F$39&amp;Hypothèses!$D$17&amp;Hypothèses!$D$18,INDIRECT("'"&amp;Hypothèses!$D$42&amp;"'!$A:$I"),6,FALSE)*(1+$C$32)^E43 * F44</f>
        <v>#N/A</v>
      </c>
      <c r="G79" s="71" t="e">
        <f ca="1">VLOOKUP("fcrincome"&amp;"S1"&amp;G$39&amp;Hypothèses!$D$17&amp;Hypothèses!$D$18,INDIRECT("'"&amp;Hypothèses!$D$42&amp;"'!$A:$I"),6,FALSE)*(1+$C$32)^F43 * G44</f>
        <v>#N/A</v>
      </c>
      <c r="H79" s="71" t="e">
        <f ca="1">VLOOKUP("fcrincome"&amp;"S1"&amp;H$39&amp;Hypothèses!$D$17&amp;Hypothèses!$D$18,INDIRECT("'"&amp;Hypothèses!$D$42&amp;"'!$A:$I"),6,FALSE)*(1+$C$32)^G43 * H44</f>
        <v>#N/A</v>
      </c>
      <c r="I79" s="71" t="e">
        <f ca="1">VLOOKUP("fcrincome"&amp;"S1"&amp;I$39&amp;Hypothèses!$D$17&amp;Hypothèses!$D$18,INDIRECT("'"&amp;Hypothèses!$D$42&amp;"'!$A:$I"),6,FALSE)*(1+$C$32)^H43 * I44</f>
        <v>#N/A</v>
      </c>
      <c r="J79" s="71" t="e">
        <f ca="1">VLOOKUP("fcrincome"&amp;"S1"&amp;J$39&amp;Hypothèses!$D$17&amp;Hypothèses!$D$18,INDIRECT("'"&amp;Hypothèses!$D$42&amp;"'!$A:$I"),6,FALSE)*(1+$C$32)^I43 * J44</f>
        <v>#N/A</v>
      </c>
      <c r="K79" s="71" t="e">
        <f ca="1">VLOOKUP("fcrincome"&amp;"S1"&amp;K$39&amp;Hypothèses!$D$17&amp;Hypothèses!$D$18,INDIRECT("'"&amp;Hypothèses!$D$42&amp;"'!$A:$I"),6,FALSE)*(1+$C$32)^J43 * K44</f>
        <v>#N/A</v>
      </c>
      <c r="L79" s="71" t="e">
        <f ca="1">VLOOKUP("fcrincome"&amp;"S1"&amp;L$39&amp;Hypothèses!$D$17&amp;Hypothèses!$D$18,INDIRECT("'"&amp;Hypothèses!$D$42&amp;"'!$A:$I"),6,FALSE)*(1+$C$32)^K43 * L44</f>
        <v>#N/A</v>
      </c>
      <c r="M79" s="71" t="e">
        <f ca="1">VLOOKUP("fcrincome"&amp;"S1"&amp;M$39&amp;Hypothèses!$D$17&amp;Hypothèses!$D$18,INDIRECT("'"&amp;Hypothèses!$D$42&amp;"'!$A:$I"),6,FALSE)*(1+$C$32)^L43 * M44</f>
        <v>#N/A</v>
      </c>
      <c r="N79" s="71" t="e">
        <f ca="1">VLOOKUP("fcrincome"&amp;"S1"&amp;N$39&amp;Hypothèses!$D$17&amp;Hypothèses!$D$18,INDIRECT("'"&amp;Hypothèses!$D$42&amp;"'!$A:$I"),6,FALSE)*(1+$C$32)^M43 * N44</f>
        <v>#N/A</v>
      </c>
      <c r="O79" s="71" t="e">
        <f ca="1">VLOOKUP("fcrincome"&amp;"S1"&amp;O$39&amp;Hypothèses!$D$17&amp;Hypothèses!$D$18,INDIRECT("'"&amp;Hypothèses!$D$42&amp;"'!$A:$I"),6,FALSE)*(1+$C$32)^N43 * O44</f>
        <v>#N/A</v>
      </c>
      <c r="P79" s="71" t="e">
        <f ca="1">VLOOKUP("fcrincome"&amp;"S1"&amp;P$39&amp;Hypothèses!$D$17&amp;Hypothèses!$D$18,INDIRECT("'"&amp;Hypothèses!$D$42&amp;"'!$A:$I"),6,FALSE)*(1+$C$32)^O43 * P44</f>
        <v>#N/A</v>
      </c>
      <c r="Q79" s="71" t="e">
        <f ca="1">VLOOKUP("fcrincome"&amp;"S1"&amp;Q$39&amp;Hypothèses!$D$17&amp;Hypothèses!$D$18,INDIRECT("'"&amp;Hypothèses!$D$42&amp;"'!$A:$I"),6,FALSE)*(1+$C$32)^P43 * Q44</f>
        <v>#N/A</v>
      </c>
      <c r="R79" s="71" t="e">
        <f ca="1">VLOOKUP("fcrincome"&amp;"S1"&amp;R$39&amp;Hypothèses!$D$17&amp;Hypothèses!$D$18,INDIRECT("'"&amp;Hypothèses!$D$42&amp;"'!$A:$I"),6,FALSE)*(1+$C$32)^Q43 * R44</f>
        <v>#N/A</v>
      </c>
      <c r="S79" s="71" t="e">
        <f ca="1">VLOOKUP("fcrincome"&amp;"S1"&amp;S$39&amp;Hypothèses!$D$17&amp;Hypothèses!$D$18,INDIRECT("'"&amp;Hypothèses!$D$42&amp;"'!$A:$I"),6,FALSE)*(1+$C$32)^R43 * S44</f>
        <v>#N/A</v>
      </c>
      <c r="T79" s="71" t="e">
        <f ca="1">VLOOKUP("fcrincome"&amp;"S1"&amp;T$39&amp;Hypothèses!$D$17&amp;Hypothèses!$D$18,INDIRECT("'"&amp;Hypothèses!$D$42&amp;"'!$A:$I"),6,FALSE)*(1+$C$32)^S43 * T44</f>
        <v>#N/A</v>
      </c>
      <c r="U79" s="71" t="e">
        <f ca="1">VLOOKUP("fcrincome"&amp;"S1"&amp;U$39&amp;Hypothèses!$D$17&amp;Hypothèses!$D$18,INDIRECT("'"&amp;Hypothèses!$D$42&amp;"'!$A:$I"),6,FALSE)*(1+$C$32)^T43 * U44</f>
        <v>#N/A</v>
      </c>
      <c r="V79" s="71" t="e">
        <f ca="1">VLOOKUP("fcrincome"&amp;"S1"&amp;V$39&amp;Hypothèses!$D$17&amp;Hypothèses!$D$18,INDIRECT("'"&amp;Hypothèses!$D$42&amp;"'!$A:$I"),6,FALSE)*(1+$C$32)^U43 * V44</f>
        <v>#N/A</v>
      </c>
      <c r="W79" s="71" t="e">
        <f ca="1">VLOOKUP("fcrincome"&amp;"S1"&amp;W$39&amp;Hypothèses!$D$17&amp;Hypothèses!$D$18,INDIRECT("'"&amp;Hypothèses!$D$42&amp;"'!$A:$I"),6,FALSE)*(1+$C$32)^V43 * W44</f>
        <v>#N/A</v>
      </c>
      <c r="X79" s="71" t="e">
        <f ca="1">VLOOKUP("fcrincome"&amp;"S1"&amp;X$39&amp;Hypothèses!$D$17&amp;Hypothèses!$D$18,INDIRECT("'"&amp;Hypothèses!$D$42&amp;"'!$A:$I"),6,FALSE)*(1+$C$32)^W43 * X44</f>
        <v>#N/A</v>
      </c>
      <c r="Y79" s="71" t="e">
        <f ca="1">VLOOKUP("fcrincome"&amp;"S1"&amp;Y$39&amp;Hypothèses!$D$17&amp;Hypothèses!$D$18,INDIRECT("'"&amp;Hypothèses!$D$42&amp;"'!$A:$I"),6,FALSE)*(1+$C$32)^X43 * Y44</f>
        <v>#N/A</v>
      </c>
      <c r="Z79" s="71" t="e">
        <f ca="1">VLOOKUP("fcrincome"&amp;"S1"&amp;Z$39&amp;Hypothèses!$D$17&amp;Hypothèses!$D$18,INDIRECT("'"&amp;Hypothèses!$D$42&amp;"'!$A:$I"),6,FALSE)*(1+$C$32)^Y43 * Z44</f>
        <v>#N/A</v>
      </c>
      <c r="AA79" s="71" t="e">
        <f ca="1">VLOOKUP("fcrincome"&amp;"S1"&amp;AA$39&amp;Hypothèses!$D$17&amp;Hypothèses!$D$18,INDIRECT("'"&amp;Hypothèses!$D$42&amp;"'!$A:$I"),6,FALSE)*(1+$C$32)^Z43 * AA44</f>
        <v>#N/A</v>
      </c>
      <c r="AB79" s="71" t="e">
        <f ca="1">VLOOKUP("fcrincome"&amp;"S1"&amp;AB$39&amp;Hypothèses!$D$17&amp;Hypothèses!$D$18,INDIRECT("'"&amp;Hypothèses!$D$42&amp;"'!$A:$I"),6,FALSE)*(1+$C$32)^AA43 * AB44</f>
        <v>#N/A</v>
      </c>
      <c r="AC79" s="71" t="e">
        <f ca="1">VLOOKUP("fcrincome"&amp;"S1"&amp;AC$39&amp;Hypothèses!$D$17&amp;Hypothèses!$D$18,INDIRECT("'"&amp;Hypothèses!$D$42&amp;"'!$A:$I"),6,FALSE)*(1+$C$32)^AB43 * AC44</f>
        <v>#N/A</v>
      </c>
      <c r="AD79" s="71" t="e">
        <f ca="1">VLOOKUP("fcrincome"&amp;"S1"&amp;AD$39&amp;Hypothèses!$D$17&amp;Hypothèses!$D$18,INDIRECT("'"&amp;Hypothèses!$D$42&amp;"'!$A:$I"),6,FALSE)*(1+$C$32)^AC43 * AD44</f>
        <v>#N/A</v>
      </c>
      <c r="AE79" s="71" t="e">
        <f ca="1">VLOOKUP("fcrincome"&amp;"S1"&amp;AE$39&amp;Hypothèses!$D$17&amp;Hypothèses!$D$18,INDIRECT("'"&amp;Hypothèses!$D$42&amp;"'!$A:$I"),6,FALSE)*(1+$C$32)^AD43 * AE44</f>
        <v>#N/A</v>
      </c>
      <c r="AF79" s="71" t="e">
        <f ca="1">VLOOKUP("fcrincome"&amp;"S1"&amp;AF$39&amp;Hypothèses!$D$17&amp;Hypothèses!$D$18,INDIRECT("'"&amp;Hypothèses!$D$42&amp;"'!$A:$I"),6,FALSE)*(1+$C$32)^AE43 * AF44</f>
        <v>#N/A</v>
      </c>
      <c r="AG79" s="71" t="e">
        <f ca="1">VLOOKUP("fcrincome"&amp;"S1"&amp;AG$39&amp;Hypothèses!$D$17&amp;Hypothèses!$D$18,INDIRECT("'"&amp;Hypothèses!$D$42&amp;"'!$A:$I"),6,FALSE)*(1+$C$32)^AF43 * AG44</f>
        <v>#N/A</v>
      </c>
      <c r="AH79" s="31"/>
    </row>
    <row r="80" spans="2:34" ht="14.5" x14ac:dyDescent="0.35">
      <c r="B80" s="26" t="s">
        <v>26</v>
      </c>
      <c r="C80" s="10"/>
      <c r="D80" s="68"/>
      <c r="E80" s="135" t="e">
        <f t="shared" ref="E80" ca="1" si="350">E79/D79-1</f>
        <v>#N/A</v>
      </c>
      <c r="F80" s="135" t="e">
        <f t="shared" ref="F80" ca="1" si="351">F79/E79-1</f>
        <v>#N/A</v>
      </c>
      <c r="G80" s="135" t="e">
        <f t="shared" ref="G80" ca="1" si="352">G79/F79-1</f>
        <v>#N/A</v>
      </c>
      <c r="H80" s="135" t="e">
        <f t="shared" ref="H80" ca="1" si="353">H79/G79-1</f>
        <v>#N/A</v>
      </c>
      <c r="I80" s="135" t="e">
        <f t="shared" ref="I80" ca="1" si="354">I79/H79-1</f>
        <v>#N/A</v>
      </c>
      <c r="J80" s="135" t="e">
        <f t="shared" ref="J80" ca="1" si="355">J79/I79-1</f>
        <v>#N/A</v>
      </c>
      <c r="K80" s="135" t="e">
        <f t="shared" ref="K80" ca="1" si="356">K79/J79-1</f>
        <v>#N/A</v>
      </c>
      <c r="L80" s="135" t="e">
        <f t="shared" ref="L80" ca="1" si="357">L79/K79-1</f>
        <v>#N/A</v>
      </c>
      <c r="M80" s="135" t="e">
        <f t="shared" ref="M80" ca="1" si="358">M79/L79-1</f>
        <v>#N/A</v>
      </c>
      <c r="N80" s="135" t="e">
        <f t="shared" ref="N80" ca="1" si="359">N79/M79-1</f>
        <v>#N/A</v>
      </c>
      <c r="O80" s="135" t="e">
        <f t="shared" ref="O80" ca="1" si="360">O79/N79-1</f>
        <v>#N/A</v>
      </c>
      <c r="P80" s="135" t="e">
        <f t="shared" ref="P80" ca="1" si="361">P79/O79-1</f>
        <v>#N/A</v>
      </c>
      <c r="Q80" s="135" t="e">
        <f t="shared" ref="Q80" ca="1" si="362">Q79/P79-1</f>
        <v>#N/A</v>
      </c>
      <c r="R80" s="135" t="e">
        <f t="shared" ref="R80" ca="1" si="363">R79/Q79-1</f>
        <v>#N/A</v>
      </c>
      <c r="S80" s="135" t="e">
        <f t="shared" ref="S80" ca="1" si="364">S79/R79-1</f>
        <v>#N/A</v>
      </c>
      <c r="T80" s="135" t="e">
        <f t="shared" ref="T80" ca="1" si="365">T79/S79-1</f>
        <v>#N/A</v>
      </c>
      <c r="U80" s="135" t="e">
        <f t="shared" ref="U80" ca="1" si="366">U79/T79-1</f>
        <v>#N/A</v>
      </c>
      <c r="V80" s="135" t="e">
        <f t="shared" ref="V80" ca="1" si="367">V79/U79-1</f>
        <v>#N/A</v>
      </c>
      <c r="W80" s="135" t="e">
        <f t="shared" ref="W80" ca="1" si="368">W79/V79-1</f>
        <v>#N/A</v>
      </c>
      <c r="X80" s="135" t="e">
        <f t="shared" ref="X80" ca="1" si="369">X79/W79-1</f>
        <v>#N/A</v>
      </c>
      <c r="Y80" s="135" t="e">
        <f t="shared" ref="Y80" ca="1" si="370">Y79/X79-1</f>
        <v>#N/A</v>
      </c>
      <c r="Z80" s="135" t="e">
        <f t="shared" ref="Z80" ca="1" si="371">Z79/Y79-1</f>
        <v>#N/A</v>
      </c>
      <c r="AA80" s="135" t="e">
        <f t="shared" ref="AA80" ca="1" si="372">AA79/Z79-1</f>
        <v>#N/A</v>
      </c>
      <c r="AB80" s="135" t="e">
        <f t="shared" ref="AB80" ca="1" si="373">AB79/AA79-1</f>
        <v>#N/A</v>
      </c>
      <c r="AC80" s="135" t="e">
        <f t="shared" ref="AC80" ca="1" si="374">AC79/AB79-1</f>
        <v>#N/A</v>
      </c>
      <c r="AD80" s="135" t="e">
        <f t="shared" ref="AD80" ca="1" si="375">AD79/AC79-1</f>
        <v>#N/A</v>
      </c>
      <c r="AE80" s="135" t="e">
        <f t="shared" ref="AE80" ca="1" si="376">AE79/AD79-1</f>
        <v>#N/A</v>
      </c>
      <c r="AF80" s="135" t="e">
        <f t="shared" ref="AF80" ca="1" si="377">AF79/AE79-1</f>
        <v>#N/A</v>
      </c>
      <c r="AG80" s="135" t="e">
        <f ca="1">AG79/AF79-1</f>
        <v>#N/A</v>
      </c>
    </row>
    <row r="81" spans="2:33" ht="14.5" x14ac:dyDescent="0.35">
      <c r="B81" s="26" t="s">
        <v>122</v>
      </c>
      <c r="C81" s="10"/>
      <c r="D81" s="68">
        <f ca="1">VLOOKUP("fcractivation_hours"&amp;"S1"&amp;D$39&amp;Hypothèses!$D$17&amp;Hypothèses!$D$18,INDIRECT("'"&amp;Hypothèses!$D$42&amp;"'!$A:$I"),6,FALSE) * D44</f>
        <v>0</v>
      </c>
      <c r="E81" s="68" t="e">
        <f ca="1">VLOOKUP("fcractivation_hours"&amp;"S1"&amp;E$39&amp;Hypothèses!$D$17&amp;Hypothèses!$D$18,INDIRECT("'"&amp;Hypothèses!$D$42&amp;"'!$A:$I"),6,FALSE) * E44</f>
        <v>#N/A</v>
      </c>
      <c r="F81" s="68" t="e">
        <f ca="1">VLOOKUP("fcractivation_hours"&amp;"S1"&amp;F$39&amp;Hypothèses!$D$17&amp;Hypothèses!$D$18,INDIRECT("'"&amp;Hypothèses!$D$42&amp;"'!$A:$I"),6,FALSE) * F44</f>
        <v>#N/A</v>
      </c>
      <c r="G81" s="68" t="e">
        <f ca="1">VLOOKUP("fcractivation_hours"&amp;"S1"&amp;G$39&amp;Hypothèses!$D$17&amp;Hypothèses!$D$18,INDIRECT("'"&amp;Hypothèses!$D$42&amp;"'!$A:$I"),6,FALSE) * G44</f>
        <v>#N/A</v>
      </c>
      <c r="H81" s="68" t="e">
        <f ca="1">VLOOKUP("fcractivation_hours"&amp;"S1"&amp;H$39&amp;Hypothèses!$D$17&amp;Hypothèses!$D$18,INDIRECT("'"&amp;Hypothèses!$D$42&amp;"'!$A:$I"),6,FALSE) * H44</f>
        <v>#N/A</v>
      </c>
      <c r="I81" s="68" t="e">
        <f ca="1">VLOOKUP("fcractivation_hours"&amp;"S1"&amp;I$39&amp;Hypothèses!$D$17&amp;Hypothèses!$D$18,INDIRECT("'"&amp;Hypothèses!$D$42&amp;"'!$A:$I"),6,FALSE) * I44</f>
        <v>#N/A</v>
      </c>
      <c r="J81" s="68" t="e">
        <f ca="1">VLOOKUP("fcractivation_hours"&amp;"S1"&amp;J$39&amp;Hypothèses!$D$17&amp;Hypothèses!$D$18,INDIRECT("'"&amp;Hypothèses!$D$42&amp;"'!$A:$I"),6,FALSE) * J44</f>
        <v>#N/A</v>
      </c>
      <c r="K81" s="68" t="e">
        <f ca="1">VLOOKUP("fcractivation_hours"&amp;"S1"&amp;K$39&amp;Hypothèses!$D$17&amp;Hypothèses!$D$18,INDIRECT("'"&amp;Hypothèses!$D$42&amp;"'!$A:$I"),6,FALSE) * K44</f>
        <v>#N/A</v>
      </c>
      <c r="L81" s="68" t="e">
        <f ca="1">VLOOKUP("fcractivation_hours"&amp;"S1"&amp;L$39&amp;Hypothèses!$D$17&amp;Hypothèses!$D$18,INDIRECT("'"&amp;Hypothèses!$D$42&amp;"'!$A:$I"),6,FALSE) * L44</f>
        <v>#N/A</v>
      </c>
      <c r="M81" s="68" t="e">
        <f ca="1">VLOOKUP("fcractivation_hours"&amp;"S1"&amp;M$39&amp;Hypothèses!$D$17&amp;Hypothèses!$D$18,INDIRECT("'"&amp;Hypothèses!$D$42&amp;"'!$A:$I"),6,FALSE) * M44</f>
        <v>#N/A</v>
      </c>
      <c r="N81" s="68" t="e">
        <f ca="1">VLOOKUP("fcractivation_hours"&amp;"S1"&amp;N$39&amp;Hypothèses!$D$17&amp;Hypothèses!$D$18,INDIRECT("'"&amp;Hypothèses!$D$42&amp;"'!$A:$I"),6,FALSE) * N44</f>
        <v>#N/A</v>
      </c>
      <c r="O81" s="68" t="e">
        <f ca="1">VLOOKUP("fcractivation_hours"&amp;"S1"&amp;O$39&amp;Hypothèses!$D$17&amp;Hypothèses!$D$18,INDIRECT("'"&amp;Hypothèses!$D$42&amp;"'!$A:$I"),6,FALSE) * O44</f>
        <v>#N/A</v>
      </c>
      <c r="P81" s="68" t="e">
        <f ca="1">VLOOKUP("fcractivation_hours"&amp;"S1"&amp;P$39&amp;Hypothèses!$D$17&amp;Hypothèses!$D$18,INDIRECT("'"&amp;Hypothèses!$D$42&amp;"'!$A:$I"),6,FALSE) * P44</f>
        <v>#N/A</v>
      </c>
      <c r="Q81" s="68" t="e">
        <f ca="1">VLOOKUP("fcractivation_hours"&amp;"S1"&amp;Q$39&amp;Hypothèses!$D$17&amp;Hypothèses!$D$18,INDIRECT("'"&amp;Hypothèses!$D$42&amp;"'!$A:$I"),6,FALSE) * Q44</f>
        <v>#N/A</v>
      </c>
      <c r="R81" s="68" t="e">
        <f ca="1">VLOOKUP("fcractivation_hours"&amp;"S1"&amp;R$39&amp;Hypothèses!$D$17&amp;Hypothèses!$D$18,INDIRECT("'"&amp;Hypothèses!$D$42&amp;"'!$A:$I"),6,FALSE) * R44</f>
        <v>#N/A</v>
      </c>
      <c r="S81" s="68" t="e">
        <f ca="1">VLOOKUP("fcractivation_hours"&amp;"S1"&amp;S$39&amp;Hypothèses!$D$17&amp;Hypothèses!$D$18,INDIRECT("'"&amp;Hypothèses!$D$42&amp;"'!$A:$I"),6,FALSE) * S44</f>
        <v>#N/A</v>
      </c>
      <c r="T81" s="68" t="e">
        <f ca="1">VLOOKUP("fcractivation_hours"&amp;"S1"&amp;T$39&amp;Hypothèses!$D$17&amp;Hypothèses!$D$18,INDIRECT("'"&amp;Hypothèses!$D$42&amp;"'!$A:$I"),6,FALSE) * T44</f>
        <v>#N/A</v>
      </c>
      <c r="U81" s="68" t="e">
        <f ca="1">VLOOKUP("fcractivation_hours"&amp;"S1"&amp;U$39&amp;Hypothèses!$D$17&amp;Hypothèses!$D$18,INDIRECT("'"&amp;Hypothèses!$D$42&amp;"'!$A:$I"),6,FALSE) * U44</f>
        <v>#N/A</v>
      </c>
      <c r="V81" s="68" t="e">
        <f ca="1">VLOOKUP("fcractivation_hours"&amp;"S1"&amp;V$39&amp;Hypothèses!$D$17&amp;Hypothèses!$D$18,INDIRECT("'"&amp;Hypothèses!$D$42&amp;"'!$A:$I"),6,FALSE) * V44</f>
        <v>#N/A</v>
      </c>
      <c r="W81" s="68" t="e">
        <f ca="1">VLOOKUP("fcractivation_hours"&amp;"S1"&amp;W$39&amp;Hypothèses!$D$17&amp;Hypothèses!$D$18,INDIRECT("'"&amp;Hypothèses!$D$42&amp;"'!$A:$I"),6,FALSE) * W44</f>
        <v>#N/A</v>
      </c>
      <c r="X81" s="68" t="e">
        <f ca="1">VLOOKUP("fcractivation_hours"&amp;"S1"&amp;X$39&amp;Hypothèses!$D$17&amp;Hypothèses!$D$18,INDIRECT("'"&amp;Hypothèses!$D$42&amp;"'!$A:$I"),6,FALSE) * X44</f>
        <v>#N/A</v>
      </c>
      <c r="Y81" s="68" t="e">
        <f ca="1">VLOOKUP("fcractivation_hours"&amp;"S1"&amp;Y$39&amp;Hypothèses!$D$17&amp;Hypothèses!$D$18,INDIRECT("'"&amp;Hypothèses!$D$42&amp;"'!$A:$I"),6,FALSE) * Y44</f>
        <v>#N/A</v>
      </c>
      <c r="Z81" s="68" t="e">
        <f ca="1">VLOOKUP("fcractivation_hours"&amp;"S1"&amp;Z$39&amp;Hypothèses!$D$17&amp;Hypothèses!$D$18,INDIRECT("'"&amp;Hypothèses!$D$42&amp;"'!$A:$I"),6,FALSE) * Z44</f>
        <v>#N/A</v>
      </c>
      <c r="AA81" s="68" t="e">
        <f ca="1">VLOOKUP("fcractivation_hours"&amp;"S1"&amp;AA$39&amp;Hypothèses!$D$17&amp;Hypothèses!$D$18,INDIRECT("'"&amp;Hypothèses!$D$42&amp;"'!$A:$I"),6,FALSE) * AA44</f>
        <v>#N/A</v>
      </c>
      <c r="AB81" s="68" t="e">
        <f ca="1">VLOOKUP("fcractivation_hours"&amp;"S1"&amp;AB$39&amp;Hypothèses!$D$17&amp;Hypothèses!$D$18,INDIRECT("'"&amp;Hypothèses!$D$42&amp;"'!$A:$I"),6,FALSE) * AB44</f>
        <v>#N/A</v>
      </c>
      <c r="AC81" s="68" t="e">
        <f ca="1">VLOOKUP("fcractivation_hours"&amp;"S1"&amp;AC$39&amp;Hypothèses!$D$17&amp;Hypothèses!$D$18,INDIRECT("'"&amp;Hypothèses!$D$42&amp;"'!$A:$I"),6,FALSE) * AC44</f>
        <v>#N/A</v>
      </c>
      <c r="AD81" s="68" t="e">
        <f ca="1">VLOOKUP("fcractivation_hours"&amp;"S1"&amp;AD$39&amp;Hypothèses!$D$17&amp;Hypothèses!$D$18,INDIRECT("'"&amp;Hypothèses!$D$42&amp;"'!$A:$I"),6,FALSE) * AD44</f>
        <v>#N/A</v>
      </c>
      <c r="AE81" s="68" t="e">
        <f ca="1">VLOOKUP("fcractivation_hours"&amp;"S1"&amp;AE$39&amp;Hypothèses!$D$17&amp;Hypothèses!$D$18,INDIRECT("'"&amp;Hypothèses!$D$42&amp;"'!$A:$I"),6,FALSE) * AE44</f>
        <v>#N/A</v>
      </c>
      <c r="AF81" s="68" t="e">
        <f ca="1">VLOOKUP("fcractivation_hours"&amp;"S1"&amp;AF$39&amp;Hypothèses!$D$17&amp;Hypothèses!$D$18,INDIRECT("'"&amp;Hypothèses!$D$42&amp;"'!$A:$I"),6,FALSE) * AF44</f>
        <v>#N/A</v>
      </c>
      <c r="AG81" s="68" t="e">
        <f ca="1">VLOOKUP("fcractivation_hours"&amp;"S1"&amp;AG$39&amp;Hypothèses!$D$17&amp;Hypothèses!$D$18,INDIRECT("'"&amp;Hypothèses!$D$42&amp;"'!$A:$I"),6,FALSE) * AG44</f>
        <v>#N/A</v>
      </c>
    </row>
    <row r="82" spans="2:33" s="75" customFormat="1" x14ac:dyDescent="0.3">
      <c r="B82" s="78" t="s">
        <v>83</v>
      </c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</row>
    <row r="83" spans="2:33" x14ac:dyDescent="0.3">
      <c r="B83" s="77" t="s">
        <v>84</v>
      </c>
      <c r="C83" s="10"/>
      <c r="D83" s="71">
        <f ca="1">VLOOKUP("afrrincome"&amp;"S1"&amp;D$39&amp;Hypothèses!$D$17&amp;Hypothèses!$D$18,INDIRECT("'"&amp;Hypothèses!$D$42&amp;"'!$A:$I"),6,FALSE)*(1+$C$37)^C43 * D44</f>
        <v>564972.48745850986</v>
      </c>
      <c r="E83" s="71" t="e">
        <f ca="1">VLOOKUP("afrrincome"&amp;"S1"&amp;E$39&amp;Hypothèses!$D$17&amp;Hypothèses!$D$18,INDIRECT("'"&amp;Hypothèses!$D$42&amp;"'!$A:$I"),6,FALSE)*(1+$C$37)^D43 * E44</f>
        <v>#N/A</v>
      </c>
      <c r="F83" s="71" t="e">
        <f ca="1">VLOOKUP("afrrincome"&amp;"S1"&amp;F$39&amp;Hypothèses!$D$17&amp;Hypothèses!$D$18,INDIRECT("'"&amp;Hypothèses!$D$42&amp;"'!$A:$I"),6,FALSE)*(1+$C$37)^E43 * F44</f>
        <v>#N/A</v>
      </c>
      <c r="G83" s="71" t="e">
        <f ca="1">VLOOKUP("afrrincome"&amp;"S1"&amp;G$39&amp;Hypothèses!$D$17&amp;Hypothèses!$D$18,INDIRECT("'"&amp;Hypothèses!$D$42&amp;"'!$A:$I"),6,FALSE)*(1+$C$37)^F43 * G44</f>
        <v>#N/A</v>
      </c>
      <c r="H83" s="71" t="e">
        <f ca="1">VLOOKUP("afrrincome"&amp;"S1"&amp;H$39&amp;Hypothèses!$D$17&amp;Hypothèses!$D$18,INDIRECT("'"&amp;Hypothèses!$D$42&amp;"'!$A:$I"),6,FALSE)*(1+$C$37)^G43 * H44</f>
        <v>#N/A</v>
      </c>
      <c r="I83" s="71" t="e">
        <f ca="1">VLOOKUP("afrrincome"&amp;"S1"&amp;I$39&amp;Hypothèses!$D$17&amp;Hypothèses!$D$18,INDIRECT("'"&amp;Hypothèses!$D$42&amp;"'!$A:$I"),6,FALSE)*(1+$C$37)^H43 * I44</f>
        <v>#N/A</v>
      </c>
      <c r="J83" s="71" t="e">
        <f ca="1">VLOOKUP("afrrincome"&amp;"S1"&amp;J$39&amp;Hypothèses!$D$17&amp;Hypothèses!$D$18,INDIRECT("'"&amp;Hypothèses!$D$42&amp;"'!$A:$I"),6,FALSE)*(1+$C$37)^I43 * J44</f>
        <v>#N/A</v>
      </c>
      <c r="K83" s="71" t="e">
        <f ca="1">VLOOKUP("afrrincome"&amp;"S1"&amp;K$39&amp;Hypothèses!$D$17&amp;Hypothèses!$D$18,INDIRECT("'"&amp;Hypothèses!$D$42&amp;"'!$A:$I"),6,FALSE)*(1+$C$37)^J43 * K44</f>
        <v>#N/A</v>
      </c>
      <c r="L83" s="71" t="e">
        <f ca="1">VLOOKUP("afrrincome"&amp;"S1"&amp;L$39&amp;Hypothèses!$D$17&amp;Hypothèses!$D$18,INDIRECT("'"&amp;Hypothèses!$D$42&amp;"'!$A:$I"),6,FALSE)*(1+$C$37)^K43 * L44</f>
        <v>#N/A</v>
      </c>
      <c r="M83" s="71" t="e">
        <f ca="1">VLOOKUP("afrrincome"&amp;"S1"&amp;M$39&amp;Hypothèses!$D$17&amp;Hypothèses!$D$18,INDIRECT("'"&amp;Hypothèses!$D$42&amp;"'!$A:$I"),6,FALSE)*(1+$C$37)^L43 * M44</f>
        <v>#N/A</v>
      </c>
      <c r="N83" s="71" t="e">
        <f ca="1">VLOOKUP("afrrincome"&amp;"S1"&amp;N$39&amp;Hypothèses!$D$17&amp;Hypothèses!$D$18,INDIRECT("'"&amp;Hypothèses!$D$42&amp;"'!$A:$I"),6,FALSE)*(1+$C$37)^M43 * N44</f>
        <v>#N/A</v>
      </c>
      <c r="O83" s="71" t="e">
        <f ca="1">VLOOKUP("afrrincome"&amp;"S1"&amp;O$39&amp;Hypothèses!$D$17&amp;Hypothèses!$D$18,INDIRECT("'"&amp;Hypothèses!$D$42&amp;"'!$A:$I"),6,FALSE)*(1+$C$37)^N43 * O44</f>
        <v>#N/A</v>
      </c>
      <c r="P83" s="71" t="e">
        <f ca="1">VLOOKUP("afrrincome"&amp;"S1"&amp;P$39&amp;Hypothèses!$D$17&amp;Hypothèses!$D$18,INDIRECT("'"&amp;Hypothèses!$D$42&amp;"'!$A:$I"),6,FALSE)*(1+$C$37)^O43 * P44</f>
        <v>#N/A</v>
      </c>
      <c r="Q83" s="71" t="e">
        <f ca="1">VLOOKUP("afrrincome"&amp;"S1"&amp;Q$39&amp;Hypothèses!$D$17&amp;Hypothèses!$D$18,INDIRECT("'"&amp;Hypothèses!$D$42&amp;"'!$A:$I"),6,FALSE)*(1+$C$37)^P43 * Q44</f>
        <v>#N/A</v>
      </c>
      <c r="R83" s="71" t="e">
        <f ca="1">VLOOKUP("afrrincome"&amp;"S1"&amp;R$39&amp;Hypothèses!$D$17&amp;Hypothèses!$D$18,INDIRECT("'"&amp;Hypothèses!$D$42&amp;"'!$A:$I"),6,FALSE)*(1+$C$37)^Q43 * R44</f>
        <v>#N/A</v>
      </c>
      <c r="S83" s="71" t="e">
        <f ca="1">VLOOKUP("afrrincome"&amp;"S1"&amp;S$39&amp;Hypothèses!$D$17&amp;Hypothèses!$D$18,INDIRECT("'"&amp;Hypothèses!$D$42&amp;"'!$A:$I"),6,FALSE)*(1+$C$37)^R43 * S44</f>
        <v>#N/A</v>
      </c>
      <c r="T83" s="71" t="e">
        <f ca="1">VLOOKUP("afrrincome"&amp;"S1"&amp;T$39&amp;Hypothèses!$D$17&amp;Hypothèses!$D$18,INDIRECT("'"&amp;Hypothèses!$D$42&amp;"'!$A:$I"),6,FALSE)*(1+$C$37)^S43 * T44</f>
        <v>#N/A</v>
      </c>
      <c r="U83" s="71" t="e">
        <f ca="1">VLOOKUP("afrrincome"&amp;"S1"&amp;U$39&amp;Hypothèses!$D$17&amp;Hypothèses!$D$18,INDIRECT("'"&amp;Hypothèses!$D$42&amp;"'!$A:$I"),6,FALSE)*(1+$C$37)^T43 * U44</f>
        <v>#N/A</v>
      </c>
      <c r="V83" s="71" t="e">
        <f ca="1">VLOOKUP("afrrincome"&amp;"S1"&amp;V$39&amp;Hypothèses!$D$17&amp;Hypothèses!$D$18,INDIRECT("'"&amp;Hypothèses!$D$42&amp;"'!$A:$I"),6,FALSE)*(1+$C$37)^U43 * V44</f>
        <v>#N/A</v>
      </c>
      <c r="W83" s="71" t="e">
        <f ca="1">VLOOKUP("afrrincome"&amp;"S1"&amp;W$39&amp;Hypothèses!$D$17&amp;Hypothèses!$D$18,INDIRECT("'"&amp;Hypothèses!$D$42&amp;"'!$A:$I"),6,FALSE)*(1+$C$37)^V43 * W44</f>
        <v>#N/A</v>
      </c>
      <c r="X83" s="71" t="e">
        <f ca="1">VLOOKUP("afrrincome"&amp;"S1"&amp;X$39&amp;Hypothèses!$D$17&amp;Hypothèses!$D$18,INDIRECT("'"&amp;Hypothèses!$D$42&amp;"'!$A:$I"),6,FALSE)*(1+$C$37)^W43 * X44</f>
        <v>#N/A</v>
      </c>
      <c r="Y83" s="71" t="e">
        <f ca="1">VLOOKUP("afrrincome"&amp;"S1"&amp;Y$39&amp;Hypothèses!$D$17&amp;Hypothèses!$D$18,INDIRECT("'"&amp;Hypothèses!$D$42&amp;"'!$A:$I"),6,FALSE)*(1+$C$37)^X43 * Y44</f>
        <v>#N/A</v>
      </c>
      <c r="Z83" s="71" t="e">
        <f ca="1">VLOOKUP("afrrincome"&amp;"S1"&amp;Z$39&amp;Hypothèses!$D$17&amp;Hypothèses!$D$18,INDIRECT("'"&amp;Hypothèses!$D$42&amp;"'!$A:$I"),6,FALSE)*(1+$C$37)^Y43 * Z44</f>
        <v>#N/A</v>
      </c>
      <c r="AA83" s="71" t="e">
        <f ca="1">VLOOKUP("afrrincome"&amp;"S1"&amp;AA$39&amp;Hypothèses!$D$17&amp;Hypothèses!$D$18,INDIRECT("'"&amp;Hypothèses!$D$42&amp;"'!$A:$I"),6,FALSE)*(1+$C$37)^Z43 * AA44</f>
        <v>#N/A</v>
      </c>
      <c r="AB83" s="71" t="e">
        <f ca="1">VLOOKUP("afrrincome"&amp;"S1"&amp;AB$39&amp;Hypothèses!$D$17&amp;Hypothèses!$D$18,INDIRECT("'"&amp;Hypothèses!$D$42&amp;"'!$A:$I"),6,FALSE)*(1+$C$37)^AA43 * AB44</f>
        <v>#N/A</v>
      </c>
      <c r="AC83" s="71" t="e">
        <f ca="1">VLOOKUP("afrrincome"&amp;"S1"&amp;AC$39&amp;Hypothèses!$D$17&amp;Hypothèses!$D$18,INDIRECT("'"&amp;Hypothèses!$D$42&amp;"'!$A:$I"),6,FALSE)*(1+$C$37)^AB43 * AC44</f>
        <v>#N/A</v>
      </c>
      <c r="AD83" s="71" t="e">
        <f ca="1">VLOOKUP("afrrincome"&amp;"S1"&amp;AD$39&amp;Hypothèses!$D$17&amp;Hypothèses!$D$18,INDIRECT("'"&amp;Hypothèses!$D$42&amp;"'!$A:$I"),6,FALSE)*(1+$C$37)^AC43 * AD44</f>
        <v>#N/A</v>
      </c>
      <c r="AE83" s="71" t="e">
        <f ca="1">VLOOKUP("afrrincome"&amp;"S1"&amp;AE$39&amp;Hypothèses!$D$17&amp;Hypothèses!$D$18,INDIRECT("'"&amp;Hypothèses!$D$42&amp;"'!$A:$I"),6,FALSE)*(1+$C$37)^AD43 * AE44</f>
        <v>#N/A</v>
      </c>
      <c r="AF83" s="71" t="e">
        <f ca="1">VLOOKUP("afrrincome"&amp;"S1"&amp;AF$39&amp;Hypothèses!$D$17&amp;Hypothèses!$D$18,INDIRECT("'"&amp;Hypothèses!$D$42&amp;"'!$A:$I"),6,FALSE)*(1+$C$37)^AE43 * AF44</f>
        <v>#N/A</v>
      </c>
      <c r="AG83" s="71" t="e">
        <f ca="1">VLOOKUP("afrrincome"&amp;"S1"&amp;AG$39&amp;Hypothèses!$D$17&amp;Hypothèses!$D$18,INDIRECT("'"&amp;Hypothèses!$D$42&amp;"'!$A:$I"),6,FALSE)*(1+$C$37)^AF43 * AG44</f>
        <v>#N/A</v>
      </c>
    </row>
    <row r="84" spans="2:33" ht="14.5" x14ac:dyDescent="0.35">
      <c r="B84" s="26" t="s">
        <v>26</v>
      </c>
      <c r="C84" s="10"/>
      <c r="D84" s="68"/>
      <c r="E84" s="135" t="e">
        <f t="shared" ref="E84" ca="1" si="378">E83/D83-1</f>
        <v>#N/A</v>
      </c>
      <c r="F84" s="135" t="e">
        <f t="shared" ref="F84" ca="1" si="379">F83/E83-1</f>
        <v>#N/A</v>
      </c>
      <c r="G84" s="135" t="e">
        <f t="shared" ref="G84" ca="1" si="380">G83/F83-1</f>
        <v>#N/A</v>
      </c>
      <c r="H84" s="135" t="e">
        <f t="shared" ref="H84" ca="1" si="381">H83/G83-1</f>
        <v>#N/A</v>
      </c>
      <c r="I84" s="135" t="e">
        <f t="shared" ref="I84" ca="1" si="382">I83/H83-1</f>
        <v>#N/A</v>
      </c>
      <c r="J84" s="135" t="e">
        <f t="shared" ref="J84" ca="1" si="383">J83/I83-1</f>
        <v>#N/A</v>
      </c>
      <c r="K84" s="135" t="e">
        <f t="shared" ref="K84" ca="1" si="384">K83/J83-1</f>
        <v>#N/A</v>
      </c>
      <c r="L84" s="135" t="e">
        <f t="shared" ref="L84" ca="1" si="385">L83/K83-1</f>
        <v>#N/A</v>
      </c>
      <c r="M84" s="135" t="e">
        <f t="shared" ref="M84" ca="1" si="386">M83/L83-1</f>
        <v>#N/A</v>
      </c>
      <c r="N84" s="135" t="e">
        <f t="shared" ref="N84" ca="1" si="387">N83/M83-1</f>
        <v>#N/A</v>
      </c>
      <c r="O84" s="135" t="e">
        <f t="shared" ref="O84" ca="1" si="388">O83/N83-1</f>
        <v>#N/A</v>
      </c>
      <c r="P84" s="135" t="e">
        <f t="shared" ref="P84" ca="1" si="389">P83/O83-1</f>
        <v>#N/A</v>
      </c>
      <c r="Q84" s="135" t="e">
        <f t="shared" ref="Q84" ca="1" si="390">Q83/P83-1</f>
        <v>#N/A</v>
      </c>
      <c r="R84" s="135" t="e">
        <f t="shared" ref="R84" ca="1" si="391">R83/Q83-1</f>
        <v>#N/A</v>
      </c>
      <c r="S84" s="135" t="e">
        <f t="shared" ref="S84" ca="1" si="392">S83/R83-1</f>
        <v>#N/A</v>
      </c>
      <c r="T84" s="135" t="e">
        <f t="shared" ref="T84" ca="1" si="393">T83/S83-1</f>
        <v>#N/A</v>
      </c>
      <c r="U84" s="135" t="e">
        <f t="shared" ref="U84" ca="1" si="394">U83/T83-1</f>
        <v>#N/A</v>
      </c>
      <c r="V84" s="135" t="e">
        <f t="shared" ref="V84" ca="1" si="395">V83/U83-1</f>
        <v>#N/A</v>
      </c>
      <c r="W84" s="135" t="e">
        <f t="shared" ref="W84" ca="1" si="396">W83/V83-1</f>
        <v>#N/A</v>
      </c>
      <c r="X84" s="135" t="e">
        <f t="shared" ref="X84" ca="1" si="397">X83/W83-1</f>
        <v>#N/A</v>
      </c>
      <c r="Y84" s="135" t="e">
        <f t="shared" ref="Y84" ca="1" si="398">Y83/X83-1</f>
        <v>#N/A</v>
      </c>
      <c r="Z84" s="135" t="e">
        <f t="shared" ref="Z84" ca="1" si="399">Z83/Y83-1</f>
        <v>#N/A</v>
      </c>
      <c r="AA84" s="135" t="e">
        <f t="shared" ref="AA84" ca="1" si="400">AA83/Z83-1</f>
        <v>#N/A</v>
      </c>
      <c r="AB84" s="135" t="e">
        <f t="shared" ref="AB84" ca="1" si="401">AB83/AA83-1</f>
        <v>#N/A</v>
      </c>
      <c r="AC84" s="135" t="e">
        <f t="shared" ref="AC84" ca="1" si="402">AC83/AB83-1</f>
        <v>#N/A</v>
      </c>
      <c r="AD84" s="135" t="e">
        <f t="shared" ref="AD84" ca="1" si="403">AD83/AC83-1</f>
        <v>#N/A</v>
      </c>
      <c r="AE84" s="135" t="e">
        <f t="shared" ref="AE84" ca="1" si="404">AE83/AD83-1</f>
        <v>#N/A</v>
      </c>
      <c r="AF84" s="135" t="e">
        <f t="shared" ref="AF84" ca="1" si="405">AF83/AE83-1</f>
        <v>#N/A</v>
      </c>
      <c r="AG84" s="135" t="e">
        <f ca="1">AG83/AF83-1</f>
        <v>#N/A</v>
      </c>
    </row>
    <row r="85" spans="2:33" ht="14.5" x14ac:dyDescent="0.35">
      <c r="B85" s="26" t="s">
        <v>121</v>
      </c>
      <c r="C85" s="10"/>
      <c r="D85" s="68">
        <f ca="1">VLOOKUP("afrractivation_hours"&amp;"S1"&amp;D$39&amp;Hypothèses!$D$17&amp;Hypothèses!$D$18,INDIRECT("'"&amp;Hypothèses!$D$42&amp;"'!$A:$I"),6,FALSE) * D44</f>
        <v>8721</v>
      </c>
      <c r="E85" s="68" t="e">
        <f ca="1">VLOOKUP("afrractivation_hours"&amp;"S1"&amp;E$39&amp;Hypothèses!$D$17&amp;Hypothèses!$D$18,INDIRECT("'"&amp;Hypothèses!$D$42&amp;"'!$A:$I"),6,FALSE) * E44</f>
        <v>#N/A</v>
      </c>
      <c r="F85" s="68" t="e">
        <f ca="1">VLOOKUP("afrractivation_hours"&amp;"S1"&amp;F$39&amp;Hypothèses!$D$17&amp;Hypothèses!$D$18,INDIRECT("'"&amp;Hypothèses!$D$42&amp;"'!$A:$I"),6,FALSE) * F44</f>
        <v>#N/A</v>
      </c>
      <c r="G85" s="68" t="e">
        <f ca="1">VLOOKUP("afrractivation_hours"&amp;"S1"&amp;G$39&amp;Hypothèses!$D$17&amp;Hypothèses!$D$18,INDIRECT("'"&amp;Hypothèses!$D$42&amp;"'!$A:$I"),6,FALSE) * G44</f>
        <v>#N/A</v>
      </c>
      <c r="H85" s="68" t="e">
        <f ca="1">VLOOKUP("afrractivation_hours"&amp;"S1"&amp;H$39&amp;Hypothèses!$D$17&amp;Hypothèses!$D$18,INDIRECT("'"&amp;Hypothèses!$D$42&amp;"'!$A:$I"),6,FALSE) * H44</f>
        <v>#N/A</v>
      </c>
      <c r="I85" s="68" t="e">
        <f ca="1">VLOOKUP("afrractivation_hours"&amp;"S1"&amp;I$39&amp;Hypothèses!$D$17&amp;Hypothèses!$D$18,INDIRECT("'"&amp;Hypothèses!$D$42&amp;"'!$A:$I"),6,FALSE) * I44</f>
        <v>#N/A</v>
      </c>
      <c r="J85" s="68" t="e">
        <f ca="1">VLOOKUP("afrractivation_hours"&amp;"S1"&amp;J$39&amp;Hypothèses!$D$17&amp;Hypothèses!$D$18,INDIRECT("'"&amp;Hypothèses!$D$42&amp;"'!$A:$I"),6,FALSE) * J44</f>
        <v>#N/A</v>
      </c>
      <c r="K85" s="68" t="e">
        <f ca="1">VLOOKUP("afrractivation_hours"&amp;"S1"&amp;K$39&amp;Hypothèses!$D$17&amp;Hypothèses!$D$18,INDIRECT("'"&amp;Hypothèses!$D$42&amp;"'!$A:$I"),6,FALSE) * K44</f>
        <v>#N/A</v>
      </c>
      <c r="L85" s="68" t="e">
        <f ca="1">VLOOKUP("afrractivation_hours"&amp;"S1"&amp;L$39&amp;Hypothèses!$D$17&amp;Hypothèses!$D$18,INDIRECT("'"&amp;Hypothèses!$D$42&amp;"'!$A:$I"),6,FALSE) * L44</f>
        <v>#N/A</v>
      </c>
      <c r="M85" s="68" t="e">
        <f ca="1">VLOOKUP("afrractivation_hours"&amp;"S1"&amp;M$39&amp;Hypothèses!$D$17&amp;Hypothèses!$D$18,INDIRECT("'"&amp;Hypothèses!$D$42&amp;"'!$A:$I"),6,FALSE) * M44</f>
        <v>#N/A</v>
      </c>
      <c r="N85" s="68" t="e">
        <f ca="1">VLOOKUP("afrractivation_hours"&amp;"S1"&amp;N$39&amp;Hypothèses!$D$17&amp;Hypothèses!$D$18,INDIRECT("'"&amp;Hypothèses!$D$42&amp;"'!$A:$I"),6,FALSE) * N44</f>
        <v>#N/A</v>
      </c>
      <c r="O85" s="68" t="e">
        <f ca="1">VLOOKUP("afrractivation_hours"&amp;"S1"&amp;O$39&amp;Hypothèses!$D$17&amp;Hypothèses!$D$18,INDIRECT("'"&amp;Hypothèses!$D$42&amp;"'!$A:$I"),6,FALSE) * O44</f>
        <v>#N/A</v>
      </c>
      <c r="P85" s="68" t="e">
        <f ca="1">VLOOKUP("afrractivation_hours"&amp;"S1"&amp;P$39&amp;Hypothèses!$D$17&amp;Hypothèses!$D$18,INDIRECT("'"&amp;Hypothèses!$D$42&amp;"'!$A:$I"),6,FALSE) * P44</f>
        <v>#N/A</v>
      </c>
      <c r="Q85" s="68" t="e">
        <f ca="1">VLOOKUP("afrractivation_hours"&amp;"S1"&amp;Q$39&amp;Hypothèses!$D$17&amp;Hypothèses!$D$18,INDIRECT("'"&amp;Hypothèses!$D$42&amp;"'!$A:$I"),6,FALSE) * Q44</f>
        <v>#N/A</v>
      </c>
      <c r="R85" s="68" t="e">
        <f ca="1">VLOOKUP("afrractivation_hours"&amp;"S1"&amp;R$39&amp;Hypothèses!$D$17&amp;Hypothèses!$D$18,INDIRECT("'"&amp;Hypothèses!$D$42&amp;"'!$A:$I"),6,FALSE) * R44</f>
        <v>#N/A</v>
      </c>
      <c r="S85" s="68" t="e">
        <f ca="1">VLOOKUP("afrractivation_hours"&amp;"S1"&amp;S$39&amp;Hypothèses!$D$17&amp;Hypothèses!$D$18,INDIRECT("'"&amp;Hypothèses!$D$42&amp;"'!$A:$I"),6,FALSE) * S44</f>
        <v>#N/A</v>
      </c>
      <c r="T85" s="68" t="e">
        <f ca="1">VLOOKUP("afrractivation_hours"&amp;"S1"&amp;T$39&amp;Hypothèses!$D$17&amp;Hypothèses!$D$18,INDIRECT("'"&amp;Hypothèses!$D$42&amp;"'!$A:$I"),6,FALSE) * T44</f>
        <v>#N/A</v>
      </c>
      <c r="U85" s="68" t="e">
        <f ca="1">VLOOKUP("afrractivation_hours"&amp;"S1"&amp;U$39&amp;Hypothèses!$D$17&amp;Hypothèses!$D$18,INDIRECT("'"&amp;Hypothèses!$D$42&amp;"'!$A:$I"),6,FALSE) * U44</f>
        <v>#N/A</v>
      </c>
      <c r="V85" s="68" t="e">
        <f ca="1">VLOOKUP("afrractivation_hours"&amp;"S1"&amp;V$39&amp;Hypothèses!$D$17&amp;Hypothèses!$D$18,INDIRECT("'"&amp;Hypothèses!$D$42&amp;"'!$A:$I"),6,FALSE) * V44</f>
        <v>#N/A</v>
      </c>
      <c r="W85" s="68" t="e">
        <f ca="1">VLOOKUP("afrractivation_hours"&amp;"S1"&amp;W$39&amp;Hypothèses!$D$17&amp;Hypothèses!$D$18,INDIRECT("'"&amp;Hypothèses!$D$42&amp;"'!$A:$I"),6,FALSE) * W44</f>
        <v>#N/A</v>
      </c>
      <c r="X85" s="68" t="e">
        <f ca="1">VLOOKUP("afrractivation_hours"&amp;"S1"&amp;X$39&amp;Hypothèses!$D$17&amp;Hypothèses!$D$18,INDIRECT("'"&amp;Hypothèses!$D$42&amp;"'!$A:$I"),6,FALSE) * X44</f>
        <v>#N/A</v>
      </c>
      <c r="Y85" s="68" t="e">
        <f ca="1">VLOOKUP("afrractivation_hours"&amp;"S1"&amp;Y$39&amp;Hypothèses!$D$17&amp;Hypothèses!$D$18,INDIRECT("'"&amp;Hypothèses!$D$42&amp;"'!$A:$I"),6,FALSE) * Y44</f>
        <v>#N/A</v>
      </c>
      <c r="Z85" s="68" t="e">
        <f ca="1">VLOOKUP("afrractivation_hours"&amp;"S1"&amp;Z$39&amp;Hypothèses!$D$17&amp;Hypothèses!$D$18,INDIRECT("'"&amp;Hypothèses!$D$42&amp;"'!$A:$I"),6,FALSE) * Z44</f>
        <v>#N/A</v>
      </c>
      <c r="AA85" s="68" t="e">
        <f ca="1">VLOOKUP("afrractivation_hours"&amp;"S1"&amp;AA$39&amp;Hypothèses!$D$17&amp;Hypothèses!$D$18,INDIRECT("'"&amp;Hypothèses!$D$42&amp;"'!$A:$I"),6,FALSE) * AA44</f>
        <v>#N/A</v>
      </c>
      <c r="AB85" s="68" t="e">
        <f ca="1">VLOOKUP("afrractivation_hours"&amp;"S1"&amp;AB$39&amp;Hypothèses!$D$17&amp;Hypothèses!$D$18,INDIRECT("'"&amp;Hypothèses!$D$42&amp;"'!$A:$I"),6,FALSE) * AB44</f>
        <v>#N/A</v>
      </c>
      <c r="AC85" s="68" t="e">
        <f ca="1">VLOOKUP("afrractivation_hours"&amp;"S1"&amp;AC$39&amp;Hypothèses!$D$17&amp;Hypothèses!$D$18,INDIRECT("'"&amp;Hypothèses!$D$42&amp;"'!$A:$I"),6,FALSE) * AC44</f>
        <v>#N/A</v>
      </c>
      <c r="AD85" s="68" t="e">
        <f ca="1">VLOOKUP("afrractivation_hours"&amp;"S1"&amp;AD$39&amp;Hypothèses!$D$17&amp;Hypothèses!$D$18,INDIRECT("'"&amp;Hypothèses!$D$42&amp;"'!$A:$I"),6,FALSE) * AD44</f>
        <v>#N/A</v>
      </c>
      <c r="AE85" s="68" t="e">
        <f ca="1">VLOOKUP("afrractivation_hours"&amp;"S1"&amp;AE$39&amp;Hypothèses!$D$17&amp;Hypothèses!$D$18,INDIRECT("'"&amp;Hypothèses!$D$42&amp;"'!$A:$I"),6,FALSE) * AE44</f>
        <v>#N/A</v>
      </c>
      <c r="AF85" s="68" t="e">
        <f ca="1">VLOOKUP("afrractivation_hours"&amp;"S1"&amp;AF$39&amp;Hypothèses!$D$17&amp;Hypothèses!$D$18,INDIRECT("'"&amp;Hypothèses!$D$42&amp;"'!$A:$I"),6,FALSE) * AF44</f>
        <v>#N/A</v>
      </c>
      <c r="AG85" s="68" t="e">
        <f ca="1">VLOOKUP("afrractivation_hours"&amp;"S1"&amp;AG$39&amp;Hypothèses!$D$17&amp;Hypothèses!$D$18,INDIRECT("'"&amp;Hypothèses!$D$42&amp;"'!$A:$I"),6,FALSE) * AG44</f>
        <v>#N/A</v>
      </c>
    </row>
    <row r="86" spans="2:33" s="75" customFormat="1" x14ac:dyDescent="0.3">
      <c r="B86" s="78" t="s">
        <v>85</v>
      </c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</row>
    <row r="87" spans="2:33" x14ac:dyDescent="0.3">
      <c r="B87" s="10" t="s">
        <v>27</v>
      </c>
      <c r="C87" s="10"/>
      <c r="D87" s="71">
        <f>Hypothèses!$D$41*IF(Hypothèses!$D$42="versys - B1",D89,IF(Hypothèses!$D$42="versys - B3",D90,D88))*MIN(Hypothèses!$C$12,Hypothèses!$D$17)*Hypothèses!$D$26 * (1+$C$37)^D43 * D44</f>
        <v>135768.07335000002</v>
      </c>
      <c r="E87" s="71">
        <f>Hypothèses!$D$41*IF(Hypothèses!$D$42="versys - B1",E89,IF(Hypothèses!$D$42="versys - B3",E90,E88))*MIN(Hypothèses!$C$12,Hypothèses!$D$17)*Hypothèses!$D$26 * (1+$C$37)^E43 * E44</f>
        <v>124019.67760000002</v>
      </c>
      <c r="F87" s="71">
        <f>Hypothèses!$D$41*IF(Hypothèses!$D$42="versys - B1",F89,IF(Hypothèses!$D$42="versys - B3",F90,F88))*MIN(Hypothèses!$C$12,Hypothèses!$D$17)*Hypothèses!$D$26 * (1+$C$37)^F43 * F44</f>
        <v>117695.52807012001</v>
      </c>
      <c r="G87" s="71">
        <f>Hypothèses!$D$41*IF(Hypothèses!$D$42="versys - B1",G89,IF(Hypothèses!$D$42="versys - B3",G90,G88))*MIN(Hypothèses!$C$12,Hypothèses!$D$17)*Hypothèses!$D$26 * (1+$C$37)^G43 * G44</f>
        <v>103431.52237259664</v>
      </c>
      <c r="H87" s="71">
        <f>Hypothèses!$D$41*IF(Hypothèses!$D$42="versys - B1",H89,IF(Hypothèses!$D$42="versys - B3",H90,H88))*MIN(Hypothèses!$C$12,Hypothèses!$D$17)*Hypothèses!$D$26 * (1+$C$37)^H43 * H44</f>
        <v>116825.64221479507</v>
      </c>
      <c r="I87" s="71">
        <f>Hypothèses!$D$41*IF(Hypothèses!$D$42="versys - B1",I89,IF(Hypothèses!$D$42="versys - B3",I90,I88))*MIN(Hypothèses!$C$12,Hypothèses!$D$17)*Hypothèses!$D$26 * (1+$C$37)^I43 * I44</f>
        <v>131225.93838781162</v>
      </c>
      <c r="J87" s="71">
        <f>Hypothèses!$D$41*IF(Hypothèses!$D$42="versys - B1",J89,IF(Hypothèses!$D$42="versys - B3",J90,J88))*MIN(Hypothèses!$C$12,Hypothèses!$D$17)*Hypothèses!$D$26 * (1+$C$37)^J43 * J44</f>
        <v>121777.82924515642</v>
      </c>
      <c r="K87" s="71">
        <f>Hypothèses!$D$41*IF(Hypothèses!$D$42="versys - B1",K89,IF(Hypothèses!$D$42="versys - B3",K90,K88))*MIN(Hypothèses!$C$12,Hypothèses!$D$17)*Hypothèses!$D$26 * (1+$C$37)^K43 * K44</f>
        <v>124665.367163403</v>
      </c>
      <c r="L87" s="71">
        <f>Hypothèses!$D$41*IF(Hypothèses!$D$42="versys - B1",L89,IF(Hypothèses!$D$42="versys - B3",L90,L88))*MIN(Hypothèses!$C$12,Hypothèses!$D$17)*Hypothèses!$D$26 * (1+$C$37)^L43 * L44</f>
        <v>123810.04523575951</v>
      </c>
      <c r="M87" s="71">
        <f>Hypothèses!$D$41*IF(Hypothèses!$D$42="versys - B1",M89,IF(Hypothèses!$D$42="versys - B3",M90,M88))*MIN(Hypothèses!$C$12,Hypothèses!$D$17)*Hypothèses!$D$26 * (1+$C$37)^M43 * M44</f>
        <v>124745.57864174573</v>
      </c>
      <c r="N87" s="71">
        <f>Hypothèses!$D$41*IF(Hypothèses!$D$42="versys - B1",N89,IF(Hypothèses!$D$42="versys - B3",N90,N88))*MIN(Hypothèses!$C$12,Hypothèses!$D$17)*Hypothèses!$D$26 * (1+$C$37)^N43 * N44</f>
        <v>105712.74434464329</v>
      </c>
      <c r="O87" s="71">
        <f>Hypothèses!$D$41*IF(Hypothèses!$D$42="versys - B1",O89,IF(Hypothèses!$D$42="versys - B3",O90,O88))*MIN(Hypothèses!$C$12,Hypothèses!$D$17)*Hypothèses!$D$26 * (1+$C$37)^O43 * O44</f>
        <v>126243.44786207471</v>
      </c>
      <c r="P87" s="71">
        <f>Hypothèses!$D$41*IF(Hypothèses!$D$42="versys - B1",P89,IF(Hypothèses!$D$42="versys - B3",P90,P88))*MIN(Hypothèses!$C$12,Hypothèses!$D$17)*Hypothèses!$D$26 * (1+$C$37)^P43 * P44</f>
        <v>123977.8899092811</v>
      </c>
      <c r="Q87" s="71">
        <f>Hypothèses!$D$41*IF(Hypothèses!$D$42="versys - B1",Q89,IF(Hypothèses!$D$42="versys - B3",Q90,Q88))*MIN(Hypothèses!$C$12,Hypothèses!$D$17)*Hypothèses!$D$26 * (1+$C$37)^Q43 * Q44</f>
        <v>121343.72805703369</v>
      </c>
      <c r="R87" s="71">
        <f>Hypothèses!$D$41*IF(Hypothèses!$D$42="versys - B1",R89,IF(Hypothèses!$D$42="versys - B3",R90,R88))*MIN(Hypothèses!$C$12,Hypothèses!$D$17)*Hypothèses!$D$26 * (1+$C$37)^R43 * R44</f>
        <v>118407.30502601305</v>
      </c>
      <c r="S87" s="71">
        <f>Hypothèses!$D$41*IF(Hypothèses!$D$42="versys - B1",S89,IF(Hypothèses!$D$42="versys - B3",S90,S88))*MIN(Hypothèses!$C$12,Hypothèses!$D$17)*Hypothèses!$D$26 * (1+$C$37)^S43 * S44</f>
        <v>117073.68170171851</v>
      </c>
      <c r="T87" s="71">
        <f>Hypothèses!$D$41*IF(Hypothèses!$D$42="versys - B1",T89,IF(Hypothèses!$D$42="versys - B3",T90,T88))*MIN(Hypothèses!$C$12,Hypothèses!$D$17)*Hypothèses!$D$26 * (1+$C$37)^T43 * T44</f>
        <v>123434.16488897719</v>
      </c>
      <c r="U87" s="71">
        <f>Hypothèses!$D$41*IF(Hypothèses!$D$42="versys - B1",U89,IF(Hypothèses!$D$42="versys - B3",U90,U88))*MIN(Hypothèses!$C$12,Hypothèses!$D$17)*Hypothèses!$D$26 * (1+$C$37)^U43 * U44</f>
        <v>0</v>
      </c>
      <c r="V87" s="71">
        <f>Hypothèses!$D$41*IF(Hypothèses!$D$42="versys - B1",V89,IF(Hypothèses!$D$42="versys - B3",V90,V88))*MIN(Hypothèses!$C$12,Hypothèses!$D$17)*Hypothèses!$D$26 * (1+$C$37)^V43 * V44</f>
        <v>0</v>
      </c>
      <c r="W87" s="71">
        <f>Hypothèses!$D$41*IF(Hypothèses!$D$42="versys - B1",W89,IF(Hypothèses!$D$42="versys - B3",W90,W88))*MIN(Hypothèses!$C$12,Hypothèses!$D$17)*Hypothèses!$D$26 * (1+$C$37)^W43 * W44</f>
        <v>0</v>
      </c>
      <c r="X87" s="71">
        <f>Hypothèses!$D$41*IF(Hypothèses!$D$42="versys - B1",X89,IF(Hypothèses!$D$42="versys - B3",X90,X88))*MIN(Hypothèses!$C$12,Hypothèses!$D$17)*Hypothèses!$D$26 * (1+$C$37)^X43 * X44</f>
        <v>0</v>
      </c>
      <c r="Y87" s="71">
        <f>Hypothèses!$D$41*IF(Hypothèses!$D$42="versys - B1",Y89,IF(Hypothèses!$D$42="versys - B3",Y90,Y88))*MIN(Hypothèses!$C$12,Hypothèses!$D$17)*Hypothèses!$D$26 * (1+$C$37)^Y43 * Y44</f>
        <v>0</v>
      </c>
      <c r="Z87" s="71">
        <f>Hypothèses!$D$41*IF(Hypothèses!$D$42="versys - B1",Z89,IF(Hypothèses!$D$42="versys - B3",Z90,Z88))*MIN(Hypothèses!$C$12,Hypothèses!$D$17)*Hypothèses!$D$26 * (1+$C$37)^Z43 * Z44</f>
        <v>0</v>
      </c>
      <c r="AA87" s="71">
        <f>Hypothèses!$D$41*IF(Hypothèses!$D$42="versys - B1",AA89,IF(Hypothèses!$D$42="versys - B3",AA90,AA88))*MIN(Hypothèses!$C$12,Hypothèses!$D$17)*Hypothèses!$D$26 * (1+$C$37)^AA43 * AA44</f>
        <v>0</v>
      </c>
      <c r="AB87" s="71">
        <f>Hypothèses!$D$41*IF(Hypothèses!$D$42="versys - B1",AB89,IF(Hypothèses!$D$42="versys - B3",AB90,AB88))*MIN(Hypothèses!$C$12,Hypothèses!$D$17)*Hypothèses!$D$26 * (1+$C$37)^AB43 * AB44</f>
        <v>0</v>
      </c>
      <c r="AC87" s="71">
        <f>Hypothèses!$D$41*IF(Hypothèses!$D$42="versys - B1",AC89,IF(Hypothèses!$D$42="versys - B3",AC90,AC88))*MIN(Hypothèses!$C$12,Hypothèses!$D$17)*Hypothèses!$D$26 * (1+$C$37)^AC43 * AC44</f>
        <v>0</v>
      </c>
      <c r="AD87" s="71">
        <f>Hypothèses!$D$41*IF(Hypothèses!$D$42="versys - B1",AD89,IF(Hypothèses!$D$42="versys - B3",AD90,AD88))*MIN(Hypothèses!$C$12,Hypothèses!$D$17)*Hypothèses!$D$26 * (1+$C$37)^AD43 * AD44</f>
        <v>0</v>
      </c>
      <c r="AE87" s="71">
        <f>Hypothèses!$D$41*IF(Hypothèses!$D$42="versys - B1",AE89,IF(Hypothèses!$D$42="versys - B3",AE90,AE88))*MIN(Hypothèses!$C$12,Hypothèses!$D$17)*Hypothèses!$D$26 * (1+$C$37)^AE43 * AE44</f>
        <v>0</v>
      </c>
      <c r="AF87" s="71">
        <f>Hypothèses!$D$41*IF(Hypothèses!$D$42="versys - B1",AF89,IF(Hypothèses!$D$42="versys - B3",AF90,AF88))*MIN(Hypothèses!$C$12,Hypothèses!$D$17)*Hypothèses!$D$26 * (1+$C$37)^AF43 * AF44</f>
        <v>0</v>
      </c>
      <c r="AG87" s="71">
        <f>Hypothèses!$D$41*IF(Hypothèses!$D$42="versys - B1",AG89,IF(Hypothèses!$D$42="versys - B3",AG90,AG88))*MIN(Hypothèses!$C$12,Hypothèses!$D$17)*Hypothèses!$D$26 * (1+$C$37)^AG43 * AG44</f>
        <v>0</v>
      </c>
    </row>
    <row r="88" spans="2:33" outlineLevel="1" x14ac:dyDescent="0.3">
      <c r="B88" s="10" t="s">
        <v>196</v>
      </c>
      <c r="C88" s="10"/>
      <c r="D88" s="68">
        <v>29543.7</v>
      </c>
      <c r="E88" s="68">
        <v>26720</v>
      </c>
      <c r="F88" s="68">
        <v>25106.400000000001</v>
      </c>
      <c r="G88" s="68">
        <v>21845.200000000001</v>
      </c>
      <c r="H88" s="68">
        <v>24429.8</v>
      </c>
      <c r="I88" s="68">
        <v>27169.4</v>
      </c>
      <c r="J88" s="68">
        <v>24963.599999999999</v>
      </c>
      <c r="K88" s="68">
        <v>25302.5</v>
      </c>
      <c r="L88" s="68">
        <v>24880.1</v>
      </c>
      <c r="M88" s="68">
        <v>24819.9</v>
      </c>
      <c r="N88" s="68">
        <v>20824.8</v>
      </c>
      <c r="O88" s="68">
        <v>24623</v>
      </c>
      <c r="P88" s="68">
        <v>23941.7</v>
      </c>
      <c r="Q88" s="68">
        <v>23201</v>
      </c>
      <c r="R88" s="68">
        <v>22415.4</v>
      </c>
      <c r="S88" s="68">
        <v>21943.5</v>
      </c>
      <c r="T88" s="68">
        <v>22906.6</v>
      </c>
      <c r="U88" s="68">
        <v>23571.7</v>
      </c>
      <c r="V88" s="68">
        <v>22086.400000000001</v>
      </c>
      <c r="W88" s="68">
        <v>21420.9</v>
      </c>
      <c r="X88" s="68">
        <v>20865.5</v>
      </c>
      <c r="Y88" s="68">
        <v>22756</v>
      </c>
      <c r="Z88" s="68">
        <v>20281.400000000001</v>
      </c>
      <c r="AA88" s="68">
        <v>22060.400000000001</v>
      </c>
      <c r="AB88" s="68">
        <v>21928.799999999999</v>
      </c>
      <c r="AC88" s="68">
        <v>22477.7</v>
      </c>
      <c r="AD88" s="68">
        <v>22477.7</v>
      </c>
      <c r="AE88" s="68">
        <v>22477.7</v>
      </c>
      <c r="AF88" s="68">
        <v>22477.7</v>
      </c>
      <c r="AG88" s="68">
        <v>22477.7</v>
      </c>
    </row>
    <row r="89" spans="2:33" outlineLevel="1" x14ac:dyDescent="0.3">
      <c r="B89" s="10" t="s">
        <v>197</v>
      </c>
      <c r="C89" s="10"/>
      <c r="D89" s="68">
        <v>28000</v>
      </c>
      <c r="E89" s="68">
        <v>27000</v>
      </c>
      <c r="F89" s="68">
        <v>26500</v>
      </c>
      <c r="G89" s="68">
        <v>26000</v>
      </c>
      <c r="H89" s="68">
        <v>26000</v>
      </c>
      <c r="I89" s="68">
        <v>26000</v>
      </c>
      <c r="J89" s="68">
        <v>27700</v>
      </c>
      <c r="K89" s="68">
        <v>30000</v>
      </c>
      <c r="L89" s="68">
        <v>32500</v>
      </c>
      <c r="M89" s="68">
        <v>35000</v>
      </c>
      <c r="N89" s="68">
        <v>37000</v>
      </c>
      <c r="O89" s="68">
        <v>39000</v>
      </c>
      <c r="P89" s="68">
        <v>40000</v>
      </c>
      <c r="Q89" s="68">
        <v>41000</v>
      </c>
      <c r="R89" s="68">
        <v>42000</v>
      </c>
      <c r="S89" s="68">
        <v>43000</v>
      </c>
      <c r="T89" s="68">
        <v>43000</v>
      </c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</row>
    <row r="90" spans="2:33" outlineLevel="1" x14ac:dyDescent="0.3">
      <c r="B90" s="10" t="s">
        <v>198</v>
      </c>
      <c r="C90" s="10"/>
      <c r="D90" s="68">
        <v>21600</v>
      </c>
      <c r="E90" s="68">
        <v>22000</v>
      </c>
      <c r="F90" s="68">
        <v>22400</v>
      </c>
      <c r="G90" s="68">
        <v>22800</v>
      </c>
      <c r="H90" s="68">
        <v>23300</v>
      </c>
      <c r="I90" s="68">
        <v>23700</v>
      </c>
      <c r="J90" s="68">
        <v>23700</v>
      </c>
      <c r="K90" s="68">
        <v>23700</v>
      </c>
      <c r="L90" s="68">
        <v>23700</v>
      </c>
      <c r="M90" s="68">
        <v>23700</v>
      </c>
      <c r="N90" s="68">
        <v>23700</v>
      </c>
      <c r="O90" s="68">
        <v>23800</v>
      </c>
      <c r="P90" s="68">
        <v>23900</v>
      </c>
      <c r="Q90" s="68">
        <v>24000</v>
      </c>
      <c r="R90" s="68">
        <v>24200</v>
      </c>
      <c r="S90" s="68">
        <v>24300</v>
      </c>
      <c r="T90" s="68">
        <v>24300</v>
      </c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</row>
    <row r="91" spans="2:33" ht="14.5" x14ac:dyDescent="0.35">
      <c r="B91" s="26" t="s">
        <v>26</v>
      </c>
      <c r="C91" s="10"/>
      <c r="D91" s="68"/>
      <c r="E91" s="135">
        <f t="shared" ref="E91:AG91" si="406">E87/D87-1</f>
        <v>-8.6532831026580936E-2</v>
      </c>
      <c r="F91" s="135">
        <f t="shared" si="406"/>
        <v>-5.099311377245519E-2</v>
      </c>
      <c r="G91" s="135">
        <f t="shared" si="406"/>
        <v>-0.12119411783449618</v>
      </c>
      <c r="H91" s="135">
        <f t="shared" si="406"/>
        <v>0.1294974639737787</v>
      </c>
      <c r="I91" s="135">
        <f t="shared" si="406"/>
        <v>0.12326314583009301</v>
      </c>
      <c r="J91" s="135">
        <f t="shared" si="406"/>
        <v>-7.1998792759501828E-2</v>
      </c>
      <c r="K91" s="135">
        <f t="shared" si="406"/>
        <v>2.3711523978913629E-2</v>
      </c>
      <c r="L91" s="135">
        <f t="shared" si="406"/>
        <v>-6.8609425946052349E-3</v>
      </c>
      <c r="M91" s="135">
        <f t="shared" si="406"/>
        <v>7.5561995329600506E-3</v>
      </c>
      <c r="N91" s="135">
        <f t="shared" si="406"/>
        <v>-0.15257321745857177</v>
      </c>
      <c r="O91" s="135">
        <f t="shared" si="406"/>
        <v>0.19421218931274264</v>
      </c>
      <c r="P91" s="135">
        <f t="shared" si="406"/>
        <v>-1.7945944848312467E-2</v>
      </c>
      <c r="Q91" s="135">
        <f t="shared" si="406"/>
        <v>-2.1247029241866611E-2</v>
      </c>
      <c r="R91" s="135">
        <f t="shared" si="406"/>
        <v>-2.4199215551053976E-2</v>
      </c>
      <c r="S91" s="135">
        <f t="shared" si="406"/>
        <v>-1.1263015605342597E-2</v>
      </c>
      <c r="T91" s="135">
        <f t="shared" si="406"/>
        <v>5.4328890104131E-2</v>
      </c>
      <c r="U91" s="135">
        <f t="shared" si="406"/>
        <v>-1</v>
      </c>
      <c r="V91" s="135" t="e">
        <f t="shared" si="406"/>
        <v>#DIV/0!</v>
      </c>
      <c r="W91" s="135" t="e">
        <f t="shared" si="406"/>
        <v>#DIV/0!</v>
      </c>
      <c r="X91" s="135" t="e">
        <f t="shared" si="406"/>
        <v>#DIV/0!</v>
      </c>
      <c r="Y91" s="135" t="e">
        <f t="shared" si="406"/>
        <v>#DIV/0!</v>
      </c>
      <c r="Z91" s="135" t="e">
        <f t="shared" si="406"/>
        <v>#DIV/0!</v>
      </c>
      <c r="AA91" s="135" t="e">
        <f t="shared" si="406"/>
        <v>#DIV/0!</v>
      </c>
      <c r="AB91" s="135" t="e">
        <f t="shared" si="406"/>
        <v>#DIV/0!</v>
      </c>
      <c r="AC91" s="135" t="e">
        <f t="shared" si="406"/>
        <v>#DIV/0!</v>
      </c>
      <c r="AD91" s="135" t="e">
        <f t="shared" si="406"/>
        <v>#DIV/0!</v>
      </c>
      <c r="AE91" s="135" t="e">
        <f t="shared" si="406"/>
        <v>#DIV/0!</v>
      </c>
      <c r="AF91" s="135" t="e">
        <f t="shared" si="406"/>
        <v>#DIV/0!</v>
      </c>
      <c r="AG91" s="135" t="e">
        <f t="shared" si="406"/>
        <v>#DIV/0!</v>
      </c>
    </row>
    <row r="92" spans="2:33" x14ac:dyDescent="0.3">
      <c r="B92" s="10"/>
      <c r="C92" s="10"/>
      <c r="D92" s="25"/>
    </row>
    <row r="93" spans="2:33" x14ac:dyDescent="0.3">
      <c r="B93" s="4" t="s">
        <v>28</v>
      </c>
      <c r="C93" s="4"/>
      <c r="D93" s="2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</row>
    <row r="94" spans="2:33" x14ac:dyDescent="0.3">
      <c r="B94" s="10"/>
      <c r="C94" s="10"/>
      <c r="D94" s="25"/>
    </row>
    <row r="95" spans="2:33" x14ac:dyDescent="0.3">
      <c r="B95" s="22" t="s">
        <v>29</v>
      </c>
      <c r="C95" s="22"/>
      <c r="D95" s="45">
        <f ca="1">SUM(D96:D97)</f>
        <v>571331.04492606432</v>
      </c>
      <c r="E95" s="45" t="e">
        <f t="shared" ref="E95:AG95" ca="1" si="407">SUM(E96:E97)</f>
        <v>#N/A</v>
      </c>
      <c r="F95" s="45" t="e">
        <f t="shared" ca="1" si="407"/>
        <v>#N/A</v>
      </c>
      <c r="G95" s="45" t="e">
        <f t="shared" ca="1" si="407"/>
        <v>#N/A</v>
      </c>
      <c r="H95" s="45" t="e">
        <f t="shared" ca="1" si="407"/>
        <v>#N/A</v>
      </c>
      <c r="I95" s="45" t="e">
        <f t="shared" ca="1" si="407"/>
        <v>#N/A</v>
      </c>
      <c r="J95" s="45" t="e">
        <f t="shared" ca="1" si="407"/>
        <v>#N/A</v>
      </c>
      <c r="K95" s="45" t="e">
        <f t="shared" ca="1" si="407"/>
        <v>#N/A</v>
      </c>
      <c r="L95" s="45" t="e">
        <f t="shared" ca="1" si="407"/>
        <v>#N/A</v>
      </c>
      <c r="M95" s="45" t="e">
        <f t="shared" ca="1" si="407"/>
        <v>#N/A</v>
      </c>
      <c r="N95" s="45" t="e">
        <f t="shared" ca="1" si="407"/>
        <v>#N/A</v>
      </c>
      <c r="O95" s="45" t="e">
        <f t="shared" ca="1" si="407"/>
        <v>#N/A</v>
      </c>
      <c r="P95" s="45" t="e">
        <f t="shared" ca="1" si="407"/>
        <v>#N/A</v>
      </c>
      <c r="Q95" s="45" t="e">
        <f t="shared" ca="1" si="407"/>
        <v>#N/A</v>
      </c>
      <c r="R95" s="45" t="e">
        <f t="shared" ca="1" si="407"/>
        <v>#N/A</v>
      </c>
      <c r="S95" s="45" t="e">
        <f t="shared" ca="1" si="407"/>
        <v>#N/A</v>
      </c>
      <c r="T95" s="45" t="e">
        <f t="shared" ca="1" si="407"/>
        <v>#N/A</v>
      </c>
      <c r="U95" s="45" t="e">
        <f t="shared" ca="1" si="407"/>
        <v>#N/A</v>
      </c>
      <c r="V95" s="45" t="e">
        <f t="shared" ca="1" si="407"/>
        <v>#N/A</v>
      </c>
      <c r="W95" s="45" t="e">
        <f t="shared" ca="1" si="407"/>
        <v>#N/A</v>
      </c>
      <c r="X95" s="45" t="e">
        <f t="shared" ca="1" si="407"/>
        <v>#N/A</v>
      </c>
      <c r="Y95" s="45" t="e">
        <f t="shared" ca="1" si="407"/>
        <v>#N/A</v>
      </c>
      <c r="Z95" s="45" t="e">
        <f t="shared" ca="1" si="407"/>
        <v>#N/A</v>
      </c>
      <c r="AA95" s="45" t="e">
        <f t="shared" ca="1" si="407"/>
        <v>#N/A</v>
      </c>
      <c r="AB95" s="45" t="e">
        <f t="shared" ca="1" si="407"/>
        <v>#N/A</v>
      </c>
      <c r="AC95" s="45" t="e">
        <f t="shared" ca="1" si="407"/>
        <v>#N/A</v>
      </c>
      <c r="AD95" s="45" t="e">
        <f t="shared" ca="1" si="407"/>
        <v>#N/A</v>
      </c>
      <c r="AE95" s="45" t="e">
        <f t="shared" ca="1" si="407"/>
        <v>#N/A</v>
      </c>
      <c r="AF95" s="45" t="e">
        <f t="shared" ca="1" si="407"/>
        <v>#N/A</v>
      </c>
      <c r="AG95" s="45" t="e">
        <f t="shared" ca="1" si="407"/>
        <v>#N/A</v>
      </c>
    </row>
    <row r="96" spans="2:33" x14ac:dyDescent="0.3">
      <c r="B96" s="10" t="s">
        <v>30</v>
      </c>
      <c r="C96" s="22"/>
      <c r="D96" s="68">
        <f ca="1">(D46+D57+D68-D51-D62-D73)*Hypothèses!$D$43</f>
        <v>-118110.06613327544</v>
      </c>
      <c r="E96" s="68" t="e">
        <f ca="1">(E46+E57+E68-E51-E62-E73)*Hypothèses!$D$43</f>
        <v>#N/A</v>
      </c>
      <c r="F96" s="68" t="e">
        <f ca="1">(F46+F57+F68-F51-F62-F73)*Hypothèses!$D$43</f>
        <v>#N/A</v>
      </c>
      <c r="G96" s="68" t="e">
        <f ca="1">(G46+G57+G68-G51-G62-G73)*Hypothèses!$D$43</f>
        <v>#N/A</v>
      </c>
      <c r="H96" s="68" t="e">
        <f ca="1">(H46+H57+H68-H51-H62-H73)*Hypothèses!$D$43</f>
        <v>#N/A</v>
      </c>
      <c r="I96" s="68" t="e">
        <f ca="1">(I46+I57+I68-I51-I62-I73)*Hypothèses!$D$43</f>
        <v>#N/A</v>
      </c>
      <c r="J96" s="68" t="e">
        <f ca="1">(J46+J57+J68-J51-J62-J73)*Hypothèses!$D$43</f>
        <v>#N/A</v>
      </c>
      <c r="K96" s="68" t="e">
        <f ca="1">(K46+K57+K68-K51-K62-K73)*Hypothèses!$D$43</f>
        <v>#N/A</v>
      </c>
      <c r="L96" s="68" t="e">
        <f ca="1">(L46+L57+L68-L51-L62-L73)*Hypothèses!$D$43</f>
        <v>#N/A</v>
      </c>
      <c r="M96" s="68" t="e">
        <f ca="1">(M46+M57+M68-M51-M62-M73)*Hypothèses!$D$43</f>
        <v>#N/A</v>
      </c>
      <c r="N96" s="68" t="e">
        <f ca="1">(N46+N57+N68-N51-N62-N73)*Hypothèses!$D$43</f>
        <v>#N/A</v>
      </c>
      <c r="O96" s="68" t="e">
        <f ca="1">(O46+O57+O68-O51-O62-O73)*Hypothèses!$D$43</f>
        <v>#N/A</v>
      </c>
      <c r="P96" s="68" t="e">
        <f ca="1">(P46+P57+P68-P51-P62-P73)*Hypothèses!$D$43</f>
        <v>#N/A</v>
      </c>
      <c r="Q96" s="68" t="e">
        <f ca="1">(Q46+Q57+Q68-Q51-Q62-Q73)*Hypothèses!$D$43</f>
        <v>#N/A</v>
      </c>
      <c r="R96" s="68" t="e">
        <f ca="1">(R46+R57+R68-R51-R62-R73)*Hypothèses!$D$43</f>
        <v>#N/A</v>
      </c>
      <c r="S96" s="68" t="e">
        <f ca="1">(S46+S57+S68-S51-S62-S73)*Hypothèses!$D$43</f>
        <v>#N/A</v>
      </c>
      <c r="T96" s="68" t="e">
        <f ca="1">(T46+T57+T68-T51-T62-T73)*Hypothèses!$D$43</f>
        <v>#N/A</v>
      </c>
      <c r="U96" s="68" t="e">
        <f ca="1">(U46+U57+U68-U51-U62-U73)*Hypothèses!$D$43</f>
        <v>#N/A</v>
      </c>
      <c r="V96" s="68" t="e">
        <f ca="1">(V46+V57+V68-V51-V62-V73)*Hypothèses!$D$43</f>
        <v>#N/A</v>
      </c>
      <c r="W96" s="68" t="e">
        <f ca="1">(W46+W57+W68-W51-W62-W73)*Hypothèses!$D$43</f>
        <v>#N/A</v>
      </c>
      <c r="X96" s="68" t="e">
        <f ca="1">(X46+X57+X68-X51-X62-X73)*Hypothèses!$D$43</f>
        <v>#N/A</v>
      </c>
      <c r="Y96" s="68" t="e">
        <f ca="1">(Y46+Y57+Y68-Y51-Y62-Y73)*Hypothèses!$D$43</f>
        <v>#N/A</v>
      </c>
      <c r="Z96" s="68" t="e">
        <f ca="1">(Z46+Z57+Z68-Z51-Z62-Z73)*Hypothèses!$D$43</f>
        <v>#N/A</v>
      </c>
      <c r="AA96" s="68" t="e">
        <f ca="1">(AA46+AA57+AA68-AA51-AA62-AA73)*Hypothèses!$D$43</f>
        <v>#N/A</v>
      </c>
      <c r="AB96" s="68" t="e">
        <f ca="1">(AB46+AB57+AB68-AB51-AB62-AB73)*Hypothèses!$D$43</f>
        <v>#N/A</v>
      </c>
      <c r="AC96" s="68" t="e">
        <f ca="1">(AC46+AC57+AC68-AC51-AC62-AC73)*Hypothèses!$D$43</f>
        <v>#N/A</v>
      </c>
      <c r="AD96" s="68" t="e">
        <f ca="1">(AD46+AD57+AD68-AD51-AD62-AD73)*Hypothèses!$D$43</f>
        <v>#N/A</v>
      </c>
      <c r="AE96" s="68" t="e">
        <f ca="1">(AE46+AE57+AE68-AE51-AE62-AE73)*Hypothèses!$D$43</f>
        <v>#N/A</v>
      </c>
      <c r="AF96" s="68" t="e">
        <f ca="1">(AF46+AF57+AF68-AF51-AF62-AF73)*Hypothèses!$D$43</f>
        <v>#N/A</v>
      </c>
      <c r="AG96" s="68" t="e">
        <f ca="1">(AG46+AG57+AG68-AG51-AG62-AG73)*Hypothèses!$D$43</f>
        <v>#N/A</v>
      </c>
    </row>
    <row r="97" spans="2:34" ht="14.5" customHeight="1" x14ac:dyDescent="0.3">
      <c r="B97" s="10" t="s">
        <v>31</v>
      </c>
      <c r="C97" s="22"/>
      <c r="D97" s="73">
        <f ca="1">D87+(D83+D79)*Hypothèses!$D$43</f>
        <v>689441.11105933972</v>
      </c>
      <c r="E97" s="73" t="e">
        <f ca="1">E87+(E83+E79)*Hypothèses!$D$43</f>
        <v>#N/A</v>
      </c>
      <c r="F97" s="73" t="e">
        <f ca="1">F87+(F83+F79)*Hypothèses!$D$43</f>
        <v>#N/A</v>
      </c>
      <c r="G97" s="73" t="e">
        <f ca="1">G87+(G83+G79)*Hypothèses!$D$43</f>
        <v>#N/A</v>
      </c>
      <c r="H97" s="73" t="e">
        <f ca="1">H87+(H83+H79)*Hypothèses!$D$43</f>
        <v>#N/A</v>
      </c>
      <c r="I97" s="73" t="e">
        <f ca="1">I87+(I83+I79)*Hypothèses!$D$43</f>
        <v>#N/A</v>
      </c>
      <c r="J97" s="73" t="e">
        <f ca="1">J87+(J83+J79)*Hypothèses!$D$43</f>
        <v>#N/A</v>
      </c>
      <c r="K97" s="73" t="e">
        <f ca="1">K87+(K83+K79)*Hypothèses!$D$43</f>
        <v>#N/A</v>
      </c>
      <c r="L97" s="73" t="e">
        <f ca="1">L87+(L83+L79)*Hypothèses!$D$43</f>
        <v>#N/A</v>
      </c>
      <c r="M97" s="73" t="e">
        <f ca="1">M87+(M83+M79)*Hypothèses!$D$43</f>
        <v>#N/A</v>
      </c>
      <c r="N97" s="73" t="e">
        <f ca="1">N87+(N83+N79)*Hypothèses!$D$43</f>
        <v>#N/A</v>
      </c>
      <c r="O97" s="73" t="e">
        <f ca="1">O87+(O83+O79)*Hypothèses!$D$43</f>
        <v>#N/A</v>
      </c>
      <c r="P97" s="73" t="e">
        <f ca="1">P87+(P83+P79)*Hypothèses!$D$43</f>
        <v>#N/A</v>
      </c>
      <c r="Q97" s="73" t="e">
        <f ca="1">Q87+(Q83+Q79)*Hypothèses!$D$43</f>
        <v>#N/A</v>
      </c>
      <c r="R97" s="73" t="e">
        <f ca="1">R87+(R83+R79)*Hypothèses!$D$43</f>
        <v>#N/A</v>
      </c>
      <c r="S97" s="73" t="e">
        <f ca="1">S87+(S83+S79)*Hypothèses!$D$43</f>
        <v>#N/A</v>
      </c>
      <c r="T97" s="73" t="e">
        <f ca="1">T87+(T83+T79)*Hypothèses!$D$43</f>
        <v>#N/A</v>
      </c>
      <c r="U97" s="73" t="e">
        <f ca="1">U87+(U83+U79)*Hypothèses!$D$43</f>
        <v>#N/A</v>
      </c>
      <c r="V97" s="73" t="e">
        <f ca="1">V87+(V83+V79)*Hypothèses!$D$43</f>
        <v>#N/A</v>
      </c>
      <c r="W97" s="73" t="e">
        <f ca="1">W87+(W83+W79)*Hypothèses!$D$43</f>
        <v>#N/A</v>
      </c>
      <c r="X97" s="73" t="e">
        <f ca="1">X87+(X83+X79)*Hypothèses!$D$43</f>
        <v>#N/A</v>
      </c>
      <c r="Y97" s="73" t="e">
        <f ca="1">Y87+(Y83+Y79)*Hypothèses!$D$43</f>
        <v>#N/A</v>
      </c>
      <c r="Z97" s="73" t="e">
        <f ca="1">Z87+(Z83+Z79)*Hypothèses!$D$43</f>
        <v>#N/A</v>
      </c>
      <c r="AA97" s="73" t="e">
        <f ca="1">AA87+(AA83+AA79)*Hypothèses!$D$43</f>
        <v>#N/A</v>
      </c>
      <c r="AB97" s="73" t="e">
        <f ca="1">AB87+(AB83+AB79)*Hypothèses!$D$43</f>
        <v>#N/A</v>
      </c>
      <c r="AC97" s="73" t="e">
        <f ca="1">AC87+(AC83+AC79)*Hypothèses!$D$43</f>
        <v>#N/A</v>
      </c>
      <c r="AD97" s="73" t="e">
        <f ca="1">AD87+(AD83+AD79)*Hypothèses!$D$43</f>
        <v>#N/A</v>
      </c>
      <c r="AE97" s="73" t="e">
        <f ca="1">AE87+(AE83+AE79)*Hypothèses!$D$43</f>
        <v>#N/A</v>
      </c>
      <c r="AF97" s="73" t="e">
        <f ca="1">AF87+(AF83+AF79)*Hypothèses!$D$43</f>
        <v>#N/A</v>
      </c>
      <c r="AG97" s="73" t="e">
        <f ca="1">AG87+(AG83+AG79)*Hypothèses!$D$43</f>
        <v>#N/A</v>
      </c>
    </row>
    <row r="98" spans="2:34" s="80" customFormat="1" ht="14.5" x14ac:dyDescent="0.35">
      <c r="B98" s="81"/>
      <c r="C98" s="82"/>
      <c r="D98" s="166"/>
      <c r="E98" s="166"/>
      <c r="F98" s="166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</row>
    <row r="99" spans="2:34" x14ac:dyDescent="0.3">
      <c r="B99" s="22" t="s">
        <v>32</v>
      </c>
      <c r="C99" s="22" t="e">
        <f ca="1">1 - (SUM(D99:T99)/SUM(D95:T95))</f>
        <v>#N/A</v>
      </c>
      <c r="D99" s="45">
        <f ca="1">SUM(D100:D106)</f>
        <v>177082.48283900763</v>
      </c>
      <c r="E99" s="45" t="e">
        <f t="shared" ref="E99:R99" ca="1" si="408">SUM(E100:E106)</f>
        <v>#N/A</v>
      </c>
      <c r="F99" s="45" t="e">
        <f t="shared" ca="1" si="408"/>
        <v>#N/A</v>
      </c>
      <c r="G99" s="45" t="e">
        <f t="shared" ca="1" si="408"/>
        <v>#N/A</v>
      </c>
      <c r="H99" s="45" t="e">
        <f t="shared" ca="1" si="408"/>
        <v>#N/A</v>
      </c>
      <c r="I99" s="45" t="e">
        <f t="shared" ca="1" si="408"/>
        <v>#N/A</v>
      </c>
      <c r="J99" s="45" t="e">
        <f t="shared" ca="1" si="408"/>
        <v>#N/A</v>
      </c>
      <c r="K99" s="45" t="e">
        <f t="shared" ca="1" si="408"/>
        <v>#N/A</v>
      </c>
      <c r="L99" s="45" t="e">
        <f t="shared" ca="1" si="408"/>
        <v>#N/A</v>
      </c>
      <c r="M99" s="45" t="e">
        <f t="shared" ca="1" si="408"/>
        <v>#N/A</v>
      </c>
      <c r="N99" s="45" t="e">
        <f t="shared" ca="1" si="408"/>
        <v>#N/A</v>
      </c>
      <c r="O99" s="45" t="e">
        <f t="shared" ca="1" si="408"/>
        <v>#N/A</v>
      </c>
      <c r="P99" s="45" t="e">
        <f t="shared" ca="1" si="408"/>
        <v>#N/A</v>
      </c>
      <c r="Q99" s="45" t="e">
        <f t="shared" ca="1" si="408"/>
        <v>#N/A</v>
      </c>
      <c r="R99" s="45" t="e">
        <f t="shared" ca="1" si="408"/>
        <v>#N/A</v>
      </c>
      <c r="S99" s="45" t="e">
        <f t="shared" ref="S99:AG99" ca="1" si="409">SUM(S100:S106) * S44 *1</f>
        <v>#N/A</v>
      </c>
      <c r="T99" s="45" t="e">
        <f t="shared" ca="1" si="409"/>
        <v>#N/A</v>
      </c>
      <c r="U99" s="45" t="e">
        <f t="shared" ca="1" si="409"/>
        <v>#N/A</v>
      </c>
      <c r="V99" s="45" t="e">
        <f t="shared" ca="1" si="409"/>
        <v>#N/A</v>
      </c>
      <c r="W99" s="45" t="e">
        <f t="shared" ca="1" si="409"/>
        <v>#N/A</v>
      </c>
      <c r="X99" s="45" t="e">
        <f t="shared" ca="1" si="409"/>
        <v>#N/A</v>
      </c>
      <c r="Y99" s="45" t="e">
        <f t="shared" ca="1" si="409"/>
        <v>#N/A</v>
      </c>
      <c r="Z99" s="45" t="e">
        <f t="shared" ca="1" si="409"/>
        <v>#N/A</v>
      </c>
      <c r="AA99" s="45" t="e">
        <f t="shared" ca="1" si="409"/>
        <v>#N/A</v>
      </c>
      <c r="AB99" s="45" t="e">
        <f t="shared" ca="1" si="409"/>
        <v>#N/A</v>
      </c>
      <c r="AC99" s="45" t="e">
        <f t="shared" ca="1" si="409"/>
        <v>#N/A</v>
      </c>
      <c r="AD99" s="45" t="e">
        <f t="shared" ca="1" si="409"/>
        <v>#N/A</v>
      </c>
      <c r="AE99" s="45" t="e">
        <f t="shared" ca="1" si="409"/>
        <v>#N/A</v>
      </c>
      <c r="AF99" s="45" t="e">
        <f t="shared" ca="1" si="409"/>
        <v>#N/A</v>
      </c>
      <c r="AG99" s="45" t="e">
        <f t="shared" ca="1" si="409"/>
        <v>#N/A</v>
      </c>
    </row>
    <row r="100" spans="2:34" ht="16" customHeight="1" x14ac:dyDescent="0.3">
      <c r="B100" s="10" t="s">
        <v>33</v>
      </c>
      <c r="C100" s="10"/>
      <c r="D100" s="73">
        <f>IF(D43&lt;=$C$36,(Hypothèses!$D$27*Hypothèses!$D$25)*(1+$C$37)^C43,0)</f>
        <v>38977.777777777788</v>
      </c>
      <c r="E100" s="73">
        <f>IF(E43&lt;=$C$36,(Hypothèses!$D$27*Hypothèses!$D$25)*(1+$C$37)^D43,0)</f>
        <v>39367.555555555569</v>
      </c>
      <c r="F100" s="73">
        <f>IF(F43&lt;=$C$36,(Hypothèses!$D$27*Hypothèses!$D$25)*(1+$C$37)^E43,0)</f>
        <v>39761.231111111119</v>
      </c>
      <c r="G100" s="73">
        <f>IF(G43&lt;=$C$36,(Hypothèses!$D$27*Hypothèses!$D$25)*(1+$C$37)^F43,0)</f>
        <v>40158.843422222228</v>
      </c>
      <c r="H100" s="73">
        <f>IF(H43&lt;=$C$36,(Hypothèses!$D$27*Hypothèses!$D$25)*(1+$C$37)^G43,0)</f>
        <v>40560.431856444455</v>
      </c>
      <c r="I100" s="73">
        <f>IF(I43&lt;=$C$36,(Hypothèses!$D$27*Hypothèses!$D$25)*(1+$C$37)^H43,0)</f>
        <v>40966.0361750089</v>
      </c>
      <c r="J100" s="73">
        <f>IF(J43&lt;=$C$36,(Hypothèses!$D$27*Hypothèses!$D$25)*(1+$C$37)^I43,0)</f>
        <v>41375.696536758995</v>
      </c>
      <c r="K100" s="73">
        <f>IF(K43&lt;=$C$36,(Hypothèses!$D$27*Hypothèses!$D$25)*(1+$C$37)^J43,0)</f>
        <v>41789.453502126569</v>
      </c>
      <c r="L100" s="73">
        <f>IF(L43&lt;=$C$36,(Hypothèses!$D$27*Hypothèses!$D$25)*(1+$C$37)^K43,0)</f>
        <v>42207.348037147851</v>
      </c>
      <c r="M100" s="73">
        <f>IF(M43&lt;=$C$36,(Hypothèses!$D$27*Hypothèses!$D$25)*(1+$C$37)^L43,0)</f>
        <v>42629.421517519331</v>
      </c>
      <c r="N100" s="73">
        <f>IF(N43&lt;=$C$36,(Hypothèses!$D$27*Hypothèses!$D$25)*(1+$C$37)^M43,0)</f>
        <v>43055.715732694523</v>
      </c>
      <c r="O100" s="73">
        <f>IF(O43&lt;=$C$36,(Hypothèses!$D$27*Hypothèses!$D$25)*(1+$C$37)^N43,0)</f>
        <v>43486.272890021464</v>
      </c>
      <c r="P100" s="73">
        <f>IF(P43&lt;=$C$36,(Hypothèses!$D$27*Hypothèses!$D$25)*(1+$C$37)^O43,0)</f>
        <v>43921.135618921675</v>
      </c>
      <c r="Q100" s="73">
        <f>IF(Q43&lt;=$C$36,(Hypothèses!$D$27*Hypothèses!$D$25)*(1+$C$37)^P43,0)</f>
        <v>44360.346975110893</v>
      </c>
      <c r="R100" s="73">
        <f>IF(R43&lt;=$C$36,(Hypothèses!$D$27*Hypothèses!$D$25)*(1+$C$37)^Q43,0)</f>
        <v>44803.950444862014</v>
      </c>
      <c r="S100" s="73">
        <f>IF(S43&lt;=$C$36,(Hypothèses!$D$27*Hypothèses!$D$25)*(1+$C$37)^R43,0)</f>
        <v>45251.98994931062</v>
      </c>
      <c r="T100" s="73">
        <f>IF(T43&lt;=$C$36,(Hypothèses!$D$27*Hypothèses!$D$25)*(1+$C$37)^S43,0)</f>
        <v>45704.50984880374</v>
      </c>
      <c r="U100" s="73">
        <f>IF(U43&lt;=$C$36,(Hypothèses!$D$27*Hypothèses!$D$25)*(1+$C$37)^T43,0)</f>
        <v>0</v>
      </c>
      <c r="V100" s="73">
        <f>IF(V43&lt;=$C$36,(Hypothèses!$D$27*Hypothèses!$D$25)*(1+$C$37)^U43,0)</f>
        <v>0</v>
      </c>
      <c r="W100" s="73">
        <f>IF(W43&lt;=$C$36,(Hypothèses!$D$27*Hypothèses!$D$25)*(1+$C$37)^V43,0)</f>
        <v>0</v>
      </c>
      <c r="X100" s="73">
        <f>IF(X43&lt;=$C$36,(Hypothèses!$D$27*Hypothèses!$D$25)*(1+$C$37)^W43,0)</f>
        <v>0</v>
      </c>
      <c r="Y100" s="73">
        <f>IF(Y43&lt;=$C$36,(Hypothèses!$D$27*Hypothèses!$D$25)*(1+$C$37)^X43,0)</f>
        <v>0</v>
      </c>
      <c r="Z100" s="73">
        <f>IF(Z43&lt;=$C$36,(Hypothèses!$D$27*Hypothèses!$D$25)*(1+$C$37)^Y43,0)</f>
        <v>0</v>
      </c>
      <c r="AA100" s="73">
        <f>IF(AA43&lt;=$C$36,(Hypothèses!$D$27*Hypothèses!$D$25)*(1+$C$37)^Z43,0)</f>
        <v>0</v>
      </c>
      <c r="AB100" s="73">
        <f>IF(AB43&lt;=$C$36,(Hypothèses!$D$27*Hypothèses!$D$25)*(1+$C$37)^AA43,0)</f>
        <v>0</v>
      </c>
      <c r="AC100" s="73">
        <f>IF(AC43&lt;=$C$36,(Hypothèses!$D$27*Hypothèses!$D$25)*(1+$C$37)^AB43,0)</f>
        <v>0</v>
      </c>
      <c r="AD100" s="73">
        <f>IF(AD43&lt;=$C$36,(Hypothèses!$D$27*Hypothèses!$D$25)*(1+$C$37)^AC43,0)</f>
        <v>0</v>
      </c>
      <c r="AE100" s="73">
        <f>IF(AE43&lt;=$C$36,(Hypothèses!$D$27*Hypothèses!$D$25)*(1+$C$37)^AD43,0)</f>
        <v>0</v>
      </c>
      <c r="AF100" s="73">
        <f>IF(AF43&lt;=$C$36,(Hypothèses!$D$27*Hypothèses!$D$25)*(1+$C$37)^AE43,0)</f>
        <v>0</v>
      </c>
      <c r="AG100" s="73">
        <f>IF(AG43&lt;=$C$36,(Hypothèses!$D$27*Hypothèses!$D$25)*(1+$C$37)^AF43,0)</f>
        <v>0</v>
      </c>
    </row>
    <row r="101" spans="2:34" x14ac:dyDescent="0.3">
      <c r="B101" s="10" t="s">
        <v>34</v>
      </c>
      <c r="C101" s="10"/>
      <c r="D101" s="73">
        <f>IF(D43&lt;=$C$36,Hypothèses!$D$37*(1+$C$37)^C43,0)</f>
        <v>0</v>
      </c>
      <c r="E101" s="73">
        <f>IF(E43&lt;=$C$36,Hypothèses!$D$37*(1+$C$37)^D43,0)</f>
        <v>0</v>
      </c>
      <c r="F101" s="73">
        <f>IF(F43&lt;=$C$36,Hypothèses!$D$37*(1+$C$37)^E43,0)</f>
        <v>0</v>
      </c>
      <c r="G101" s="73">
        <f>IF(G43&lt;=$C$36,Hypothèses!$D$37*(1+$C$37)^F43,0)</f>
        <v>0</v>
      </c>
      <c r="H101" s="73">
        <f>IF(H43&lt;=$C$36,Hypothèses!$D$37*(1+$C$37)^G43,0)</f>
        <v>0</v>
      </c>
      <c r="I101" s="73">
        <f>IF(I43&lt;=$C$36,Hypothèses!$D$37*(1+$C$37)^H43,0)</f>
        <v>0</v>
      </c>
      <c r="J101" s="73">
        <f>IF(J43&lt;=$C$36,Hypothèses!$D$37*(1+$C$37)^I43,0)</f>
        <v>0</v>
      </c>
      <c r="K101" s="73">
        <f>IF(K43&lt;=$C$36,Hypothèses!$D$37*(1+$C$37)^J43,0)</f>
        <v>0</v>
      </c>
      <c r="L101" s="73">
        <f>IF(L43&lt;=$C$36,Hypothèses!$D$37*(1+$C$37)^K43,0)</f>
        <v>0</v>
      </c>
      <c r="M101" s="73">
        <f>IF(M43&lt;=$C$36,Hypothèses!$D$37*(1+$C$37)^L43,0)</f>
        <v>0</v>
      </c>
      <c r="N101" s="73">
        <f>IF(N43&lt;=$C$36,Hypothèses!$D$37*(1+$C$37)^M43,0)</f>
        <v>0</v>
      </c>
      <c r="O101" s="73">
        <f>IF(O43&lt;=$C$36,Hypothèses!$D$37*(1+$C$37)^N43,0)</f>
        <v>0</v>
      </c>
      <c r="P101" s="73">
        <f>IF(P43&lt;=$C$36,Hypothèses!$D$37*(1+$C$37)^O43,0)</f>
        <v>0</v>
      </c>
      <c r="Q101" s="73">
        <f>IF(Q43&lt;=$C$36,Hypothèses!$D$37*(1+$C$37)^P43,0)</f>
        <v>0</v>
      </c>
      <c r="R101" s="73">
        <f>IF(R43&lt;=$C$36,Hypothèses!$D$37*(1+$C$37)^Q43,0)</f>
        <v>0</v>
      </c>
      <c r="S101" s="73">
        <f>IF(S43&lt;=$C$36,Hypothèses!$D$37*(1+$C$37)^R43,0)</f>
        <v>0</v>
      </c>
      <c r="T101" s="73">
        <f>IF(T43&lt;=$C$36,Hypothèses!$D$37*(1+$C$37)^S43,0)</f>
        <v>0</v>
      </c>
      <c r="U101" s="73">
        <f>IF(U43&lt;=$C$36,Hypothèses!$D$37*(1+$C$37)^T43,0)</f>
        <v>0</v>
      </c>
      <c r="V101" s="73">
        <f>IF(V43&lt;=$C$36,Hypothèses!$D$37*(1+$C$37)^U43,0)</f>
        <v>0</v>
      </c>
      <c r="W101" s="73">
        <f>IF(W43&lt;=$C$36,Hypothèses!$D$37*(1+$C$37)^V43,0)</f>
        <v>0</v>
      </c>
      <c r="X101" s="73">
        <f>IF(X43&lt;=$C$36,Hypothèses!$D$37*(1+$C$37)^W43,0)</f>
        <v>0</v>
      </c>
      <c r="Y101" s="73">
        <f>IF(Y43&lt;=$C$36,Hypothèses!$D$37*(1+$C$37)^X43,0)</f>
        <v>0</v>
      </c>
      <c r="Z101" s="73">
        <f>IF(Z43&lt;=$C$36,Hypothèses!$D$37*(1+$C$37)^Y43,0)</f>
        <v>0</v>
      </c>
      <c r="AA101" s="73">
        <f>IF(AA43&lt;=$C$36,Hypothèses!$D$37*(1+$C$37)^Z43,0)</f>
        <v>0</v>
      </c>
      <c r="AB101" s="73">
        <f>IF(AB43&lt;=$C$36,Hypothèses!$D$37*(1+$C$37)^AA43,0)</f>
        <v>0</v>
      </c>
      <c r="AC101" s="73">
        <f>IF(AC43&lt;=$C$36,Hypothèses!$D$37*(1+$C$37)^AB43,0)</f>
        <v>0</v>
      </c>
      <c r="AD101" s="73">
        <f>IF(AD43&lt;=$C$36,Hypothèses!$D$37*(1+$C$37)^AC43,0)</f>
        <v>0</v>
      </c>
      <c r="AE101" s="73">
        <f>IF(AE43&lt;=$C$36,Hypothèses!$D$37*(1+$C$37)^AD43,0)</f>
        <v>0</v>
      </c>
      <c r="AF101" s="73">
        <f>IF(AF43&lt;=$C$36,Hypothèses!$D$37*(1+$C$37)^AE43,0)</f>
        <v>0</v>
      </c>
      <c r="AG101" s="73">
        <f>IF(AG43&lt;=$C$36,Hypothèses!$D$37*(1+$C$37)^AF43,0)</f>
        <v>0</v>
      </c>
    </row>
    <row r="102" spans="2:34" x14ac:dyDescent="0.3">
      <c r="B102" s="10" t="s">
        <v>35</v>
      </c>
      <c r="C102" s="10"/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0</v>
      </c>
      <c r="R102" s="73">
        <v>0</v>
      </c>
      <c r="S102" s="73">
        <v>0</v>
      </c>
      <c r="T102" s="73">
        <v>0</v>
      </c>
      <c r="U102" s="73">
        <v>0</v>
      </c>
      <c r="V102" s="73">
        <v>0</v>
      </c>
      <c r="W102" s="73">
        <v>0</v>
      </c>
      <c r="X102" s="73">
        <v>0</v>
      </c>
      <c r="Y102" s="73">
        <v>0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</row>
    <row r="103" spans="2:34" x14ac:dyDescent="0.3">
      <c r="B103" s="23" t="s">
        <v>193</v>
      </c>
      <c r="C103" s="10"/>
      <c r="D103" s="73">
        <f ca="1">Hypothèses!$D$38*BP!D95</f>
        <v>28566.552246303218</v>
      </c>
      <c r="E103" s="73" t="e">
        <f ca="1">Hypothèses!$D$38*BP!E95</f>
        <v>#N/A</v>
      </c>
      <c r="F103" s="73" t="e">
        <f ca="1">Hypothèses!$D$38*BP!F95</f>
        <v>#N/A</v>
      </c>
      <c r="G103" s="73" t="e">
        <f ca="1">Hypothèses!$D$38*BP!G95</f>
        <v>#N/A</v>
      </c>
      <c r="H103" s="73" t="e">
        <f ca="1">Hypothèses!$D$38*BP!H95</f>
        <v>#N/A</v>
      </c>
      <c r="I103" s="73" t="e">
        <f ca="1">Hypothèses!$D$38*BP!I95</f>
        <v>#N/A</v>
      </c>
      <c r="J103" s="73" t="e">
        <f ca="1">Hypothèses!$D$38*BP!J95</f>
        <v>#N/A</v>
      </c>
      <c r="K103" s="73" t="e">
        <f ca="1">Hypothèses!$D$38*BP!K95</f>
        <v>#N/A</v>
      </c>
      <c r="L103" s="73" t="e">
        <f ca="1">Hypothèses!$D$38*BP!L95</f>
        <v>#N/A</v>
      </c>
      <c r="M103" s="73" t="e">
        <f ca="1">Hypothèses!$D$38*BP!M95</f>
        <v>#N/A</v>
      </c>
      <c r="N103" s="73" t="e">
        <f ca="1">Hypothèses!$D$38*BP!N95</f>
        <v>#N/A</v>
      </c>
      <c r="O103" s="73" t="e">
        <f ca="1">Hypothèses!$D$38*BP!O95</f>
        <v>#N/A</v>
      </c>
      <c r="P103" s="73" t="e">
        <f ca="1">Hypothèses!$D$38*BP!P95</f>
        <v>#N/A</v>
      </c>
      <c r="Q103" s="73" t="e">
        <f ca="1">Hypothèses!$D$38*BP!Q95</f>
        <v>#N/A</v>
      </c>
      <c r="R103" s="73" t="e">
        <f ca="1">Hypothèses!$D$38*BP!R95</f>
        <v>#N/A</v>
      </c>
      <c r="S103" s="73" t="e">
        <f ca="1">Hypothèses!$D$38*BP!S95</f>
        <v>#N/A</v>
      </c>
      <c r="T103" s="73" t="e">
        <f ca="1">Hypothèses!$D$38*BP!T95</f>
        <v>#N/A</v>
      </c>
      <c r="U103" s="73" t="e">
        <f ca="1">Hypothèses!$D$38*BP!U95</f>
        <v>#N/A</v>
      </c>
      <c r="V103" s="73" t="e">
        <f ca="1">Hypothèses!$D$38*BP!V95</f>
        <v>#N/A</v>
      </c>
      <c r="W103" s="73" t="e">
        <f ca="1">Hypothèses!$D$38*BP!W95</f>
        <v>#N/A</v>
      </c>
      <c r="X103" s="73" t="e">
        <f ca="1">Hypothèses!$D$38*BP!X95</f>
        <v>#N/A</v>
      </c>
      <c r="Y103" s="73" t="e">
        <f ca="1">Hypothèses!$D$38*BP!Y95</f>
        <v>#N/A</v>
      </c>
      <c r="Z103" s="73" t="e">
        <f ca="1">Hypothèses!$D$38*BP!Z95</f>
        <v>#N/A</v>
      </c>
      <c r="AA103" s="73" t="e">
        <f ca="1">Hypothèses!$D$38*BP!AA95</f>
        <v>#N/A</v>
      </c>
      <c r="AB103" s="73" t="e">
        <f ca="1">Hypothèses!$D$38*BP!AB95</f>
        <v>#N/A</v>
      </c>
      <c r="AC103" s="73" t="e">
        <f ca="1">Hypothèses!$D$38*BP!AC95</f>
        <v>#N/A</v>
      </c>
      <c r="AD103" s="73" t="e">
        <f ca="1">Hypothèses!$D$38*BP!AD95</f>
        <v>#N/A</v>
      </c>
      <c r="AE103" s="73" t="e">
        <f ca="1">Hypothèses!$D$38*BP!AE95</f>
        <v>#N/A</v>
      </c>
      <c r="AF103" s="73" t="e">
        <f ca="1">Hypothèses!$D$38*BP!AF95</f>
        <v>#N/A</v>
      </c>
      <c r="AG103" s="73" t="e">
        <f ca="1">Hypothèses!$D$38*BP!AG95</f>
        <v>#N/A</v>
      </c>
    </row>
    <row r="104" spans="2:34" x14ac:dyDescent="0.3">
      <c r="B104" s="10" t="s">
        <v>36</v>
      </c>
      <c r="C104" s="10"/>
      <c r="D104" s="73">
        <f>Hypothèses!$D$36*(1+$C$37)^C43</f>
        <v>0</v>
      </c>
      <c r="E104" s="73">
        <f>Hypothèses!$D$36*(1+$C$37)^D43</f>
        <v>0</v>
      </c>
      <c r="F104" s="73">
        <f>Hypothèses!$D$36*(1+$C$37)^E43</f>
        <v>0</v>
      </c>
      <c r="G104" s="73">
        <f>Hypothèses!$D$36*(1+$C$37)^F43</f>
        <v>0</v>
      </c>
      <c r="H104" s="73">
        <f>Hypothèses!$D$36*(1+$C$37)^G43</f>
        <v>0</v>
      </c>
      <c r="I104" s="73">
        <f>Hypothèses!$D$36*(1+$C$37)^H43</f>
        <v>0</v>
      </c>
      <c r="J104" s="73">
        <f>Hypothèses!$D$36*(1+$C$37)^I43</f>
        <v>0</v>
      </c>
      <c r="K104" s="73">
        <f>Hypothèses!$D$36*(1+$C$37)^J43</f>
        <v>0</v>
      </c>
      <c r="L104" s="73">
        <f>Hypothèses!$D$36*(1+$C$37)^K43</f>
        <v>0</v>
      </c>
      <c r="M104" s="73">
        <f>Hypothèses!$D$36*(1+$C$37)^L43</f>
        <v>0</v>
      </c>
      <c r="N104" s="73">
        <f>Hypothèses!$D$36*(1+$C$37)^M43</f>
        <v>0</v>
      </c>
      <c r="O104" s="73">
        <f>Hypothèses!$D$36*(1+$C$37)^N43</f>
        <v>0</v>
      </c>
      <c r="P104" s="73">
        <f>Hypothèses!$D$36*(1+$C$37)^O43</f>
        <v>0</v>
      </c>
      <c r="Q104" s="73">
        <f>Hypothèses!$D$36*(1+$C$37)^P43</f>
        <v>0</v>
      </c>
      <c r="R104" s="73">
        <f>Hypothèses!$D$36*(1+$C$37)^Q43</f>
        <v>0</v>
      </c>
      <c r="S104" s="73">
        <f>Hypothèses!$D$36*(1+$C$37)^R43</f>
        <v>0</v>
      </c>
      <c r="T104" s="73">
        <f>Hypothèses!$D$36*(1+$C$37)^S43</f>
        <v>0</v>
      </c>
      <c r="U104" s="73">
        <f>Hypothèses!$D$36*(1+$C$37)^T43</f>
        <v>0</v>
      </c>
      <c r="V104" s="73">
        <f>Hypothèses!$D$36*(1+$C$37)^U43</f>
        <v>0</v>
      </c>
      <c r="W104" s="73">
        <f>Hypothèses!$D$36*(1+$C$37)^V43</f>
        <v>0</v>
      </c>
      <c r="X104" s="73">
        <f>Hypothèses!$D$36*(1+$C$37)^W43</f>
        <v>0</v>
      </c>
      <c r="Y104" s="73">
        <f>Hypothèses!$D$36*(1+$C$37)^X43</f>
        <v>0</v>
      </c>
      <c r="Z104" s="73">
        <f>Hypothèses!$D$36*(1+$C$37)^Y43</f>
        <v>0</v>
      </c>
      <c r="AA104" s="73">
        <f>Hypothèses!$D$36*(1+$C$37)^Z43</f>
        <v>0</v>
      </c>
      <c r="AB104" s="73">
        <f>Hypothèses!$D$36*(1+$C$37)^AA43</f>
        <v>0</v>
      </c>
      <c r="AC104" s="73">
        <f>Hypothèses!$D$36*(1+$C$37)^AB43</f>
        <v>0</v>
      </c>
      <c r="AD104" s="73">
        <f>Hypothèses!$D$36*(1+$C$37)^AC43</f>
        <v>0</v>
      </c>
      <c r="AE104" s="73">
        <f>Hypothèses!$D$36*(1+$C$37)^AD43</f>
        <v>0</v>
      </c>
      <c r="AF104" s="73">
        <f>Hypothèses!$D$36*(1+$C$37)^AE43</f>
        <v>0</v>
      </c>
      <c r="AG104" s="73">
        <f>Hypothèses!$D$36*(1+$C$37)^AF43</f>
        <v>0</v>
      </c>
    </row>
    <row r="105" spans="2:34" x14ac:dyDescent="0.3">
      <c r="B105" s="10" t="s">
        <v>194</v>
      </c>
      <c r="C105" s="10"/>
      <c r="D105" s="73">
        <v>19500</v>
      </c>
      <c r="E105" s="73">
        <f>D105*(1-0.5%)</f>
        <v>19402.5</v>
      </c>
      <c r="F105" s="73">
        <f t="shared" ref="F105:T105" si="410">E105*(1-0.5%)</f>
        <v>19305.487499999999</v>
      </c>
      <c r="G105" s="73">
        <f t="shared" si="410"/>
        <v>19208.960062499998</v>
      </c>
      <c r="H105" s="73">
        <f t="shared" si="410"/>
        <v>19112.9152621875</v>
      </c>
      <c r="I105" s="73">
        <f t="shared" si="410"/>
        <v>19017.350685876561</v>
      </c>
      <c r="J105" s="73">
        <f t="shared" si="410"/>
        <v>18922.263932447178</v>
      </c>
      <c r="K105" s="73">
        <f t="shared" si="410"/>
        <v>18827.652612784943</v>
      </c>
      <c r="L105" s="73">
        <f t="shared" si="410"/>
        <v>18733.514349721019</v>
      </c>
      <c r="M105" s="73">
        <f t="shared" si="410"/>
        <v>18639.846777972412</v>
      </c>
      <c r="N105" s="73">
        <f t="shared" si="410"/>
        <v>18546.647544082549</v>
      </c>
      <c r="O105" s="73">
        <f t="shared" si="410"/>
        <v>18453.914306362138</v>
      </c>
      <c r="P105" s="73">
        <f t="shared" si="410"/>
        <v>18361.644734830326</v>
      </c>
      <c r="Q105" s="73">
        <f t="shared" si="410"/>
        <v>18269.836511156176</v>
      </c>
      <c r="R105" s="73">
        <f t="shared" si="410"/>
        <v>18178.487328600397</v>
      </c>
      <c r="S105" s="73">
        <f t="shared" si="410"/>
        <v>18087.594891957393</v>
      </c>
      <c r="T105" s="73">
        <f t="shared" si="410"/>
        <v>17997.156917497607</v>
      </c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</row>
    <row r="106" spans="2:34" x14ac:dyDescent="0.3">
      <c r="B106" s="10" t="s">
        <v>195</v>
      </c>
      <c r="C106" s="10"/>
      <c r="D106" s="73">
        <f ca="1">VLOOKUP("networkturpe_energy_cost"&amp;"S1"&amp;D$39&amp;Hypothèses!$D$17&amp;Hypothèses!$D$18,INDIRECT("'"&amp;Hypothèses!$D$42&amp;"'!$A:$I"),6,FALSE) + VLOOKUP("networkturpe_power_cost"&amp;"S1"&amp;D$39&amp;Hypothèses!$D$17&amp;Hypothèses!$D$18,INDIRECT("'"&amp;Hypothèses!$D$42&amp;"'!$A:$I"),6,FALSE)</f>
        <v>90038.152814926623</v>
      </c>
      <c r="E106" s="73" t="e">
        <f ca="1">VLOOKUP("networkturpe_energy_cost"&amp;"S1"&amp;E$39&amp;Hypothèses!$D$17&amp;Hypothèses!$D$18,INDIRECT("'"&amp;Hypothèses!$D$42&amp;"'!$A:$I"),6,FALSE) + VLOOKUP("networkturpe_power_cost"&amp;"S1"&amp;E$39&amp;Hypothèses!$D$17&amp;Hypothèses!$D$18,INDIRECT("'"&amp;Hypothèses!$D$42&amp;"'!$A:$I"),6,FALSE)</f>
        <v>#N/A</v>
      </c>
      <c r="F106" s="73" t="e">
        <f ca="1">VLOOKUP("networkturpe_energy_cost"&amp;"S1"&amp;F$39&amp;Hypothèses!$D$17&amp;Hypothèses!$D$18,INDIRECT("'"&amp;Hypothèses!$D$42&amp;"'!$A:$I"),6,FALSE) + VLOOKUP("networkturpe_power_cost"&amp;"S1"&amp;F$39&amp;Hypothèses!$D$17&amp;Hypothèses!$D$18,INDIRECT("'"&amp;Hypothèses!$D$42&amp;"'!$A:$I"),6,FALSE)</f>
        <v>#N/A</v>
      </c>
      <c r="G106" s="73" t="e">
        <f ca="1">VLOOKUP("networkturpe_energy_cost"&amp;"S1"&amp;G$39&amp;Hypothèses!$D$17&amp;Hypothèses!$D$18,INDIRECT("'"&amp;Hypothèses!$D$42&amp;"'!$A:$I"),6,FALSE) + VLOOKUP("networkturpe_power_cost"&amp;"S1"&amp;G$39&amp;Hypothèses!$D$17&amp;Hypothèses!$D$18,INDIRECT("'"&amp;Hypothèses!$D$42&amp;"'!$A:$I"),6,FALSE)</f>
        <v>#N/A</v>
      </c>
      <c r="H106" s="73" t="e">
        <f ca="1">VLOOKUP("networkturpe_energy_cost"&amp;"S1"&amp;H$39&amp;Hypothèses!$D$17&amp;Hypothèses!$D$18,INDIRECT("'"&amp;Hypothèses!$D$42&amp;"'!$A:$I"),6,FALSE) + VLOOKUP("networkturpe_power_cost"&amp;"S1"&amp;H$39&amp;Hypothèses!$D$17&amp;Hypothèses!$D$18,INDIRECT("'"&amp;Hypothèses!$D$42&amp;"'!$A:$I"),6,FALSE)</f>
        <v>#N/A</v>
      </c>
      <c r="I106" s="73" t="e">
        <f ca="1">VLOOKUP("networkturpe_energy_cost"&amp;"S1"&amp;I$39&amp;Hypothèses!$D$17&amp;Hypothèses!$D$18,INDIRECT("'"&amp;Hypothèses!$D$42&amp;"'!$A:$I"),6,FALSE) + VLOOKUP("networkturpe_power_cost"&amp;"S1"&amp;I$39&amp;Hypothèses!$D$17&amp;Hypothèses!$D$18,INDIRECT("'"&amp;Hypothèses!$D$42&amp;"'!$A:$I"),6,FALSE)</f>
        <v>#N/A</v>
      </c>
      <c r="J106" s="73" t="e">
        <f ca="1">VLOOKUP("networkturpe_energy_cost"&amp;"S1"&amp;J$39&amp;Hypothèses!$D$17&amp;Hypothèses!$D$18,INDIRECT("'"&amp;Hypothèses!$D$42&amp;"'!$A:$I"),6,FALSE) + VLOOKUP("networkturpe_power_cost"&amp;"S1"&amp;J$39&amp;Hypothèses!$D$17&amp;Hypothèses!$D$18,INDIRECT("'"&amp;Hypothèses!$D$42&amp;"'!$A:$I"),6,FALSE)</f>
        <v>#N/A</v>
      </c>
      <c r="K106" s="73" t="e">
        <f ca="1">VLOOKUP("networkturpe_energy_cost"&amp;"S1"&amp;K$39&amp;Hypothèses!$D$17&amp;Hypothèses!$D$18,INDIRECT("'"&amp;Hypothèses!$D$42&amp;"'!$A:$I"),6,FALSE) + VLOOKUP("networkturpe_power_cost"&amp;"S1"&amp;K$39&amp;Hypothèses!$D$17&amp;Hypothèses!$D$18,INDIRECT("'"&amp;Hypothèses!$D$42&amp;"'!$A:$I"),6,FALSE)</f>
        <v>#N/A</v>
      </c>
      <c r="L106" s="73" t="e">
        <f ca="1">VLOOKUP("networkturpe_energy_cost"&amp;"S1"&amp;L$39&amp;Hypothèses!$D$17&amp;Hypothèses!$D$18,INDIRECT("'"&amp;Hypothèses!$D$42&amp;"'!$A:$I"),6,FALSE) + VLOOKUP("networkturpe_power_cost"&amp;"S1"&amp;L$39&amp;Hypothèses!$D$17&amp;Hypothèses!$D$18,INDIRECT("'"&amp;Hypothèses!$D$42&amp;"'!$A:$I"),6,FALSE)</f>
        <v>#N/A</v>
      </c>
      <c r="M106" s="73" t="e">
        <f ca="1">VLOOKUP("networkturpe_energy_cost"&amp;"S1"&amp;M$39&amp;Hypothèses!$D$17&amp;Hypothèses!$D$18,INDIRECT("'"&amp;Hypothèses!$D$42&amp;"'!$A:$I"),6,FALSE) + VLOOKUP("networkturpe_power_cost"&amp;"S1"&amp;M$39&amp;Hypothèses!$D$17&amp;Hypothèses!$D$18,INDIRECT("'"&amp;Hypothèses!$D$42&amp;"'!$A:$I"),6,FALSE)</f>
        <v>#N/A</v>
      </c>
      <c r="N106" s="73" t="e">
        <f ca="1">VLOOKUP("networkturpe_energy_cost"&amp;"S1"&amp;N$39&amp;Hypothèses!$D$17&amp;Hypothèses!$D$18,INDIRECT("'"&amp;Hypothèses!$D$42&amp;"'!$A:$I"),6,FALSE) + VLOOKUP("networkturpe_power_cost"&amp;"S1"&amp;N$39&amp;Hypothèses!$D$17&amp;Hypothèses!$D$18,INDIRECT("'"&amp;Hypothèses!$D$42&amp;"'!$A:$I"),6,FALSE)</f>
        <v>#N/A</v>
      </c>
      <c r="O106" s="73" t="e">
        <f ca="1">VLOOKUP("networkturpe_energy_cost"&amp;"S1"&amp;O$39&amp;Hypothèses!$D$17&amp;Hypothèses!$D$18,INDIRECT("'"&amp;Hypothèses!$D$42&amp;"'!$A:$I"),6,FALSE) + VLOOKUP("networkturpe_power_cost"&amp;"S1"&amp;O$39&amp;Hypothèses!$D$17&amp;Hypothèses!$D$18,INDIRECT("'"&amp;Hypothèses!$D$42&amp;"'!$A:$I"),6,FALSE)</f>
        <v>#N/A</v>
      </c>
      <c r="P106" s="73" t="e">
        <f ca="1">VLOOKUP("networkturpe_energy_cost"&amp;"S1"&amp;P$39&amp;Hypothèses!$D$17&amp;Hypothèses!$D$18,INDIRECT("'"&amp;Hypothèses!$D$42&amp;"'!$A:$I"),6,FALSE) + VLOOKUP("networkturpe_power_cost"&amp;"S1"&amp;P$39&amp;Hypothèses!$D$17&amp;Hypothèses!$D$18,INDIRECT("'"&amp;Hypothèses!$D$42&amp;"'!$A:$I"),6,FALSE)</f>
        <v>#N/A</v>
      </c>
      <c r="Q106" s="73" t="e">
        <f ca="1">VLOOKUP("networkturpe_energy_cost"&amp;"S1"&amp;Q$39&amp;Hypothèses!$D$17&amp;Hypothèses!$D$18,INDIRECT("'"&amp;Hypothèses!$D$42&amp;"'!$A:$I"),6,FALSE) + VLOOKUP("networkturpe_power_cost"&amp;"S1"&amp;Q$39&amp;Hypothèses!$D$17&amp;Hypothèses!$D$18,INDIRECT("'"&amp;Hypothèses!$D$42&amp;"'!$A:$I"),6,FALSE)</f>
        <v>#N/A</v>
      </c>
      <c r="R106" s="73" t="e">
        <f ca="1">VLOOKUP("networkturpe_energy_cost"&amp;"S1"&amp;R$39&amp;Hypothèses!$D$17&amp;Hypothèses!$D$18,INDIRECT("'"&amp;Hypothèses!$D$42&amp;"'!$A:$I"),6,FALSE) + VLOOKUP("networkturpe_power_cost"&amp;"S1"&amp;R$39&amp;Hypothèses!$D$17&amp;Hypothèses!$D$18,INDIRECT("'"&amp;Hypothèses!$D$42&amp;"'!$A:$I"),6,FALSE)</f>
        <v>#N/A</v>
      </c>
      <c r="S106" s="73" t="e">
        <f ca="1">VLOOKUP("networkturpe_energy_cost"&amp;"S1"&amp;S$39&amp;Hypothèses!$D$17&amp;Hypothèses!$D$18,INDIRECT("'"&amp;Hypothèses!$D$42&amp;"'!$A:$I"),6,FALSE) + VLOOKUP("networkturpe_power_cost"&amp;"S1"&amp;S$39&amp;Hypothèses!$D$17&amp;Hypothèses!$D$18,INDIRECT("'"&amp;Hypothèses!$D$42&amp;"'!$A:$I"),6,FALSE)</f>
        <v>#N/A</v>
      </c>
      <c r="T106" s="73" t="e">
        <f ca="1">VLOOKUP("networkturpe_energy_cost"&amp;"S1"&amp;T$39&amp;Hypothèses!$D$17&amp;Hypothèses!$D$18,INDIRECT("'"&amp;Hypothèses!$D$42&amp;"'!$A:$I"),6,FALSE) + VLOOKUP("networkturpe_power_cost"&amp;"S1"&amp;T$39&amp;Hypothèses!$D$17&amp;Hypothèses!$D$18,INDIRECT("'"&amp;Hypothèses!$D$42&amp;"'!$A:$I"),6,FALSE)</f>
        <v>#N/A</v>
      </c>
      <c r="U106" s="73" t="e">
        <f ca="1">VLOOKUP("networkturpe_energy_cost"&amp;"S1"&amp;U$39&amp;Hypothèses!$D$17&amp;Hypothèses!$D$18,INDIRECT("'"&amp;Hypothèses!$D$42&amp;"'!$A:$I"),6,FALSE) + VLOOKUP("networkturpe_power_cost"&amp;"S1"&amp;U$39&amp;Hypothèses!$D$17&amp;Hypothèses!$D$18,INDIRECT("'"&amp;Hypothèses!$D$42&amp;"'!$A:$I"),6,FALSE)</f>
        <v>#N/A</v>
      </c>
      <c r="V106" s="73" t="e">
        <f ca="1">VLOOKUP("networkturpe_energy_cost"&amp;"S1"&amp;V$39&amp;Hypothèses!$D$17&amp;Hypothèses!$D$18,INDIRECT("'"&amp;Hypothèses!$D$42&amp;"'!$A:$I"),6,FALSE) + VLOOKUP("networkturpe_power_cost"&amp;"S1"&amp;V$39&amp;Hypothèses!$D$17&amp;Hypothèses!$D$18,INDIRECT("'"&amp;Hypothèses!$D$42&amp;"'!$A:$I"),6,FALSE)</f>
        <v>#N/A</v>
      </c>
      <c r="W106" s="73" t="e">
        <f ca="1">VLOOKUP("networkturpe_energy_cost"&amp;"S1"&amp;W$39&amp;Hypothèses!$D$17&amp;Hypothèses!$D$18,INDIRECT("'"&amp;Hypothèses!$D$42&amp;"'!$A:$I"),6,FALSE) + VLOOKUP("networkturpe_power_cost"&amp;"S1"&amp;W$39&amp;Hypothèses!$D$17&amp;Hypothèses!$D$18,INDIRECT("'"&amp;Hypothèses!$D$42&amp;"'!$A:$I"),6,FALSE)</f>
        <v>#N/A</v>
      </c>
      <c r="X106" s="73" t="e">
        <f ca="1">VLOOKUP("networkturpe_energy_cost"&amp;"S1"&amp;X$39&amp;Hypothèses!$D$17&amp;Hypothèses!$D$18,INDIRECT("'"&amp;Hypothèses!$D$42&amp;"'!$A:$I"),6,FALSE) + VLOOKUP("networkturpe_power_cost"&amp;"S1"&amp;X$39&amp;Hypothèses!$D$17&amp;Hypothèses!$D$18,INDIRECT("'"&amp;Hypothèses!$D$42&amp;"'!$A:$I"),6,FALSE)</f>
        <v>#N/A</v>
      </c>
      <c r="Y106" s="73" t="e">
        <f ca="1">VLOOKUP("networkturpe_energy_cost"&amp;"S1"&amp;Y$39&amp;Hypothèses!$D$17&amp;Hypothèses!$D$18,INDIRECT("'"&amp;Hypothèses!$D$42&amp;"'!$A:$I"),6,FALSE) + VLOOKUP("networkturpe_power_cost"&amp;"S1"&amp;Y$39&amp;Hypothèses!$D$17&amp;Hypothèses!$D$18,INDIRECT("'"&amp;Hypothèses!$D$42&amp;"'!$A:$I"),6,FALSE)</f>
        <v>#N/A</v>
      </c>
      <c r="Z106" s="73" t="e">
        <f ca="1">VLOOKUP("networkturpe_energy_cost"&amp;"S1"&amp;Z$39&amp;Hypothèses!$D$17&amp;Hypothèses!$D$18,INDIRECT("'"&amp;Hypothèses!$D$42&amp;"'!$A:$I"),6,FALSE) + VLOOKUP("networkturpe_power_cost"&amp;"S1"&amp;Z$39&amp;Hypothèses!$D$17&amp;Hypothèses!$D$18,INDIRECT("'"&amp;Hypothèses!$D$42&amp;"'!$A:$I"),6,FALSE)</f>
        <v>#N/A</v>
      </c>
      <c r="AA106" s="73" t="e">
        <f ca="1">VLOOKUP("networkturpe_energy_cost"&amp;"S1"&amp;AA$39&amp;Hypothèses!$D$17&amp;Hypothèses!$D$18,INDIRECT("'"&amp;Hypothèses!$D$42&amp;"'!$A:$I"),6,FALSE) + VLOOKUP("networkturpe_power_cost"&amp;"S1"&amp;AA$39&amp;Hypothèses!$D$17&amp;Hypothèses!$D$18,INDIRECT("'"&amp;Hypothèses!$D$42&amp;"'!$A:$I"),6,FALSE)</f>
        <v>#N/A</v>
      </c>
      <c r="AB106" s="73" t="e">
        <f ca="1">VLOOKUP("networkturpe_energy_cost"&amp;"S1"&amp;AB$39&amp;Hypothèses!$D$17&amp;Hypothèses!$D$18,INDIRECT("'"&amp;Hypothèses!$D$42&amp;"'!$A:$I"),6,FALSE) + VLOOKUP("networkturpe_power_cost"&amp;"S1"&amp;AB$39&amp;Hypothèses!$D$17&amp;Hypothèses!$D$18,INDIRECT("'"&amp;Hypothèses!$D$42&amp;"'!$A:$I"),6,FALSE)</f>
        <v>#N/A</v>
      </c>
      <c r="AC106" s="73" t="e">
        <f ca="1">VLOOKUP("networkturpe_energy_cost"&amp;"S1"&amp;AC$39&amp;Hypothèses!$D$17&amp;Hypothèses!$D$18,INDIRECT("'"&amp;Hypothèses!$D$42&amp;"'!$A:$I"),6,FALSE) + VLOOKUP("networkturpe_power_cost"&amp;"S1"&amp;AC$39&amp;Hypothèses!$D$17&amp;Hypothèses!$D$18,INDIRECT("'"&amp;Hypothèses!$D$42&amp;"'!$A:$I"),6,FALSE)</f>
        <v>#N/A</v>
      </c>
      <c r="AD106" s="73" t="e">
        <f ca="1">VLOOKUP("networkturpe_energy_cost"&amp;"S1"&amp;AD$39&amp;Hypothèses!$D$17&amp;Hypothèses!$D$18,INDIRECT("'"&amp;Hypothèses!$D$42&amp;"'!$A:$I"),6,FALSE) + VLOOKUP("networkturpe_power_cost"&amp;"S1"&amp;AD$39&amp;Hypothèses!$D$17&amp;Hypothèses!$D$18,INDIRECT("'"&amp;Hypothèses!$D$42&amp;"'!$A:$I"),6,FALSE)</f>
        <v>#N/A</v>
      </c>
      <c r="AE106" s="73" t="e">
        <f ca="1">VLOOKUP("networkturpe_energy_cost"&amp;"S1"&amp;AE$39&amp;Hypothèses!$D$17&amp;Hypothèses!$D$18,INDIRECT("'"&amp;Hypothèses!$D$42&amp;"'!$A:$I"),6,FALSE) + VLOOKUP("networkturpe_power_cost"&amp;"S1"&amp;AE$39&amp;Hypothèses!$D$17&amp;Hypothèses!$D$18,INDIRECT("'"&amp;Hypothèses!$D$42&amp;"'!$A:$I"),6,FALSE)</f>
        <v>#N/A</v>
      </c>
      <c r="AF106" s="73" t="e">
        <f ca="1">VLOOKUP("networkturpe_energy_cost"&amp;"S1"&amp;AF$39&amp;Hypothèses!$D$17&amp;Hypothèses!$D$18,INDIRECT("'"&amp;Hypothèses!$D$42&amp;"'!$A:$I"),6,FALSE) + VLOOKUP("networkturpe_power_cost"&amp;"S1"&amp;AF$39&amp;Hypothèses!$D$17&amp;Hypothèses!$D$18,INDIRECT("'"&amp;Hypothèses!$D$42&amp;"'!$A:$I"),6,FALSE)</f>
        <v>#N/A</v>
      </c>
      <c r="AG106" s="73" t="e">
        <f ca="1">VLOOKUP("networkturpe_energy_cost"&amp;"S1"&amp;AG$39&amp;Hypothèses!$D$17&amp;Hypothèses!$D$18,INDIRECT("'"&amp;Hypothèses!$D$42&amp;"'!$A:$I"),6,FALSE) + VLOOKUP("networkturpe_power_cost"&amp;"S1"&amp;AG$39&amp;Hypothèses!$D$17&amp;Hypothèses!$D$18,INDIRECT("'"&amp;Hypothèses!$D$42&amp;"'!$A:$I"),6,FALSE)</f>
        <v>#N/A</v>
      </c>
    </row>
    <row r="107" spans="2:34" s="49" customFormat="1" x14ac:dyDescent="0.3">
      <c r="B107" s="48"/>
      <c r="C107" s="48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</row>
    <row r="108" spans="2:34" x14ac:dyDescent="0.3">
      <c r="B108" s="22" t="s">
        <v>124</v>
      </c>
      <c r="C108" s="22"/>
      <c r="D108" s="71">
        <f t="shared" ref="D108:AG108" ca="1" si="411" xml:space="preserve"> (D95-D99) * D44 * 1</f>
        <v>394248.56208705669</v>
      </c>
      <c r="E108" s="71" t="e">
        <f t="shared" ca="1" si="411"/>
        <v>#N/A</v>
      </c>
      <c r="F108" s="71" t="e">
        <f t="shared" ca="1" si="411"/>
        <v>#N/A</v>
      </c>
      <c r="G108" s="71" t="e">
        <f t="shared" ca="1" si="411"/>
        <v>#N/A</v>
      </c>
      <c r="H108" s="71" t="e">
        <f t="shared" ca="1" si="411"/>
        <v>#N/A</v>
      </c>
      <c r="I108" s="71" t="e">
        <f t="shared" ca="1" si="411"/>
        <v>#N/A</v>
      </c>
      <c r="J108" s="71" t="e">
        <f t="shared" ca="1" si="411"/>
        <v>#N/A</v>
      </c>
      <c r="K108" s="71" t="e">
        <f t="shared" ca="1" si="411"/>
        <v>#N/A</v>
      </c>
      <c r="L108" s="71" t="e">
        <f t="shared" ca="1" si="411"/>
        <v>#N/A</v>
      </c>
      <c r="M108" s="71" t="e">
        <f t="shared" ca="1" si="411"/>
        <v>#N/A</v>
      </c>
      <c r="N108" s="71" t="e">
        <f t="shared" ca="1" si="411"/>
        <v>#N/A</v>
      </c>
      <c r="O108" s="71" t="e">
        <f t="shared" ca="1" si="411"/>
        <v>#N/A</v>
      </c>
      <c r="P108" s="71" t="e">
        <f t="shared" ca="1" si="411"/>
        <v>#N/A</v>
      </c>
      <c r="Q108" s="71" t="e">
        <f t="shared" ca="1" si="411"/>
        <v>#N/A</v>
      </c>
      <c r="R108" s="71" t="e">
        <f t="shared" ca="1" si="411"/>
        <v>#N/A</v>
      </c>
      <c r="S108" s="71" t="e">
        <f t="shared" ca="1" si="411"/>
        <v>#N/A</v>
      </c>
      <c r="T108" s="71" t="e">
        <f t="shared" ca="1" si="411"/>
        <v>#N/A</v>
      </c>
      <c r="U108" s="71" t="e">
        <f t="shared" ca="1" si="411"/>
        <v>#N/A</v>
      </c>
      <c r="V108" s="71" t="e">
        <f t="shared" ca="1" si="411"/>
        <v>#N/A</v>
      </c>
      <c r="W108" s="71" t="e">
        <f t="shared" ca="1" si="411"/>
        <v>#N/A</v>
      </c>
      <c r="X108" s="71" t="e">
        <f t="shared" ca="1" si="411"/>
        <v>#N/A</v>
      </c>
      <c r="Y108" s="71" t="e">
        <f t="shared" ca="1" si="411"/>
        <v>#N/A</v>
      </c>
      <c r="Z108" s="71" t="e">
        <f t="shared" ca="1" si="411"/>
        <v>#N/A</v>
      </c>
      <c r="AA108" s="71" t="e">
        <f t="shared" ca="1" si="411"/>
        <v>#N/A</v>
      </c>
      <c r="AB108" s="71" t="e">
        <f t="shared" ca="1" si="411"/>
        <v>#N/A</v>
      </c>
      <c r="AC108" s="71" t="e">
        <f t="shared" ca="1" si="411"/>
        <v>#N/A</v>
      </c>
      <c r="AD108" s="71" t="e">
        <f t="shared" ca="1" si="411"/>
        <v>#N/A</v>
      </c>
      <c r="AE108" s="71" t="e">
        <f t="shared" ca="1" si="411"/>
        <v>#N/A</v>
      </c>
      <c r="AF108" s="71" t="e">
        <f t="shared" ca="1" si="411"/>
        <v>#N/A</v>
      </c>
      <c r="AG108" s="71" t="e">
        <f t="shared" ca="1" si="411"/>
        <v>#N/A</v>
      </c>
      <c r="AH108" s="63"/>
    </row>
    <row r="109" spans="2:34" x14ac:dyDescent="0.3">
      <c r="B109" s="10" t="s">
        <v>37</v>
      </c>
      <c r="C109" s="10"/>
      <c r="D109" s="68">
        <f ca="1">SUM(D110:D115)</f>
        <v>0</v>
      </c>
      <c r="E109" s="68" t="e">
        <f t="shared" ref="E109:W109" ca="1" si="412">SUM(E110:E115)</f>
        <v>#N/A</v>
      </c>
      <c r="F109" s="68" t="e">
        <f t="shared" ca="1" si="412"/>
        <v>#N/A</v>
      </c>
      <c r="G109" s="68" t="e">
        <f t="shared" ca="1" si="412"/>
        <v>#N/A</v>
      </c>
      <c r="H109" s="68" t="e">
        <f t="shared" ca="1" si="412"/>
        <v>#N/A</v>
      </c>
      <c r="I109" s="68" t="e">
        <f t="shared" ca="1" si="412"/>
        <v>#N/A</v>
      </c>
      <c r="J109" s="68" t="e">
        <f t="shared" ca="1" si="412"/>
        <v>#N/A</v>
      </c>
      <c r="K109" s="68" t="e">
        <f t="shared" ca="1" si="412"/>
        <v>#N/A</v>
      </c>
      <c r="L109" s="68" t="e">
        <f t="shared" ca="1" si="412"/>
        <v>#N/A</v>
      </c>
      <c r="M109" s="68" t="e">
        <f t="shared" ca="1" si="412"/>
        <v>#N/A</v>
      </c>
      <c r="N109" s="68" t="e">
        <f t="shared" ca="1" si="412"/>
        <v>#N/A</v>
      </c>
      <c r="O109" s="68" t="e">
        <f t="shared" ca="1" si="412"/>
        <v>#N/A</v>
      </c>
      <c r="P109" s="68" t="e">
        <f t="shared" ca="1" si="412"/>
        <v>#N/A</v>
      </c>
      <c r="Q109" s="68" t="e">
        <f t="shared" ca="1" si="412"/>
        <v>#N/A</v>
      </c>
      <c r="R109" s="68" t="e">
        <f t="shared" ca="1" si="412"/>
        <v>#N/A</v>
      </c>
      <c r="S109" s="68" t="e">
        <f t="shared" ca="1" si="412"/>
        <v>#N/A</v>
      </c>
      <c r="T109" s="68" t="e">
        <f t="shared" ca="1" si="412"/>
        <v>#N/A</v>
      </c>
      <c r="U109" s="68" t="e">
        <f t="shared" ca="1" si="412"/>
        <v>#N/A</v>
      </c>
      <c r="V109" s="68" t="e">
        <f t="shared" ca="1" si="412"/>
        <v>#N/A</v>
      </c>
      <c r="W109" s="68" t="e">
        <f t="shared" ca="1" si="412"/>
        <v>#N/A</v>
      </c>
      <c r="X109" s="68" t="e">
        <f t="shared" ref="X109:AG109" ca="1" si="413">SUM(X110:X115)</f>
        <v>#N/A</v>
      </c>
      <c r="Y109" s="68" t="e">
        <f t="shared" ca="1" si="413"/>
        <v>#N/A</v>
      </c>
      <c r="Z109" s="68" t="e">
        <f t="shared" ca="1" si="413"/>
        <v>#N/A</v>
      </c>
      <c r="AA109" s="68" t="e">
        <f t="shared" ca="1" si="413"/>
        <v>#N/A</v>
      </c>
      <c r="AB109" s="68" t="e">
        <f t="shared" ca="1" si="413"/>
        <v>#N/A</v>
      </c>
      <c r="AC109" s="68" t="e">
        <f t="shared" ca="1" si="413"/>
        <v>#N/A</v>
      </c>
      <c r="AD109" s="68" t="e">
        <f t="shared" ca="1" si="413"/>
        <v>#N/A</v>
      </c>
      <c r="AE109" s="68" t="e">
        <f t="shared" ca="1" si="413"/>
        <v>#N/A</v>
      </c>
      <c r="AF109" s="68" t="e">
        <f t="shared" ca="1" si="413"/>
        <v>#N/A</v>
      </c>
      <c r="AG109" s="68" t="e">
        <f t="shared" ca="1" si="413"/>
        <v>#N/A</v>
      </c>
    </row>
    <row r="110" spans="2:34" x14ac:dyDescent="0.3">
      <c r="B110" s="24" t="s">
        <v>38</v>
      </c>
      <c r="C110" s="10"/>
      <c r="D110" s="73">
        <f>0</f>
        <v>0</v>
      </c>
      <c r="E110" s="73">
        <f>0</f>
        <v>0</v>
      </c>
      <c r="F110" s="73">
        <f>0</f>
        <v>0</v>
      </c>
      <c r="G110" s="73">
        <f>0</f>
        <v>0</v>
      </c>
      <c r="H110" s="73">
        <f>0</f>
        <v>0</v>
      </c>
      <c r="I110" s="73">
        <f>0</f>
        <v>0</v>
      </c>
      <c r="J110" s="73">
        <f>0</f>
        <v>0</v>
      </c>
      <c r="K110" s="73">
        <f>0</f>
        <v>0</v>
      </c>
      <c r="L110" s="73">
        <f>0</f>
        <v>0</v>
      </c>
      <c r="M110" s="73">
        <f>0</f>
        <v>0</v>
      </c>
      <c r="N110" s="73">
        <f>0</f>
        <v>0</v>
      </c>
      <c r="O110" s="73">
        <f>0</f>
        <v>0</v>
      </c>
      <c r="P110" s="73">
        <f>0</f>
        <v>0</v>
      </c>
      <c r="Q110" s="73">
        <f>0</f>
        <v>0</v>
      </c>
      <c r="R110" s="73">
        <f>0</f>
        <v>0</v>
      </c>
      <c r="S110" s="73">
        <f>0</f>
        <v>0</v>
      </c>
      <c r="T110" s="73">
        <f>0</f>
        <v>0</v>
      </c>
      <c r="U110" s="73">
        <f>0</f>
        <v>0</v>
      </c>
      <c r="V110" s="73">
        <f>0</f>
        <v>0</v>
      </c>
      <c r="W110" s="73">
        <f>0</f>
        <v>0</v>
      </c>
      <c r="X110" s="73">
        <f>0</f>
        <v>0</v>
      </c>
      <c r="Y110" s="73">
        <f>0</f>
        <v>0</v>
      </c>
      <c r="Z110" s="73">
        <f>0</f>
        <v>0</v>
      </c>
      <c r="AA110" s="73">
        <f>0</f>
        <v>0</v>
      </c>
      <c r="AB110" s="73">
        <f>0</f>
        <v>0</v>
      </c>
      <c r="AC110" s="73">
        <f>0</f>
        <v>0</v>
      </c>
      <c r="AD110" s="73">
        <f>0</f>
        <v>0</v>
      </c>
      <c r="AE110" s="73">
        <f>0</f>
        <v>0</v>
      </c>
      <c r="AF110" s="73">
        <f>0</f>
        <v>0</v>
      </c>
      <c r="AG110" s="73">
        <f>0</f>
        <v>0</v>
      </c>
    </row>
    <row r="111" spans="2:34" x14ac:dyDescent="0.3">
      <c r="B111" s="24" t="s">
        <v>39</v>
      </c>
      <c r="C111" s="10"/>
      <c r="D111" s="73">
        <v>0</v>
      </c>
      <c r="E111" s="73">
        <v>0</v>
      </c>
      <c r="F111" s="73">
        <v>0</v>
      </c>
      <c r="G111" s="73">
        <v>0</v>
      </c>
      <c r="H111" s="73">
        <v>0</v>
      </c>
      <c r="I111" s="73">
        <v>0</v>
      </c>
      <c r="J111" s="73">
        <v>0</v>
      </c>
      <c r="K111" s="73">
        <v>0</v>
      </c>
      <c r="L111" s="73">
        <v>0</v>
      </c>
      <c r="M111" s="73">
        <v>0</v>
      </c>
      <c r="N111" s="73">
        <v>0</v>
      </c>
      <c r="O111" s="73">
        <v>0</v>
      </c>
      <c r="P111" s="73">
        <v>0</v>
      </c>
      <c r="Q111" s="73">
        <v>0</v>
      </c>
      <c r="R111" s="73">
        <v>0</v>
      </c>
      <c r="S111" s="73">
        <v>0</v>
      </c>
      <c r="T111" s="73">
        <v>0</v>
      </c>
      <c r="U111" s="73">
        <v>0</v>
      </c>
      <c r="V111" s="73">
        <v>0</v>
      </c>
      <c r="W111" s="73">
        <v>0</v>
      </c>
      <c r="X111" s="73">
        <v>0</v>
      </c>
      <c r="Y111" s="73">
        <v>0</v>
      </c>
      <c r="Z111" s="73">
        <v>0</v>
      </c>
      <c r="AA111" s="73">
        <v>0</v>
      </c>
      <c r="AB111" s="73">
        <v>0</v>
      </c>
      <c r="AC111" s="73">
        <v>0</v>
      </c>
      <c r="AD111" s="73">
        <v>0</v>
      </c>
      <c r="AE111" s="73">
        <v>0</v>
      </c>
      <c r="AF111" s="73">
        <v>0</v>
      </c>
      <c r="AG111" s="73">
        <v>0</v>
      </c>
    </row>
    <row r="112" spans="2:34" x14ac:dyDescent="0.3">
      <c r="B112" s="24" t="s">
        <v>40</v>
      </c>
      <c r="C112" s="10"/>
      <c r="D112" s="73">
        <v>0</v>
      </c>
      <c r="E112" s="73">
        <v>0</v>
      </c>
      <c r="F112" s="73">
        <v>0</v>
      </c>
      <c r="G112" s="73">
        <v>0</v>
      </c>
      <c r="H112" s="73">
        <v>0</v>
      </c>
      <c r="I112" s="73">
        <v>0</v>
      </c>
      <c r="J112" s="73">
        <v>0</v>
      </c>
      <c r="K112" s="73">
        <v>0</v>
      </c>
      <c r="L112" s="73">
        <v>0</v>
      </c>
      <c r="M112" s="73">
        <v>0</v>
      </c>
      <c r="N112" s="73">
        <v>0</v>
      </c>
      <c r="O112" s="73">
        <v>0</v>
      </c>
      <c r="P112" s="73">
        <v>0</v>
      </c>
      <c r="Q112" s="73">
        <v>0</v>
      </c>
      <c r="R112" s="73">
        <v>0</v>
      </c>
      <c r="S112" s="73">
        <v>0</v>
      </c>
      <c r="T112" s="73">
        <v>0</v>
      </c>
      <c r="U112" s="73">
        <v>0</v>
      </c>
      <c r="V112" s="73">
        <v>0</v>
      </c>
      <c r="W112" s="73">
        <v>0</v>
      </c>
      <c r="X112" s="73">
        <v>0</v>
      </c>
      <c r="Y112" s="73">
        <v>0</v>
      </c>
      <c r="Z112" s="73">
        <v>0</v>
      </c>
      <c r="AA112" s="73">
        <v>0</v>
      </c>
      <c r="AB112" s="73">
        <v>0</v>
      </c>
      <c r="AC112" s="73">
        <v>0</v>
      </c>
      <c r="AD112" s="73">
        <v>0</v>
      </c>
      <c r="AE112" s="73">
        <v>0</v>
      </c>
      <c r="AF112" s="73">
        <v>0</v>
      </c>
      <c r="AG112" s="73">
        <v>0</v>
      </c>
    </row>
    <row r="113" spans="2:33" x14ac:dyDescent="0.3">
      <c r="B113" s="24" t="s">
        <v>41</v>
      </c>
      <c r="C113" s="10"/>
      <c r="D113" s="73">
        <f ca="1">IF(D95&gt;19000000,#REF!*(D95-19000000),0)</f>
        <v>0</v>
      </c>
      <c r="E113" s="73" t="e">
        <f ca="1">IF(E95&gt;19000000,#REF!*(E95-19000000),0)</f>
        <v>#N/A</v>
      </c>
      <c r="F113" s="73" t="e">
        <f ca="1">IF(F95&gt;19000000,#REF!*(F95-19000000),0)</f>
        <v>#N/A</v>
      </c>
      <c r="G113" s="73" t="e">
        <f ca="1">IF(G95&gt;19000000,#REF!*(G95-19000000),0)</f>
        <v>#N/A</v>
      </c>
      <c r="H113" s="73" t="e">
        <f ca="1">IF(H95&gt;19000000,#REF!*(H95-19000000),0)</f>
        <v>#N/A</v>
      </c>
      <c r="I113" s="73" t="e">
        <f ca="1">IF(I95&gt;19000000,#REF!*(I95-19000000),0)</f>
        <v>#N/A</v>
      </c>
      <c r="J113" s="73" t="e">
        <f ca="1">IF(J95&gt;19000000,#REF!*(J95-19000000),0)</f>
        <v>#N/A</v>
      </c>
      <c r="K113" s="73" t="e">
        <f ca="1">IF(K95&gt;19000000,#REF!*(K95-19000000),0)</f>
        <v>#N/A</v>
      </c>
      <c r="L113" s="73" t="e">
        <f ca="1">IF(L95&gt;19000000,#REF!*(L95-19000000),0)</f>
        <v>#N/A</v>
      </c>
      <c r="M113" s="73" t="e">
        <f ca="1">IF(M95&gt;19000000,#REF!*(M95-19000000),0)</f>
        <v>#N/A</v>
      </c>
      <c r="N113" s="73" t="e">
        <f ca="1">IF(N95&gt;19000000,#REF!*(N95-19000000),0)</f>
        <v>#N/A</v>
      </c>
      <c r="O113" s="73" t="e">
        <f ca="1">IF(O95&gt;19000000,#REF!*(O95-19000000),0)</f>
        <v>#N/A</v>
      </c>
      <c r="P113" s="73" t="e">
        <f ca="1">IF(P95&gt;19000000,#REF!*(P95-19000000),0)</f>
        <v>#N/A</v>
      </c>
      <c r="Q113" s="73" t="e">
        <f ca="1">IF(Q95&gt;19000000,#REF!*(Q95-19000000),0)</f>
        <v>#N/A</v>
      </c>
      <c r="R113" s="73" t="e">
        <f ca="1">IF(R95&gt;19000000,#REF!*(R95-19000000),0)</f>
        <v>#N/A</v>
      </c>
      <c r="S113" s="73" t="e">
        <f ca="1">IF(S95&gt;19000000,#REF!*(S95-19000000),0)</f>
        <v>#N/A</v>
      </c>
      <c r="T113" s="73" t="e">
        <f ca="1">IF(T95&gt;19000000,#REF!*(T95-19000000),0)</f>
        <v>#N/A</v>
      </c>
      <c r="U113" s="73" t="e">
        <f ca="1">IF(U95&gt;19000000,#REF!*(U95-19000000),0)</f>
        <v>#N/A</v>
      </c>
      <c r="V113" s="73" t="e">
        <f ca="1">IF(V95&gt;19000000,#REF!*(V95-19000000),0)</f>
        <v>#N/A</v>
      </c>
      <c r="W113" s="73" t="e">
        <f ca="1">IF(W95&gt;19000000,#REF!*(W95-19000000),0)</f>
        <v>#N/A</v>
      </c>
      <c r="X113" s="73" t="e">
        <f ca="1">IF(X95&gt;19000000,#REF!*(X95-19000000),0)</f>
        <v>#N/A</v>
      </c>
      <c r="Y113" s="73" t="e">
        <f ca="1">IF(Y95&gt;19000000,#REF!*(Y95-19000000),0)</f>
        <v>#N/A</v>
      </c>
      <c r="Z113" s="73" t="e">
        <f ca="1">IF(Z95&gt;19000000,#REF!*(Z95-19000000),0)</f>
        <v>#N/A</v>
      </c>
      <c r="AA113" s="73" t="e">
        <f ca="1">IF(AA95&gt;19000000,#REF!*(AA95-19000000),0)</f>
        <v>#N/A</v>
      </c>
      <c r="AB113" s="73" t="e">
        <f ca="1">IF(AB95&gt;19000000,#REF!*(AB95-19000000),0)</f>
        <v>#N/A</v>
      </c>
      <c r="AC113" s="73" t="e">
        <f ca="1">IF(AC95&gt;19000000,#REF!*(AC95-19000000),0)</f>
        <v>#N/A</v>
      </c>
      <c r="AD113" s="73" t="e">
        <f ca="1">IF(AD95&gt;19000000,#REF!*(AD95-19000000),0)</f>
        <v>#N/A</v>
      </c>
      <c r="AE113" s="73" t="e">
        <f ca="1">IF(AE95&gt;19000000,#REF!*(AE95-19000000),0)</f>
        <v>#N/A</v>
      </c>
      <c r="AF113" s="73" t="e">
        <f ca="1">IF(AF95&gt;19000000,#REF!*(AF95-19000000),0)</f>
        <v>#N/A</v>
      </c>
      <c r="AG113" s="73" t="e">
        <f ca="1">IF(AG95&gt;19000000,#REF!*(AG95-19000000),0)</f>
        <v>#N/A</v>
      </c>
    </row>
    <row r="114" spans="2:33" x14ac:dyDescent="0.3">
      <c r="B114" s="24" t="s">
        <v>42</v>
      </c>
      <c r="C114" s="10"/>
      <c r="D114" s="73">
        <v>0</v>
      </c>
      <c r="E114" s="73">
        <v>0</v>
      </c>
      <c r="F114" s="73">
        <v>0</v>
      </c>
      <c r="G114" s="73">
        <v>0</v>
      </c>
      <c r="H114" s="73">
        <v>0</v>
      </c>
      <c r="I114" s="73">
        <v>0</v>
      </c>
      <c r="J114" s="73">
        <v>0</v>
      </c>
      <c r="K114" s="73">
        <v>0</v>
      </c>
      <c r="L114" s="73">
        <v>0</v>
      </c>
      <c r="M114" s="73">
        <v>0</v>
      </c>
      <c r="N114" s="73">
        <v>0</v>
      </c>
      <c r="O114" s="73">
        <v>0</v>
      </c>
      <c r="P114" s="73">
        <v>0</v>
      </c>
      <c r="Q114" s="73">
        <v>0</v>
      </c>
      <c r="R114" s="73">
        <v>0</v>
      </c>
      <c r="S114" s="73">
        <v>0</v>
      </c>
      <c r="T114" s="73">
        <v>0</v>
      </c>
      <c r="U114" s="73">
        <v>0</v>
      </c>
      <c r="V114" s="73">
        <v>0</v>
      </c>
      <c r="W114" s="73">
        <v>0</v>
      </c>
      <c r="X114" s="73">
        <v>0</v>
      </c>
      <c r="Y114" s="73">
        <v>0</v>
      </c>
      <c r="Z114" s="73">
        <v>0</v>
      </c>
      <c r="AA114" s="73">
        <v>0</v>
      </c>
      <c r="AB114" s="73">
        <v>0</v>
      </c>
      <c r="AC114" s="73">
        <v>0</v>
      </c>
      <c r="AD114" s="73">
        <v>0</v>
      </c>
      <c r="AE114" s="73">
        <v>0</v>
      </c>
      <c r="AF114" s="73">
        <v>0</v>
      </c>
      <c r="AG114" s="73">
        <v>0</v>
      </c>
    </row>
    <row r="115" spans="2:33" x14ac:dyDescent="0.3">
      <c r="B115" s="24" t="s">
        <v>43</v>
      </c>
      <c r="C115" s="10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</row>
    <row r="116" spans="2:33" s="49" customFormat="1" x14ac:dyDescent="0.3">
      <c r="B116" s="50"/>
      <c r="C116" s="48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</row>
    <row r="117" spans="2:33" x14ac:dyDescent="0.3">
      <c r="B117" s="22" t="s">
        <v>44</v>
      </c>
      <c r="C117" s="22"/>
      <c r="D117" s="71">
        <f ca="1">D108-D109</f>
        <v>394248.56208705669</v>
      </c>
      <c r="E117" s="71" t="e">
        <f t="shared" ref="E117:AG117" ca="1" si="414">E108-E109</f>
        <v>#N/A</v>
      </c>
      <c r="F117" s="71" t="e">
        <f ca="1">F108-F109</f>
        <v>#N/A</v>
      </c>
      <c r="G117" s="71" t="e">
        <f t="shared" ca="1" si="414"/>
        <v>#N/A</v>
      </c>
      <c r="H117" s="71" t="e">
        <f t="shared" ca="1" si="414"/>
        <v>#N/A</v>
      </c>
      <c r="I117" s="71" t="e">
        <f t="shared" ca="1" si="414"/>
        <v>#N/A</v>
      </c>
      <c r="J117" s="71" t="e">
        <f t="shared" ca="1" si="414"/>
        <v>#N/A</v>
      </c>
      <c r="K117" s="71" t="e">
        <f t="shared" ca="1" si="414"/>
        <v>#N/A</v>
      </c>
      <c r="L117" s="71" t="e">
        <f t="shared" ca="1" si="414"/>
        <v>#N/A</v>
      </c>
      <c r="M117" s="71" t="e">
        <f t="shared" ca="1" si="414"/>
        <v>#N/A</v>
      </c>
      <c r="N117" s="71" t="e">
        <f t="shared" ca="1" si="414"/>
        <v>#N/A</v>
      </c>
      <c r="O117" s="71" t="e">
        <f t="shared" ca="1" si="414"/>
        <v>#N/A</v>
      </c>
      <c r="P117" s="71" t="e">
        <f t="shared" ca="1" si="414"/>
        <v>#N/A</v>
      </c>
      <c r="Q117" s="71" t="e">
        <f t="shared" ca="1" si="414"/>
        <v>#N/A</v>
      </c>
      <c r="R117" s="71" t="e">
        <f t="shared" ca="1" si="414"/>
        <v>#N/A</v>
      </c>
      <c r="S117" s="71" t="e">
        <f t="shared" ca="1" si="414"/>
        <v>#N/A</v>
      </c>
      <c r="T117" s="71" t="e">
        <f t="shared" ca="1" si="414"/>
        <v>#N/A</v>
      </c>
      <c r="U117" s="71" t="e">
        <f t="shared" ca="1" si="414"/>
        <v>#N/A</v>
      </c>
      <c r="V117" s="71" t="e">
        <f t="shared" ca="1" si="414"/>
        <v>#N/A</v>
      </c>
      <c r="W117" s="71" t="e">
        <f t="shared" ca="1" si="414"/>
        <v>#N/A</v>
      </c>
      <c r="X117" s="71" t="e">
        <f t="shared" ca="1" si="414"/>
        <v>#N/A</v>
      </c>
      <c r="Y117" s="71" t="e">
        <f t="shared" ca="1" si="414"/>
        <v>#N/A</v>
      </c>
      <c r="Z117" s="71" t="e">
        <f t="shared" ca="1" si="414"/>
        <v>#N/A</v>
      </c>
      <c r="AA117" s="71" t="e">
        <f t="shared" ca="1" si="414"/>
        <v>#N/A</v>
      </c>
      <c r="AB117" s="71" t="e">
        <f t="shared" ca="1" si="414"/>
        <v>#N/A</v>
      </c>
      <c r="AC117" s="71" t="e">
        <f t="shared" ca="1" si="414"/>
        <v>#N/A</v>
      </c>
      <c r="AD117" s="71" t="e">
        <f t="shared" ca="1" si="414"/>
        <v>#N/A</v>
      </c>
      <c r="AE117" s="71" t="e">
        <f t="shared" ca="1" si="414"/>
        <v>#N/A</v>
      </c>
      <c r="AF117" s="71" t="e">
        <f t="shared" ca="1" si="414"/>
        <v>#N/A</v>
      </c>
      <c r="AG117" s="71" t="e">
        <f t="shared" ca="1" si="414"/>
        <v>#N/A</v>
      </c>
    </row>
    <row r="118" spans="2:33" x14ac:dyDescent="0.3">
      <c r="B118" s="10" t="s">
        <v>89</v>
      </c>
      <c r="C118" s="10"/>
      <c r="D118" s="73">
        <f t="shared" ref="D118:AG118" si="415">SUM(D119:D119)</f>
        <v>229281.04575163405</v>
      </c>
      <c r="E118" s="73">
        <f t="shared" si="415"/>
        <v>229281.04575163405</v>
      </c>
      <c r="F118" s="73">
        <f t="shared" si="415"/>
        <v>229281.04575163405</v>
      </c>
      <c r="G118" s="73">
        <f t="shared" si="415"/>
        <v>229281.04575163405</v>
      </c>
      <c r="H118" s="73">
        <f t="shared" si="415"/>
        <v>229281.04575163405</v>
      </c>
      <c r="I118" s="73">
        <f t="shared" si="415"/>
        <v>229281.04575163405</v>
      </c>
      <c r="J118" s="73">
        <f t="shared" si="415"/>
        <v>229281.04575163405</v>
      </c>
      <c r="K118" s="73">
        <f t="shared" si="415"/>
        <v>229281.04575163405</v>
      </c>
      <c r="L118" s="73">
        <f t="shared" si="415"/>
        <v>229281.04575163405</v>
      </c>
      <c r="M118" s="73">
        <f t="shared" si="415"/>
        <v>229281.04575163405</v>
      </c>
      <c r="N118" s="73">
        <f t="shared" si="415"/>
        <v>229281.04575163405</v>
      </c>
      <c r="O118" s="73">
        <f t="shared" si="415"/>
        <v>229281.04575163405</v>
      </c>
      <c r="P118" s="73">
        <f t="shared" si="415"/>
        <v>229281.04575163405</v>
      </c>
      <c r="Q118" s="73">
        <f t="shared" si="415"/>
        <v>229281.04575163405</v>
      </c>
      <c r="R118" s="73">
        <f t="shared" si="415"/>
        <v>229281.04575163405</v>
      </c>
      <c r="S118" s="73">
        <f t="shared" si="415"/>
        <v>229281.04575163405</v>
      </c>
      <c r="T118" s="73">
        <f t="shared" si="415"/>
        <v>229281.04575163405</v>
      </c>
      <c r="U118" s="73">
        <f t="shared" si="415"/>
        <v>0</v>
      </c>
      <c r="V118" s="73">
        <f t="shared" si="415"/>
        <v>0</v>
      </c>
      <c r="W118" s="73">
        <f t="shared" si="415"/>
        <v>0</v>
      </c>
      <c r="X118" s="73">
        <f t="shared" si="415"/>
        <v>0</v>
      </c>
      <c r="Y118" s="73">
        <f t="shared" si="415"/>
        <v>0</v>
      </c>
      <c r="Z118" s="73">
        <f t="shared" si="415"/>
        <v>0</v>
      </c>
      <c r="AA118" s="73">
        <f t="shared" si="415"/>
        <v>0</v>
      </c>
      <c r="AB118" s="73">
        <f t="shared" si="415"/>
        <v>0</v>
      </c>
      <c r="AC118" s="73">
        <f t="shared" si="415"/>
        <v>0</v>
      </c>
      <c r="AD118" s="73">
        <f t="shared" si="415"/>
        <v>0</v>
      </c>
      <c r="AE118" s="73">
        <f t="shared" si="415"/>
        <v>0</v>
      </c>
      <c r="AF118" s="73">
        <f t="shared" si="415"/>
        <v>0</v>
      </c>
      <c r="AG118" s="73">
        <f t="shared" si="415"/>
        <v>0</v>
      </c>
    </row>
    <row r="119" spans="2:33" x14ac:dyDescent="0.3">
      <c r="B119" s="10" t="s">
        <v>88</v>
      </c>
      <c r="C119" s="10"/>
      <c r="D119" s="73">
        <f t="shared" ref="D119:AG119" si="416">$C$35/$C$36 * ( D43 &lt;= $C$36 ) * 1</f>
        <v>229281.04575163405</v>
      </c>
      <c r="E119" s="73">
        <f t="shared" si="416"/>
        <v>229281.04575163405</v>
      </c>
      <c r="F119" s="73">
        <f t="shared" si="416"/>
        <v>229281.04575163405</v>
      </c>
      <c r="G119" s="73">
        <f t="shared" si="416"/>
        <v>229281.04575163405</v>
      </c>
      <c r="H119" s="73">
        <f t="shared" si="416"/>
        <v>229281.04575163405</v>
      </c>
      <c r="I119" s="73">
        <f t="shared" si="416"/>
        <v>229281.04575163405</v>
      </c>
      <c r="J119" s="73">
        <f t="shared" si="416"/>
        <v>229281.04575163405</v>
      </c>
      <c r="K119" s="73">
        <f t="shared" si="416"/>
        <v>229281.04575163405</v>
      </c>
      <c r="L119" s="73">
        <f t="shared" si="416"/>
        <v>229281.04575163405</v>
      </c>
      <c r="M119" s="73">
        <f t="shared" si="416"/>
        <v>229281.04575163405</v>
      </c>
      <c r="N119" s="73">
        <f t="shared" si="416"/>
        <v>229281.04575163405</v>
      </c>
      <c r="O119" s="73">
        <f t="shared" si="416"/>
        <v>229281.04575163405</v>
      </c>
      <c r="P119" s="73">
        <f t="shared" si="416"/>
        <v>229281.04575163405</v>
      </c>
      <c r="Q119" s="73">
        <f t="shared" si="416"/>
        <v>229281.04575163405</v>
      </c>
      <c r="R119" s="73">
        <f t="shared" si="416"/>
        <v>229281.04575163405</v>
      </c>
      <c r="S119" s="73">
        <f t="shared" si="416"/>
        <v>229281.04575163405</v>
      </c>
      <c r="T119" s="73">
        <f t="shared" si="416"/>
        <v>229281.04575163405</v>
      </c>
      <c r="U119" s="73">
        <f t="shared" si="416"/>
        <v>0</v>
      </c>
      <c r="V119" s="73">
        <f t="shared" si="416"/>
        <v>0</v>
      </c>
      <c r="W119" s="73">
        <f t="shared" si="416"/>
        <v>0</v>
      </c>
      <c r="X119" s="73">
        <f t="shared" si="416"/>
        <v>0</v>
      </c>
      <c r="Y119" s="73">
        <f t="shared" si="416"/>
        <v>0</v>
      </c>
      <c r="Z119" s="73">
        <f t="shared" si="416"/>
        <v>0</v>
      </c>
      <c r="AA119" s="73">
        <f t="shared" si="416"/>
        <v>0</v>
      </c>
      <c r="AB119" s="73">
        <f t="shared" si="416"/>
        <v>0</v>
      </c>
      <c r="AC119" s="73">
        <f t="shared" si="416"/>
        <v>0</v>
      </c>
      <c r="AD119" s="73">
        <f t="shared" si="416"/>
        <v>0</v>
      </c>
      <c r="AE119" s="73">
        <f t="shared" si="416"/>
        <v>0</v>
      </c>
      <c r="AF119" s="73">
        <f t="shared" si="416"/>
        <v>0</v>
      </c>
      <c r="AG119" s="73">
        <f t="shared" si="416"/>
        <v>0</v>
      </c>
    </row>
    <row r="120" spans="2:33" x14ac:dyDescent="0.3">
      <c r="B120" s="10" t="s">
        <v>45</v>
      </c>
      <c r="C120" s="10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</row>
    <row r="121" spans="2:33" s="49" customFormat="1" x14ac:dyDescent="0.3">
      <c r="B121" s="48"/>
      <c r="C121" s="48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</row>
    <row r="122" spans="2:33" x14ac:dyDescent="0.3">
      <c r="B122" s="22" t="s">
        <v>46</v>
      </c>
      <c r="C122" s="22"/>
      <c r="D122" s="71">
        <f t="shared" ref="D122:AG122" ca="1" si="417">D117-D118-D120</f>
        <v>164967.51633542264</v>
      </c>
      <c r="E122" s="71" t="e">
        <f t="shared" ca="1" si="417"/>
        <v>#N/A</v>
      </c>
      <c r="F122" s="71" t="e">
        <f t="shared" ca="1" si="417"/>
        <v>#N/A</v>
      </c>
      <c r="G122" s="71" t="e">
        <f t="shared" ca="1" si="417"/>
        <v>#N/A</v>
      </c>
      <c r="H122" s="71" t="e">
        <f t="shared" ca="1" si="417"/>
        <v>#N/A</v>
      </c>
      <c r="I122" s="71" t="e">
        <f t="shared" ca="1" si="417"/>
        <v>#N/A</v>
      </c>
      <c r="J122" s="71" t="e">
        <f t="shared" ca="1" si="417"/>
        <v>#N/A</v>
      </c>
      <c r="K122" s="71" t="e">
        <f t="shared" ca="1" si="417"/>
        <v>#N/A</v>
      </c>
      <c r="L122" s="71" t="e">
        <f t="shared" ca="1" si="417"/>
        <v>#N/A</v>
      </c>
      <c r="M122" s="71" t="e">
        <f t="shared" ca="1" si="417"/>
        <v>#N/A</v>
      </c>
      <c r="N122" s="71" t="e">
        <f t="shared" ca="1" si="417"/>
        <v>#N/A</v>
      </c>
      <c r="O122" s="71" t="e">
        <f t="shared" ca="1" si="417"/>
        <v>#N/A</v>
      </c>
      <c r="P122" s="71" t="e">
        <f t="shared" ca="1" si="417"/>
        <v>#N/A</v>
      </c>
      <c r="Q122" s="71" t="e">
        <f t="shared" ca="1" si="417"/>
        <v>#N/A</v>
      </c>
      <c r="R122" s="71" t="e">
        <f t="shared" ca="1" si="417"/>
        <v>#N/A</v>
      </c>
      <c r="S122" s="71" t="e">
        <f t="shared" ca="1" si="417"/>
        <v>#N/A</v>
      </c>
      <c r="T122" s="71" t="e">
        <f t="shared" ca="1" si="417"/>
        <v>#N/A</v>
      </c>
      <c r="U122" s="71" t="e">
        <f t="shared" ca="1" si="417"/>
        <v>#N/A</v>
      </c>
      <c r="V122" s="71" t="e">
        <f t="shared" ca="1" si="417"/>
        <v>#N/A</v>
      </c>
      <c r="W122" s="71" t="e">
        <f t="shared" ca="1" si="417"/>
        <v>#N/A</v>
      </c>
      <c r="X122" s="71" t="e">
        <f t="shared" ca="1" si="417"/>
        <v>#N/A</v>
      </c>
      <c r="Y122" s="71" t="e">
        <f t="shared" ca="1" si="417"/>
        <v>#N/A</v>
      </c>
      <c r="Z122" s="71" t="e">
        <f t="shared" ca="1" si="417"/>
        <v>#N/A</v>
      </c>
      <c r="AA122" s="71" t="e">
        <f t="shared" ca="1" si="417"/>
        <v>#N/A</v>
      </c>
      <c r="AB122" s="71" t="e">
        <f t="shared" ca="1" si="417"/>
        <v>#N/A</v>
      </c>
      <c r="AC122" s="71" t="e">
        <f t="shared" ca="1" si="417"/>
        <v>#N/A</v>
      </c>
      <c r="AD122" s="71" t="e">
        <f t="shared" ca="1" si="417"/>
        <v>#N/A</v>
      </c>
      <c r="AE122" s="71" t="e">
        <f t="shared" ca="1" si="417"/>
        <v>#N/A</v>
      </c>
      <c r="AF122" s="71" t="e">
        <f t="shared" ca="1" si="417"/>
        <v>#N/A</v>
      </c>
      <c r="AG122" s="71" t="e">
        <f t="shared" ca="1" si="417"/>
        <v>#N/A</v>
      </c>
    </row>
    <row r="123" spans="2:33" x14ac:dyDescent="0.3">
      <c r="B123" s="10" t="s">
        <v>47</v>
      </c>
      <c r="C123" s="22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</row>
    <row r="124" spans="2:33" x14ac:dyDescent="0.3">
      <c r="B124" s="10" t="s">
        <v>48</v>
      </c>
      <c r="C124" s="10"/>
      <c r="D124" s="73">
        <f>$C$21*D144</f>
        <v>93546.666666666701</v>
      </c>
      <c r="E124" s="73">
        <f t="shared" ref="E124:AG124" si="418">$C$21*E144</f>
        <v>89599.135586971737</v>
      </c>
      <c r="F124" s="73">
        <f t="shared" si="418"/>
        <v>85493.703264088981</v>
      </c>
      <c r="G124" s="73">
        <f t="shared" si="418"/>
        <v>81224.053648290908</v>
      </c>
      <c r="H124" s="73">
        <f t="shared" si="418"/>
        <v>76783.618047860931</v>
      </c>
      <c r="I124" s="73">
        <f t="shared" si="418"/>
        <v>72165.565023413743</v>
      </c>
      <c r="J124" s="73">
        <f t="shared" si="418"/>
        <v>67362.78987798866</v>
      </c>
      <c r="K124" s="73">
        <f t="shared" si="418"/>
        <v>62367.903726746583</v>
      </c>
      <c r="L124" s="73">
        <f t="shared" si="418"/>
        <v>57173.222129454822</v>
      </c>
      <c r="M124" s="73">
        <f t="shared" si="418"/>
        <v>51770.753268271386</v>
      </c>
      <c r="N124" s="73">
        <f t="shared" si="418"/>
        <v>46152.185652640612</v>
      </c>
      <c r="O124" s="73">
        <f t="shared" si="418"/>
        <v>40308.87533238461</v>
      </c>
      <c r="P124" s="73">
        <f t="shared" si="418"/>
        <v>34231.832599318361</v>
      </c>
      <c r="Q124" s="73">
        <f t="shared" si="418"/>
        <v>27911.708156929471</v>
      </c>
      <c r="R124" s="73">
        <f t="shared" si="418"/>
        <v>21338.778736845023</v>
      </c>
      <c r="S124" s="73">
        <f t="shared" si="418"/>
        <v>14502.932139957198</v>
      </c>
      <c r="T124" s="73">
        <f t="shared" si="418"/>
        <v>7393.6516791938593</v>
      </c>
      <c r="U124" s="73">
        <f t="shared" si="418"/>
        <v>-1.280568540096283E-11</v>
      </c>
      <c r="V124" s="73">
        <f t="shared" si="418"/>
        <v>-1.280568540096283E-11</v>
      </c>
      <c r="W124" s="73">
        <f t="shared" si="418"/>
        <v>-1.280568540096283E-11</v>
      </c>
      <c r="X124" s="73">
        <f t="shared" si="418"/>
        <v>-1.280568540096283E-11</v>
      </c>
      <c r="Y124" s="73">
        <f t="shared" si="418"/>
        <v>-1.280568540096283E-11</v>
      </c>
      <c r="Z124" s="73">
        <f t="shared" si="418"/>
        <v>-1.280568540096283E-11</v>
      </c>
      <c r="AA124" s="73">
        <f t="shared" si="418"/>
        <v>-1.280568540096283E-11</v>
      </c>
      <c r="AB124" s="73">
        <f t="shared" si="418"/>
        <v>-1.280568540096283E-11</v>
      </c>
      <c r="AC124" s="73">
        <f t="shared" si="418"/>
        <v>-1.280568540096283E-11</v>
      </c>
      <c r="AD124" s="73">
        <f t="shared" si="418"/>
        <v>-1.280568540096283E-11</v>
      </c>
      <c r="AE124" s="73">
        <f t="shared" si="418"/>
        <v>-1.280568540096283E-11</v>
      </c>
      <c r="AF124" s="73">
        <f t="shared" si="418"/>
        <v>-1.280568540096283E-11</v>
      </c>
      <c r="AG124" s="73">
        <f t="shared" si="418"/>
        <v>-1.280568540096283E-11</v>
      </c>
    </row>
    <row r="125" spans="2:33" x14ac:dyDescent="0.3">
      <c r="B125" s="10" t="s">
        <v>49</v>
      </c>
      <c r="C125" s="10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</row>
    <row r="126" spans="2:33" s="49" customFormat="1" x14ac:dyDescent="0.3">
      <c r="B126" s="48"/>
      <c r="C126" s="48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</row>
    <row r="127" spans="2:33" x14ac:dyDescent="0.3">
      <c r="B127" s="22" t="s">
        <v>50</v>
      </c>
      <c r="C127" s="22"/>
      <c r="D127" s="71">
        <f ca="1">D122+D123-D124-D125</f>
        <v>71420.849668755938</v>
      </c>
      <c r="E127" s="71" t="e">
        <f t="shared" ref="E127:W127" ca="1" si="419">E122+E123-E124-E125</f>
        <v>#N/A</v>
      </c>
      <c r="F127" s="71" t="e">
        <f t="shared" ca="1" si="419"/>
        <v>#N/A</v>
      </c>
      <c r="G127" s="71" t="e">
        <f t="shared" ca="1" si="419"/>
        <v>#N/A</v>
      </c>
      <c r="H127" s="71" t="e">
        <f t="shared" ca="1" si="419"/>
        <v>#N/A</v>
      </c>
      <c r="I127" s="71" t="e">
        <f t="shared" ca="1" si="419"/>
        <v>#N/A</v>
      </c>
      <c r="J127" s="71" t="e">
        <f t="shared" ca="1" si="419"/>
        <v>#N/A</v>
      </c>
      <c r="K127" s="71" t="e">
        <f t="shared" ca="1" si="419"/>
        <v>#N/A</v>
      </c>
      <c r="L127" s="71" t="e">
        <f t="shared" ca="1" si="419"/>
        <v>#N/A</v>
      </c>
      <c r="M127" s="71" t="e">
        <f t="shared" ca="1" si="419"/>
        <v>#N/A</v>
      </c>
      <c r="N127" s="71" t="e">
        <f t="shared" ca="1" si="419"/>
        <v>#N/A</v>
      </c>
      <c r="O127" s="71" t="e">
        <f t="shared" ca="1" si="419"/>
        <v>#N/A</v>
      </c>
      <c r="P127" s="71" t="e">
        <f t="shared" ca="1" si="419"/>
        <v>#N/A</v>
      </c>
      <c r="Q127" s="71" t="e">
        <f t="shared" ca="1" si="419"/>
        <v>#N/A</v>
      </c>
      <c r="R127" s="71" t="e">
        <f t="shared" ca="1" si="419"/>
        <v>#N/A</v>
      </c>
      <c r="S127" s="71" t="e">
        <f t="shared" ca="1" si="419"/>
        <v>#N/A</v>
      </c>
      <c r="T127" s="71" t="e">
        <f t="shared" ca="1" si="419"/>
        <v>#N/A</v>
      </c>
      <c r="U127" s="71" t="e">
        <f t="shared" ca="1" si="419"/>
        <v>#N/A</v>
      </c>
      <c r="V127" s="71" t="e">
        <f t="shared" ca="1" si="419"/>
        <v>#N/A</v>
      </c>
      <c r="W127" s="71" t="e">
        <f t="shared" ca="1" si="419"/>
        <v>#N/A</v>
      </c>
      <c r="X127" s="71" t="e">
        <f t="shared" ref="X127:AG127" ca="1" si="420">X122+X123-X124-X125</f>
        <v>#N/A</v>
      </c>
      <c r="Y127" s="71" t="e">
        <f t="shared" ca="1" si="420"/>
        <v>#N/A</v>
      </c>
      <c r="Z127" s="71" t="e">
        <f t="shared" ca="1" si="420"/>
        <v>#N/A</v>
      </c>
      <c r="AA127" s="71" t="e">
        <f t="shared" ca="1" si="420"/>
        <v>#N/A</v>
      </c>
      <c r="AB127" s="71" t="e">
        <f t="shared" ca="1" si="420"/>
        <v>#N/A</v>
      </c>
      <c r="AC127" s="71" t="e">
        <f t="shared" ca="1" si="420"/>
        <v>#N/A</v>
      </c>
      <c r="AD127" s="71" t="e">
        <f t="shared" ca="1" si="420"/>
        <v>#N/A</v>
      </c>
      <c r="AE127" s="71" t="e">
        <f t="shared" ca="1" si="420"/>
        <v>#N/A</v>
      </c>
      <c r="AF127" s="71" t="e">
        <f t="shared" ca="1" si="420"/>
        <v>#N/A</v>
      </c>
      <c r="AG127" s="71" t="e">
        <f t="shared" ca="1" si="420"/>
        <v>#N/A</v>
      </c>
    </row>
    <row r="128" spans="2:33" x14ac:dyDescent="0.3">
      <c r="B128" s="10" t="s">
        <v>51</v>
      </c>
      <c r="C128" s="10"/>
      <c r="D128" s="73">
        <f ca="1">IF(D151&lt;0,0,D151*25%)</f>
        <v>17855.212417188985</v>
      </c>
      <c r="E128" s="73" t="e">
        <f t="shared" ref="E128:AG128" ca="1" si="421">IF(E151&lt;0,0,E151*25%)</f>
        <v>#N/A</v>
      </c>
      <c r="F128" s="73" t="e">
        <f t="shared" ca="1" si="421"/>
        <v>#N/A</v>
      </c>
      <c r="G128" s="73" t="e">
        <f t="shared" ca="1" si="421"/>
        <v>#N/A</v>
      </c>
      <c r="H128" s="73" t="e">
        <f t="shared" ca="1" si="421"/>
        <v>#N/A</v>
      </c>
      <c r="I128" s="73" t="e">
        <f t="shared" ca="1" si="421"/>
        <v>#N/A</v>
      </c>
      <c r="J128" s="73" t="e">
        <f t="shared" ca="1" si="421"/>
        <v>#N/A</v>
      </c>
      <c r="K128" s="73" t="e">
        <f t="shared" ca="1" si="421"/>
        <v>#N/A</v>
      </c>
      <c r="L128" s="73" t="e">
        <f t="shared" ca="1" si="421"/>
        <v>#N/A</v>
      </c>
      <c r="M128" s="73" t="e">
        <f t="shared" ca="1" si="421"/>
        <v>#N/A</v>
      </c>
      <c r="N128" s="73" t="e">
        <f t="shared" ca="1" si="421"/>
        <v>#N/A</v>
      </c>
      <c r="O128" s="73" t="e">
        <f t="shared" ca="1" si="421"/>
        <v>#N/A</v>
      </c>
      <c r="P128" s="73" t="e">
        <f t="shared" ca="1" si="421"/>
        <v>#N/A</v>
      </c>
      <c r="Q128" s="73" t="e">
        <f t="shared" ca="1" si="421"/>
        <v>#N/A</v>
      </c>
      <c r="R128" s="73" t="e">
        <f t="shared" ca="1" si="421"/>
        <v>#N/A</v>
      </c>
      <c r="S128" s="73" t="e">
        <f t="shared" ca="1" si="421"/>
        <v>#N/A</v>
      </c>
      <c r="T128" s="73" t="e">
        <f t="shared" ca="1" si="421"/>
        <v>#N/A</v>
      </c>
      <c r="U128" s="73" t="e">
        <f t="shared" ca="1" si="421"/>
        <v>#N/A</v>
      </c>
      <c r="V128" s="73" t="e">
        <f t="shared" ca="1" si="421"/>
        <v>#N/A</v>
      </c>
      <c r="W128" s="73" t="e">
        <f t="shared" ca="1" si="421"/>
        <v>#N/A</v>
      </c>
      <c r="X128" s="73" t="e">
        <f t="shared" ca="1" si="421"/>
        <v>#N/A</v>
      </c>
      <c r="Y128" s="73" t="e">
        <f t="shared" ca="1" si="421"/>
        <v>#N/A</v>
      </c>
      <c r="Z128" s="73" t="e">
        <f t="shared" ca="1" si="421"/>
        <v>#N/A</v>
      </c>
      <c r="AA128" s="73" t="e">
        <f t="shared" ca="1" si="421"/>
        <v>#N/A</v>
      </c>
      <c r="AB128" s="73" t="e">
        <f t="shared" ca="1" si="421"/>
        <v>#N/A</v>
      </c>
      <c r="AC128" s="73" t="e">
        <f t="shared" ca="1" si="421"/>
        <v>#N/A</v>
      </c>
      <c r="AD128" s="73" t="e">
        <f t="shared" ca="1" si="421"/>
        <v>#N/A</v>
      </c>
      <c r="AE128" s="73" t="e">
        <f t="shared" ca="1" si="421"/>
        <v>#N/A</v>
      </c>
      <c r="AF128" s="73" t="e">
        <f t="shared" ca="1" si="421"/>
        <v>#N/A</v>
      </c>
      <c r="AG128" s="73" t="e">
        <f t="shared" ca="1" si="421"/>
        <v>#N/A</v>
      </c>
    </row>
    <row r="129" spans="2:33" x14ac:dyDescent="0.3">
      <c r="B129" s="10" t="s">
        <v>52</v>
      </c>
      <c r="C129" s="10"/>
      <c r="D129" s="70">
        <f ca="1">D128/D127</f>
        <v>0.25</v>
      </c>
      <c r="E129" s="70" t="e">
        <f t="shared" ref="E129:W129" ca="1" si="422">E128/E127</f>
        <v>#N/A</v>
      </c>
      <c r="F129" s="70" t="e">
        <f t="shared" ca="1" si="422"/>
        <v>#N/A</v>
      </c>
      <c r="G129" s="70" t="e">
        <f t="shared" ca="1" si="422"/>
        <v>#N/A</v>
      </c>
      <c r="H129" s="70" t="e">
        <f t="shared" ca="1" si="422"/>
        <v>#N/A</v>
      </c>
      <c r="I129" s="70" t="e">
        <f t="shared" ca="1" si="422"/>
        <v>#N/A</v>
      </c>
      <c r="J129" s="70" t="e">
        <f t="shared" ca="1" si="422"/>
        <v>#N/A</v>
      </c>
      <c r="K129" s="70" t="e">
        <f t="shared" ca="1" si="422"/>
        <v>#N/A</v>
      </c>
      <c r="L129" s="70" t="e">
        <f t="shared" ca="1" si="422"/>
        <v>#N/A</v>
      </c>
      <c r="M129" s="70" t="e">
        <f t="shared" ca="1" si="422"/>
        <v>#N/A</v>
      </c>
      <c r="N129" s="70" t="e">
        <f t="shared" ca="1" si="422"/>
        <v>#N/A</v>
      </c>
      <c r="O129" s="70" t="e">
        <f t="shared" ca="1" si="422"/>
        <v>#N/A</v>
      </c>
      <c r="P129" s="70" t="e">
        <f t="shared" ca="1" si="422"/>
        <v>#N/A</v>
      </c>
      <c r="Q129" s="70" t="e">
        <f t="shared" ca="1" si="422"/>
        <v>#N/A</v>
      </c>
      <c r="R129" s="70" t="e">
        <f t="shared" ca="1" si="422"/>
        <v>#N/A</v>
      </c>
      <c r="S129" s="70" t="e">
        <f t="shared" ca="1" si="422"/>
        <v>#N/A</v>
      </c>
      <c r="T129" s="70" t="e">
        <f t="shared" ca="1" si="422"/>
        <v>#N/A</v>
      </c>
      <c r="U129" s="70" t="e">
        <f t="shared" ca="1" si="422"/>
        <v>#N/A</v>
      </c>
      <c r="V129" s="70" t="e">
        <f t="shared" ca="1" si="422"/>
        <v>#N/A</v>
      </c>
      <c r="W129" s="70" t="e">
        <f t="shared" ca="1" si="422"/>
        <v>#N/A</v>
      </c>
      <c r="X129" s="70" t="e">
        <f t="shared" ref="X129:AG129" ca="1" si="423">X128/X127</f>
        <v>#N/A</v>
      </c>
      <c r="Y129" s="70" t="e">
        <f t="shared" ca="1" si="423"/>
        <v>#N/A</v>
      </c>
      <c r="Z129" s="70" t="e">
        <f t="shared" ca="1" si="423"/>
        <v>#N/A</v>
      </c>
      <c r="AA129" s="70" t="e">
        <f t="shared" ca="1" si="423"/>
        <v>#N/A</v>
      </c>
      <c r="AB129" s="70" t="e">
        <f t="shared" ca="1" si="423"/>
        <v>#N/A</v>
      </c>
      <c r="AC129" s="70" t="e">
        <f t="shared" ca="1" si="423"/>
        <v>#N/A</v>
      </c>
      <c r="AD129" s="70" t="e">
        <f t="shared" ca="1" si="423"/>
        <v>#N/A</v>
      </c>
      <c r="AE129" s="70" t="e">
        <f t="shared" ca="1" si="423"/>
        <v>#N/A</v>
      </c>
      <c r="AF129" s="70" t="e">
        <f t="shared" ca="1" si="423"/>
        <v>#N/A</v>
      </c>
      <c r="AG129" s="70" t="e">
        <f t="shared" ca="1" si="423"/>
        <v>#N/A</v>
      </c>
    </row>
    <row r="130" spans="2:33" s="49" customFormat="1" x14ac:dyDescent="0.3">
      <c r="B130" s="48"/>
      <c r="C130" s="48"/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69"/>
      <c r="W130" s="69"/>
      <c r="X130" s="69"/>
      <c r="Y130" s="69"/>
      <c r="Z130" s="69"/>
      <c r="AA130" s="69"/>
      <c r="AB130" s="69"/>
      <c r="AC130" s="69"/>
      <c r="AD130" s="69"/>
      <c r="AE130" s="69"/>
      <c r="AF130" s="69"/>
      <c r="AG130" s="69"/>
    </row>
    <row r="131" spans="2:33" x14ac:dyDescent="0.3">
      <c r="B131" s="22" t="s">
        <v>53</v>
      </c>
      <c r="C131" s="22"/>
      <c r="D131" s="71">
        <f ca="1">D127-D128</f>
        <v>53565.63725156695</v>
      </c>
      <c r="E131" s="71" t="e">
        <f t="shared" ref="E131:W131" ca="1" si="424">E127-E128</f>
        <v>#N/A</v>
      </c>
      <c r="F131" s="71" t="e">
        <f t="shared" ca="1" si="424"/>
        <v>#N/A</v>
      </c>
      <c r="G131" s="71" t="e">
        <f t="shared" ca="1" si="424"/>
        <v>#N/A</v>
      </c>
      <c r="H131" s="71" t="e">
        <f t="shared" ca="1" si="424"/>
        <v>#N/A</v>
      </c>
      <c r="I131" s="71" t="e">
        <f t="shared" ca="1" si="424"/>
        <v>#N/A</v>
      </c>
      <c r="J131" s="71" t="e">
        <f t="shared" ca="1" si="424"/>
        <v>#N/A</v>
      </c>
      <c r="K131" s="71" t="e">
        <f t="shared" ca="1" si="424"/>
        <v>#N/A</v>
      </c>
      <c r="L131" s="71" t="e">
        <f t="shared" ca="1" si="424"/>
        <v>#N/A</v>
      </c>
      <c r="M131" s="71" t="e">
        <f t="shared" ca="1" si="424"/>
        <v>#N/A</v>
      </c>
      <c r="N131" s="71" t="e">
        <f t="shared" ca="1" si="424"/>
        <v>#N/A</v>
      </c>
      <c r="O131" s="71" t="e">
        <f t="shared" ca="1" si="424"/>
        <v>#N/A</v>
      </c>
      <c r="P131" s="71" t="e">
        <f t="shared" ca="1" si="424"/>
        <v>#N/A</v>
      </c>
      <c r="Q131" s="71" t="e">
        <f t="shared" ca="1" si="424"/>
        <v>#N/A</v>
      </c>
      <c r="R131" s="71" t="e">
        <f t="shared" ca="1" si="424"/>
        <v>#N/A</v>
      </c>
      <c r="S131" s="71" t="e">
        <f t="shared" ca="1" si="424"/>
        <v>#N/A</v>
      </c>
      <c r="T131" s="71" t="e">
        <f t="shared" ca="1" si="424"/>
        <v>#N/A</v>
      </c>
      <c r="U131" s="71" t="e">
        <f t="shared" ca="1" si="424"/>
        <v>#N/A</v>
      </c>
      <c r="V131" s="71" t="e">
        <f t="shared" ca="1" si="424"/>
        <v>#N/A</v>
      </c>
      <c r="W131" s="71" t="e">
        <f t="shared" ca="1" si="424"/>
        <v>#N/A</v>
      </c>
      <c r="X131" s="71" t="e">
        <f t="shared" ref="X131:AG131" ca="1" si="425">X127-X128</f>
        <v>#N/A</v>
      </c>
      <c r="Y131" s="71" t="e">
        <f t="shared" ca="1" si="425"/>
        <v>#N/A</v>
      </c>
      <c r="Z131" s="71" t="e">
        <f t="shared" ca="1" si="425"/>
        <v>#N/A</v>
      </c>
      <c r="AA131" s="71" t="e">
        <f t="shared" ca="1" si="425"/>
        <v>#N/A</v>
      </c>
      <c r="AB131" s="71" t="e">
        <f t="shared" ca="1" si="425"/>
        <v>#N/A</v>
      </c>
      <c r="AC131" s="71" t="e">
        <f t="shared" ca="1" si="425"/>
        <v>#N/A</v>
      </c>
      <c r="AD131" s="71" t="e">
        <f t="shared" ca="1" si="425"/>
        <v>#N/A</v>
      </c>
      <c r="AE131" s="71" t="e">
        <f t="shared" ca="1" si="425"/>
        <v>#N/A</v>
      </c>
      <c r="AF131" s="71" t="e">
        <f t="shared" ca="1" si="425"/>
        <v>#N/A</v>
      </c>
      <c r="AG131" s="71" t="e">
        <f t="shared" ca="1" si="425"/>
        <v>#N/A</v>
      </c>
    </row>
    <row r="133" spans="2:33" x14ac:dyDescent="0.3">
      <c r="B133" s="5" t="s">
        <v>54</v>
      </c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</row>
    <row r="134" spans="2:33" x14ac:dyDescent="0.3"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</row>
    <row r="135" spans="2:33" x14ac:dyDescent="0.3">
      <c r="B135" s="10" t="s">
        <v>55</v>
      </c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2:33" x14ac:dyDescent="0.3">
      <c r="B136" s="10" t="s">
        <v>56</v>
      </c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2:33" x14ac:dyDescent="0.3">
      <c r="B137" s="10" t="s">
        <v>57</v>
      </c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2:33" x14ac:dyDescent="0.3">
      <c r="B138" s="10" t="s">
        <v>58</v>
      </c>
      <c r="C138" s="44"/>
      <c r="D138" s="44">
        <f t="shared" ref="D138:AG138" si="426">IFERROR(PPMT($C$21,D$142,$C$22,$C$18),0)</f>
        <v>-98688.276992373954</v>
      </c>
      <c r="E138" s="44">
        <f t="shared" si="426"/>
        <v>-102635.80807206892</v>
      </c>
      <c r="F138" s="44">
        <f t="shared" si="426"/>
        <v>-106741.2403949517</v>
      </c>
      <c r="G138" s="44">
        <f t="shared" si="426"/>
        <v>-111010.89001074976</v>
      </c>
      <c r="H138" s="44">
        <f t="shared" si="426"/>
        <v>-115451.32561117974</v>
      </c>
      <c r="I138" s="44">
        <f t="shared" si="426"/>
        <v>-120069.37863562694</v>
      </c>
      <c r="J138" s="44">
        <f t="shared" si="426"/>
        <v>-124872.15378105201</v>
      </c>
      <c r="K138" s="44">
        <f t="shared" si="426"/>
        <v>-129867.03993229408</v>
      </c>
      <c r="L138" s="44">
        <f t="shared" si="426"/>
        <v>-135061.72152958583</v>
      </c>
      <c r="M138" s="44">
        <f t="shared" si="426"/>
        <v>-140464.19039076928</v>
      </c>
      <c r="N138" s="44">
        <f t="shared" si="426"/>
        <v>-146082.75800640005</v>
      </c>
      <c r="O138" s="44">
        <f t="shared" si="426"/>
        <v>-151926.06832665607</v>
      </c>
      <c r="P138" s="44">
        <f t="shared" si="426"/>
        <v>-158003.11105972229</v>
      </c>
      <c r="Q138" s="44">
        <f t="shared" si="426"/>
        <v>-164323.2355021112</v>
      </c>
      <c r="R138" s="44">
        <f t="shared" si="426"/>
        <v>-170896.16492219563</v>
      </c>
      <c r="S138" s="44">
        <f t="shared" si="426"/>
        <v>-177732.01151908346</v>
      </c>
      <c r="T138" s="44">
        <f t="shared" si="426"/>
        <v>-184841.29197984681</v>
      </c>
      <c r="U138" s="44">
        <f t="shared" si="426"/>
        <v>0</v>
      </c>
      <c r="V138" s="44">
        <f t="shared" si="426"/>
        <v>0</v>
      </c>
      <c r="W138" s="44">
        <f t="shared" si="426"/>
        <v>0</v>
      </c>
      <c r="X138" s="44">
        <f t="shared" si="426"/>
        <v>0</v>
      </c>
      <c r="Y138" s="44">
        <f t="shared" si="426"/>
        <v>0</v>
      </c>
      <c r="Z138" s="44">
        <f t="shared" si="426"/>
        <v>0</v>
      </c>
      <c r="AA138" s="44">
        <f t="shared" si="426"/>
        <v>0</v>
      </c>
      <c r="AB138" s="44">
        <f t="shared" si="426"/>
        <v>0</v>
      </c>
      <c r="AC138" s="44">
        <f t="shared" si="426"/>
        <v>0</v>
      </c>
      <c r="AD138" s="44">
        <f t="shared" si="426"/>
        <v>0</v>
      </c>
      <c r="AE138" s="44">
        <f t="shared" si="426"/>
        <v>0</v>
      </c>
      <c r="AF138" s="44">
        <f t="shared" si="426"/>
        <v>0</v>
      </c>
      <c r="AG138" s="44">
        <f t="shared" si="426"/>
        <v>0</v>
      </c>
    </row>
    <row r="139" spans="2:33" x14ac:dyDescent="0.3">
      <c r="B139" s="10" t="s">
        <v>59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2:33" x14ac:dyDescent="0.3">
      <c r="B140" s="10" t="s">
        <v>60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  <row r="142" spans="2:33" x14ac:dyDescent="0.3">
      <c r="B142" s="7" t="s">
        <v>61</v>
      </c>
      <c r="C142" s="6"/>
      <c r="D142" s="6">
        <v>1</v>
      </c>
      <c r="E142" s="6">
        <v>2</v>
      </c>
      <c r="F142" s="6">
        <v>3</v>
      </c>
      <c r="G142" s="6">
        <v>4</v>
      </c>
      <c r="H142" s="6">
        <v>5</v>
      </c>
      <c r="I142" s="6">
        <v>6</v>
      </c>
      <c r="J142" s="6">
        <v>7</v>
      </c>
      <c r="K142" s="6">
        <v>8</v>
      </c>
      <c r="L142" s="6">
        <v>9</v>
      </c>
      <c r="M142" s="6">
        <v>10</v>
      </c>
      <c r="N142" s="6">
        <v>11</v>
      </c>
      <c r="O142" s="6">
        <v>12</v>
      </c>
      <c r="P142" s="6">
        <v>13</v>
      </c>
      <c r="Q142" s="6">
        <v>14</v>
      </c>
      <c r="R142" s="6">
        <v>15</v>
      </c>
      <c r="S142" s="6">
        <v>16</v>
      </c>
      <c r="T142" s="6">
        <v>17</v>
      </c>
      <c r="U142" s="6">
        <v>18</v>
      </c>
      <c r="V142" s="6">
        <v>19</v>
      </c>
      <c r="W142" s="6">
        <v>20</v>
      </c>
      <c r="X142" s="6">
        <v>21</v>
      </c>
      <c r="Y142" s="6">
        <v>22</v>
      </c>
      <c r="Z142" s="6">
        <v>23</v>
      </c>
      <c r="AA142" s="6">
        <v>24</v>
      </c>
      <c r="AB142" s="6">
        <v>25</v>
      </c>
      <c r="AC142" s="6">
        <v>26</v>
      </c>
      <c r="AD142" s="6">
        <v>27</v>
      </c>
      <c r="AE142" s="6">
        <v>28</v>
      </c>
      <c r="AF142" s="6">
        <v>29</v>
      </c>
      <c r="AG142" s="6">
        <v>30</v>
      </c>
    </row>
    <row r="144" spans="2:33" x14ac:dyDescent="0.3">
      <c r="B144" s="10" t="s">
        <v>62</v>
      </c>
      <c r="C144" s="20"/>
      <c r="D144" s="37">
        <f>C18</f>
        <v>2338666.6666666674</v>
      </c>
      <c r="E144" s="37">
        <f>D148</f>
        <v>2239978.3896742933</v>
      </c>
      <c r="F144" s="37">
        <f>E148</f>
        <v>2137342.5816022246</v>
      </c>
      <c r="G144" s="37">
        <f t="shared" ref="G144:V144" si="427">F148</f>
        <v>2030601.3412072728</v>
      </c>
      <c r="H144" s="37">
        <f t="shared" si="427"/>
        <v>1919590.4511965232</v>
      </c>
      <c r="I144" s="37">
        <f t="shared" si="427"/>
        <v>1804139.1255853435</v>
      </c>
      <c r="J144" s="37">
        <f t="shared" si="427"/>
        <v>1684069.7469497165</v>
      </c>
      <c r="K144" s="37">
        <f t="shared" si="427"/>
        <v>1559197.5931686645</v>
      </c>
      <c r="L144" s="37">
        <f t="shared" si="427"/>
        <v>1429330.5532363704</v>
      </c>
      <c r="M144" s="37">
        <f t="shared" si="427"/>
        <v>1294268.8317067847</v>
      </c>
      <c r="N144" s="37">
        <f t="shared" si="427"/>
        <v>1153804.6413160153</v>
      </c>
      <c r="O144" s="37">
        <f t="shared" si="427"/>
        <v>1007721.8833096152</v>
      </c>
      <c r="P144" s="37">
        <f t="shared" si="427"/>
        <v>855795.81498295907</v>
      </c>
      <c r="Q144" s="37">
        <f t="shared" si="427"/>
        <v>697792.70392323681</v>
      </c>
      <c r="R144" s="37">
        <f t="shared" si="427"/>
        <v>533469.46842112555</v>
      </c>
      <c r="S144" s="37">
        <f t="shared" si="427"/>
        <v>362573.30349892995</v>
      </c>
      <c r="T144" s="37">
        <f t="shared" si="427"/>
        <v>184841.29197984649</v>
      </c>
      <c r="U144" s="37">
        <f t="shared" si="427"/>
        <v>-3.2014213502407074E-10</v>
      </c>
      <c r="V144" s="37">
        <f t="shared" si="427"/>
        <v>-3.2014213502407074E-10</v>
      </c>
      <c r="W144" s="37">
        <f>V148</f>
        <v>-3.2014213502407074E-10</v>
      </c>
      <c r="X144" s="37">
        <f t="shared" ref="X144:AG144" si="428">W148</f>
        <v>-3.2014213502407074E-10</v>
      </c>
      <c r="Y144" s="37">
        <f t="shared" si="428"/>
        <v>-3.2014213502407074E-10</v>
      </c>
      <c r="Z144" s="37">
        <f t="shared" si="428"/>
        <v>-3.2014213502407074E-10</v>
      </c>
      <c r="AA144" s="37">
        <f t="shared" si="428"/>
        <v>-3.2014213502407074E-10</v>
      </c>
      <c r="AB144" s="37">
        <f t="shared" si="428"/>
        <v>-3.2014213502407074E-10</v>
      </c>
      <c r="AC144" s="37">
        <f t="shared" si="428"/>
        <v>-3.2014213502407074E-10</v>
      </c>
      <c r="AD144" s="37">
        <f t="shared" si="428"/>
        <v>-3.2014213502407074E-10</v>
      </c>
      <c r="AE144" s="37">
        <f t="shared" si="428"/>
        <v>-3.2014213502407074E-10</v>
      </c>
      <c r="AF144" s="37">
        <f t="shared" si="428"/>
        <v>-3.2014213502407074E-10</v>
      </c>
      <c r="AG144" s="37">
        <f t="shared" si="428"/>
        <v>-3.2014213502407074E-10</v>
      </c>
    </row>
    <row r="145" spans="2:33" x14ac:dyDescent="0.3">
      <c r="B145" s="10" t="s">
        <v>63</v>
      </c>
      <c r="D145" s="37">
        <f>D124</f>
        <v>93546.666666666701</v>
      </c>
      <c r="E145" s="37">
        <f t="shared" ref="E145:W145" si="429">E124</f>
        <v>89599.135586971737</v>
      </c>
      <c r="F145" s="37">
        <f t="shared" si="429"/>
        <v>85493.703264088981</v>
      </c>
      <c r="G145" s="37">
        <f t="shared" si="429"/>
        <v>81224.053648290908</v>
      </c>
      <c r="H145" s="37">
        <f t="shared" si="429"/>
        <v>76783.618047860931</v>
      </c>
      <c r="I145" s="37">
        <f t="shared" si="429"/>
        <v>72165.565023413743</v>
      </c>
      <c r="J145" s="37">
        <f t="shared" si="429"/>
        <v>67362.78987798866</v>
      </c>
      <c r="K145" s="37">
        <f t="shared" si="429"/>
        <v>62367.903726746583</v>
      </c>
      <c r="L145" s="37">
        <f t="shared" si="429"/>
        <v>57173.222129454822</v>
      </c>
      <c r="M145" s="37">
        <f t="shared" si="429"/>
        <v>51770.753268271386</v>
      </c>
      <c r="N145" s="37">
        <f t="shared" si="429"/>
        <v>46152.185652640612</v>
      </c>
      <c r="O145" s="37">
        <f t="shared" si="429"/>
        <v>40308.87533238461</v>
      </c>
      <c r="P145" s="37">
        <f t="shared" si="429"/>
        <v>34231.832599318361</v>
      </c>
      <c r="Q145" s="37">
        <f t="shared" si="429"/>
        <v>27911.708156929471</v>
      </c>
      <c r="R145" s="37">
        <f t="shared" si="429"/>
        <v>21338.778736845023</v>
      </c>
      <c r="S145" s="37">
        <f t="shared" si="429"/>
        <v>14502.932139957198</v>
      </c>
      <c r="T145" s="37">
        <f t="shared" si="429"/>
        <v>7393.6516791938593</v>
      </c>
      <c r="U145" s="37">
        <f t="shared" si="429"/>
        <v>-1.280568540096283E-11</v>
      </c>
      <c r="V145" s="37">
        <f t="shared" si="429"/>
        <v>-1.280568540096283E-11</v>
      </c>
      <c r="W145" s="37">
        <f t="shared" si="429"/>
        <v>-1.280568540096283E-11</v>
      </c>
      <c r="X145" s="37">
        <f t="shared" ref="X145:AG145" si="430">X124</f>
        <v>-1.280568540096283E-11</v>
      </c>
      <c r="Y145" s="37">
        <f t="shared" si="430"/>
        <v>-1.280568540096283E-11</v>
      </c>
      <c r="Z145" s="37">
        <f t="shared" si="430"/>
        <v>-1.280568540096283E-11</v>
      </c>
      <c r="AA145" s="37">
        <f t="shared" si="430"/>
        <v>-1.280568540096283E-11</v>
      </c>
      <c r="AB145" s="37">
        <f t="shared" si="430"/>
        <v>-1.280568540096283E-11</v>
      </c>
      <c r="AC145" s="37">
        <f t="shared" si="430"/>
        <v>-1.280568540096283E-11</v>
      </c>
      <c r="AD145" s="37">
        <f t="shared" si="430"/>
        <v>-1.280568540096283E-11</v>
      </c>
      <c r="AE145" s="37">
        <f t="shared" si="430"/>
        <v>-1.280568540096283E-11</v>
      </c>
      <c r="AF145" s="37">
        <f t="shared" si="430"/>
        <v>-1.280568540096283E-11</v>
      </c>
      <c r="AG145" s="37">
        <f t="shared" si="430"/>
        <v>-1.280568540096283E-11</v>
      </c>
    </row>
    <row r="146" spans="2:33" x14ac:dyDescent="0.3">
      <c r="B146" s="10" t="s">
        <v>64</v>
      </c>
      <c r="D146" s="37">
        <f>-D138</f>
        <v>98688.276992373954</v>
      </c>
      <c r="E146" s="37">
        <f t="shared" ref="E146:W146" si="431">-E138</f>
        <v>102635.80807206892</v>
      </c>
      <c r="F146" s="37">
        <f t="shared" si="431"/>
        <v>106741.2403949517</v>
      </c>
      <c r="G146" s="37">
        <f t="shared" si="431"/>
        <v>111010.89001074976</v>
      </c>
      <c r="H146" s="37">
        <f t="shared" si="431"/>
        <v>115451.32561117974</v>
      </c>
      <c r="I146" s="37">
        <f t="shared" si="431"/>
        <v>120069.37863562694</v>
      </c>
      <c r="J146" s="37">
        <f t="shared" si="431"/>
        <v>124872.15378105201</v>
      </c>
      <c r="K146" s="37">
        <f t="shared" si="431"/>
        <v>129867.03993229408</v>
      </c>
      <c r="L146" s="37">
        <f t="shared" si="431"/>
        <v>135061.72152958583</v>
      </c>
      <c r="M146" s="37">
        <f t="shared" si="431"/>
        <v>140464.19039076928</v>
      </c>
      <c r="N146" s="37">
        <f t="shared" si="431"/>
        <v>146082.75800640005</v>
      </c>
      <c r="O146" s="37">
        <f t="shared" si="431"/>
        <v>151926.06832665607</v>
      </c>
      <c r="P146" s="37">
        <f t="shared" si="431"/>
        <v>158003.11105972229</v>
      </c>
      <c r="Q146" s="37">
        <f t="shared" si="431"/>
        <v>164323.2355021112</v>
      </c>
      <c r="R146" s="37">
        <f t="shared" si="431"/>
        <v>170896.16492219563</v>
      </c>
      <c r="S146" s="37">
        <f t="shared" si="431"/>
        <v>177732.01151908346</v>
      </c>
      <c r="T146" s="37">
        <f t="shared" si="431"/>
        <v>184841.29197984681</v>
      </c>
      <c r="U146" s="37">
        <f t="shared" si="431"/>
        <v>0</v>
      </c>
      <c r="V146" s="37">
        <f t="shared" si="431"/>
        <v>0</v>
      </c>
      <c r="W146" s="37">
        <f t="shared" si="431"/>
        <v>0</v>
      </c>
      <c r="X146" s="37">
        <f t="shared" ref="X146:AG146" si="432">-X138</f>
        <v>0</v>
      </c>
      <c r="Y146" s="37">
        <f t="shared" si="432"/>
        <v>0</v>
      </c>
      <c r="Z146" s="37">
        <f t="shared" si="432"/>
        <v>0</v>
      </c>
      <c r="AA146" s="37">
        <f t="shared" si="432"/>
        <v>0</v>
      </c>
      <c r="AB146" s="37">
        <f t="shared" si="432"/>
        <v>0</v>
      </c>
      <c r="AC146" s="37">
        <f t="shared" si="432"/>
        <v>0</v>
      </c>
      <c r="AD146" s="37">
        <f t="shared" si="432"/>
        <v>0</v>
      </c>
      <c r="AE146" s="37">
        <f t="shared" si="432"/>
        <v>0</v>
      </c>
      <c r="AF146" s="37">
        <f t="shared" si="432"/>
        <v>0</v>
      </c>
      <c r="AG146" s="37">
        <f t="shared" si="432"/>
        <v>0</v>
      </c>
    </row>
    <row r="147" spans="2:33" x14ac:dyDescent="0.3">
      <c r="B147" s="10" t="s">
        <v>65</v>
      </c>
      <c r="D147" s="37">
        <f>D145+D146</f>
        <v>192234.94365904067</v>
      </c>
      <c r="E147" s="37">
        <f t="shared" ref="E147:W147" si="433">E145+E146</f>
        <v>192234.94365904067</v>
      </c>
      <c r="F147" s="37">
        <f t="shared" si="433"/>
        <v>192234.94365904067</v>
      </c>
      <c r="G147" s="37">
        <f t="shared" si="433"/>
        <v>192234.94365904067</v>
      </c>
      <c r="H147" s="37">
        <f t="shared" si="433"/>
        <v>192234.94365904067</v>
      </c>
      <c r="I147" s="37">
        <f t="shared" si="433"/>
        <v>192234.94365904067</v>
      </c>
      <c r="J147" s="37">
        <f t="shared" si="433"/>
        <v>192234.94365904067</v>
      </c>
      <c r="K147" s="37">
        <f t="shared" si="433"/>
        <v>192234.94365904067</v>
      </c>
      <c r="L147" s="37">
        <f t="shared" si="433"/>
        <v>192234.94365904067</v>
      </c>
      <c r="M147" s="37">
        <f t="shared" si="433"/>
        <v>192234.94365904067</v>
      </c>
      <c r="N147" s="37">
        <f t="shared" si="433"/>
        <v>192234.94365904067</v>
      </c>
      <c r="O147" s="37">
        <f t="shared" si="433"/>
        <v>192234.94365904067</v>
      </c>
      <c r="P147" s="37">
        <f t="shared" si="433"/>
        <v>192234.94365904064</v>
      </c>
      <c r="Q147" s="37">
        <f t="shared" si="433"/>
        <v>192234.94365904067</v>
      </c>
      <c r="R147" s="37">
        <f t="shared" si="433"/>
        <v>192234.94365904067</v>
      </c>
      <c r="S147" s="37">
        <f t="shared" si="433"/>
        <v>192234.94365904067</v>
      </c>
      <c r="T147" s="37">
        <f t="shared" si="433"/>
        <v>192234.94365904067</v>
      </c>
      <c r="U147" s="37">
        <f t="shared" si="433"/>
        <v>-1.280568540096283E-11</v>
      </c>
      <c r="V147" s="37">
        <f t="shared" si="433"/>
        <v>-1.280568540096283E-11</v>
      </c>
      <c r="W147" s="37">
        <f t="shared" si="433"/>
        <v>-1.280568540096283E-11</v>
      </c>
      <c r="X147" s="37">
        <f t="shared" ref="X147:AG147" si="434">X145+X146</f>
        <v>-1.280568540096283E-11</v>
      </c>
      <c r="Y147" s="37">
        <f t="shared" si="434"/>
        <v>-1.280568540096283E-11</v>
      </c>
      <c r="Z147" s="37">
        <f t="shared" si="434"/>
        <v>-1.280568540096283E-11</v>
      </c>
      <c r="AA147" s="37">
        <f t="shared" si="434"/>
        <v>-1.280568540096283E-11</v>
      </c>
      <c r="AB147" s="37">
        <f t="shared" si="434"/>
        <v>-1.280568540096283E-11</v>
      </c>
      <c r="AC147" s="37">
        <f t="shared" si="434"/>
        <v>-1.280568540096283E-11</v>
      </c>
      <c r="AD147" s="37">
        <f t="shared" si="434"/>
        <v>-1.280568540096283E-11</v>
      </c>
      <c r="AE147" s="37">
        <f t="shared" si="434"/>
        <v>-1.280568540096283E-11</v>
      </c>
      <c r="AF147" s="37">
        <f t="shared" si="434"/>
        <v>-1.280568540096283E-11</v>
      </c>
      <c r="AG147" s="37">
        <f t="shared" si="434"/>
        <v>-1.280568540096283E-11</v>
      </c>
    </row>
    <row r="148" spans="2:33" x14ac:dyDescent="0.3">
      <c r="B148" s="10" t="s">
        <v>66</v>
      </c>
      <c r="D148" s="37">
        <f>D144-D146</f>
        <v>2239978.3896742933</v>
      </c>
      <c r="E148" s="37">
        <f>E144-E146</f>
        <v>2137342.5816022246</v>
      </c>
      <c r="F148" s="37">
        <f t="shared" ref="F148:W148" si="435">F144-F146</f>
        <v>2030601.3412072728</v>
      </c>
      <c r="G148" s="37">
        <f t="shared" si="435"/>
        <v>1919590.4511965232</v>
      </c>
      <c r="H148" s="37">
        <f t="shared" si="435"/>
        <v>1804139.1255853435</v>
      </c>
      <c r="I148" s="37">
        <f t="shared" si="435"/>
        <v>1684069.7469497165</v>
      </c>
      <c r="J148" s="37">
        <f t="shared" si="435"/>
        <v>1559197.5931686645</v>
      </c>
      <c r="K148" s="37">
        <f t="shared" si="435"/>
        <v>1429330.5532363704</v>
      </c>
      <c r="L148" s="37">
        <f t="shared" si="435"/>
        <v>1294268.8317067847</v>
      </c>
      <c r="M148" s="37">
        <f t="shared" si="435"/>
        <v>1153804.6413160153</v>
      </c>
      <c r="N148" s="37">
        <f t="shared" si="435"/>
        <v>1007721.8833096152</v>
      </c>
      <c r="O148" s="37">
        <f t="shared" si="435"/>
        <v>855795.81498295907</v>
      </c>
      <c r="P148" s="37">
        <f t="shared" si="435"/>
        <v>697792.70392323681</v>
      </c>
      <c r="Q148" s="37">
        <f t="shared" si="435"/>
        <v>533469.46842112555</v>
      </c>
      <c r="R148" s="37">
        <f t="shared" si="435"/>
        <v>362573.30349892995</v>
      </c>
      <c r="S148" s="37">
        <f t="shared" si="435"/>
        <v>184841.29197984649</v>
      </c>
      <c r="T148" s="37">
        <f t="shared" si="435"/>
        <v>-3.2014213502407074E-10</v>
      </c>
      <c r="U148" s="37">
        <f t="shared" si="435"/>
        <v>-3.2014213502407074E-10</v>
      </c>
      <c r="V148" s="37">
        <f t="shared" si="435"/>
        <v>-3.2014213502407074E-10</v>
      </c>
      <c r="W148" s="37">
        <f t="shared" si="435"/>
        <v>-3.2014213502407074E-10</v>
      </c>
      <c r="X148" s="37">
        <f t="shared" ref="X148:AG148" si="436">X144-X146</f>
        <v>-3.2014213502407074E-10</v>
      </c>
      <c r="Y148" s="37">
        <f t="shared" si="436"/>
        <v>-3.2014213502407074E-10</v>
      </c>
      <c r="Z148" s="37">
        <f t="shared" si="436"/>
        <v>-3.2014213502407074E-10</v>
      </c>
      <c r="AA148" s="37">
        <f t="shared" si="436"/>
        <v>-3.2014213502407074E-10</v>
      </c>
      <c r="AB148" s="37">
        <f t="shared" si="436"/>
        <v>-3.2014213502407074E-10</v>
      </c>
      <c r="AC148" s="37">
        <f t="shared" si="436"/>
        <v>-3.2014213502407074E-10</v>
      </c>
      <c r="AD148" s="37">
        <f t="shared" si="436"/>
        <v>-3.2014213502407074E-10</v>
      </c>
      <c r="AE148" s="37">
        <f t="shared" si="436"/>
        <v>-3.2014213502407074E-10</v>
      </c>
      <c r="AF148" s="37">
        <f t="shared" si="436"/>
        <v>-3.2014213502407074E-10</v>
      </c>
      <c r="AG148" s="37">
        <f t="shared" si="436"/>
        <v>-3.2014213502407074E-10</v>
      </c>
    </row>
    <row r="150" spans="2:33" s="16" customFormat="1" ht="14.5" x14ac:dyDescent="0.35">
      <c r="B150" s="14" t="s">
        <v>67</v>
      </c>
      <c r="C150" s="15"/>
      <c r="D150" s="15">
        <f t="shared" ref="D150:AG150" si="437">IF(-C127+C150&gt;0,-C127+C150,0)</f>
        <v>0</v>
      </c>
      <c r="E150" s="15">
        <f t="shared" ca="1" si="437"/>
        <v>0</v>
      </c>
      <c r="F150" s="15" t="e">
        <f t="shared" ca="1" si="437"/>
        <v>#N/A</v>
      </c>
      <c r="G150" s="15" t="e">
        <f t="shared" ca="1" si="437"/>
        <v>#N/A</v>
      </c>
      <c r="H150" s="15" t="e">
        <f t="shared" ca="1" si="437"/>
        <v>#N/A</v>
      </c>
      <c r="I150" s="15" t="e">
        <f t="shared" ca="1" si="437"/>
        <v>#N/A</v>
      </c>
      <c r="J150" s="15" t="e">
        <f t="shared" ca="1" si="437"/>
        <v>#N/A</v>
      </c>
      <c r="K150" s="15" t="e">
        <f t="shared" ca="1" si="437"/>
        <v>#N/A</v>
      </c>
      <c r="L150" s="15" t="e">
        <f t="shared" ca="1" si="437"/>
        <v>#N/A</v>
      </c>
      <c r="M150" s="15" t="e">
        <f t="shared" ca="1" si="437"/>
        <v>#N/A</v>
      </c>
      <c r="N150" s="15" t="e">
        <f t="shared" ca="1" si="437"/>
        <v>#N/A</v>
      </c>
      <c r="O150" s="15" t="e">
        <f t="shared" ca="1" si="437"/>
        <v>#N/A</v>
      </c>
      <c r="P150" s="15" t="e">
        <f t="shared" ca="1" si="437"/>
        <v>#N/A</v>
      </c>
      <c r="Q150" s="15" t="e">
        <f t="shared" ca="1" si="437"/>
        <v>#N/A</v>
      </c>
      <c r="R150" s="15" t="e">
        <f t="shared" ca="1" si="437"/>
        <v>#N/A</v>
      </c>
      <c r="S150" s="15" t="e">
        <f t="shared" ca="1" si="437"/>
        <v>#N/A</v>
      </c>
      <c r="T150" s="15" t="e">
        <f t="shared" ca="1" si="437"/>
        <v>#N/A</v>
      </c>
      <c r="U150" s="15" t="e">
        <f t="shared" ca="1" si="437"/>
        <v>#N/A</v>
      </c>
      <c r="V150" s="15" t="e">
        <f t="shared" ca="1" si="437"/>
        <v>#N/A</v>
      </c>
      <c r="W150" s="15" t="e">
        <f t="shared" ca="1" si="437"/>
        <v>#N/A</v>
      </c>
      <c r="X150" s="15" t="e">
        <f t="shared" ca="1" si="437"/>
        <v>#N/A</v>
      </c>
      <c r="Y150" s="15" t="e">
        <f t="shared" ca="1" si="437"/>
        <v>#N/A</v>
      </c>
      <c r="Z150" s="15" t="e">
        <f t="shared" ca="1" si="437"/>
        <v>#N/A</v>
      </c>
      <c r="AA150" s="15" t="e">
        <f t="shared" ca="1" si="437"/>
        <v>#N/A</v>
      </c>
      <c r="AB150" s="15" t="e">
        <f t="shared" ca="1" si="437"/>
        <v>#N/A</v>
      </c>
      <c r="AC150" s="15" t="e">
        <f t="shared" ca="1" si="437"/>
        <v>#N/A</v>
      </c>
      <c r="AD150" s="15" t="e">
        <f t="shared" ca="1" si="437"/>
        <v>#N/A</v>
      </c>
      <c r="AE150" s="15" t="e">
        <f t="shared" ca="1" si="437"/>
        <v>#N/A</v>
      </c>
      <c r="AF150" s="15" t="e">
        <f t="shared" ca="1" si="437"/>
        <v>#N/A</v>
      </c>
      <c r="AG150" s="15" t="e">
        <f t="shared" ca="1" si="437"/>
        <v>#N/A</v>
      </c>
    </row>
    <row r="151" spans="2:33" s="16" customFormat="1" ht="14.5" x14ac:dyDescent="0.35">
      <c r="B151" s="14" t="s">
        <v>68</v>
      </c>
      <c r="C151" s="15"/>
      <c r="D151" s="15">
        <f t="shared" ref="D151:AG151" ca="1" si="438">D127-D150</f>
        <v>71420.849668755938</v>
      </c>
      <c r="E151" s="15" t="e">
        <f t="shared" ca="1" si="438"/>
        <v>#N/A</v>
      </c>
      <c r="F151" s="15" t="e">
        <f t="shared" ca="1" si="438"/>
        <v>#N/A</v>
      </c>
      <c r="G151" s="15" t="e">
        <f t="shared" ca="1" si="438"/>
        <v>#N/A</v>
      </c>
      <c r="H151" s="15" t="e">
        <f t="shared" ca="1" si="438"/>
        <v>#N/A</v>
      </c>
      <c r="I151" s="15" t="e">
        <f t="shared" ca="1" si="438"/>
        <v>#N/A</v>
      </c>
      <c r="J151" s="15" t="e">
        <f t="shared" ca="1" si="438"/>
        <v>#N/A</v>
      </c>
      <c r="K151" s="15" t="e">
        <f t="shared" ca="1" si="438"/>
        <v>#N/A</v>
      </c>
      <c r="L151" s="15" t="e">
        <f t="shared" ca="1" si="438"/>
        <v>#N/A</v>
      </c>
      <c r="M151" s="15" t="e">
        <f t="shared" ca="1" si="438"/>
        <v>#N/A</v>
      </c>
      <c r="N151" s="15" t="e">
        <f t="shared" ca="1" si="438"/>
        <v>#N/A</v>
      </c>
      <c r="O151" s="15" t="e">
        <f t="shared" ca="1" si="438"/>
        <v>#N/A</v>
      </c>
      <c r="P151" s="15" t="e">
        <f t="shared" ca="1" si="438"/>
        <v>#N/A</v>
      </c>
      <c r="Q151" s="15" t="e">
        <f t="shared" ca="1" si="438"/>
        <v>#N/A</v>
      </c>
      <c r="R151" s="15" t="e">
        <f t="shared" ca="1" si="438"/>
        <v>#N/A</v>
      </c>
      <c r="S151" s="15" t="e">
        <f t="shared" ca="1" si="438"/>
        <v>#N/A</v>
      </c>
      <c r="T151" s="15" t="e">
        <f t="shared" ca="1" si="438"/>
        <v>#N/A</v>
      </c>
      <c r="U151" s="15" t="e">
        <f t="shared" ca="1" si="438"/>
        <v>#N/A</v>
      </c>
      <c r="V151" s="15" t="e">
        <f t="shared" ca="1" si="438"/>
        <v>#N/A</v>
      </c>
      <c r="W151" s="15" t="e">
        <f t="shared" ca="1" si="438"/>
        <v>#N/A</v>
      </c>
      <c r="X151" s="15" t="e">
        <f t="shared" ca="1" si="438"/>
        <v>#N/A</v>
      </c>
      <c r="Y151" s="15" t="e">
        <f t="shared" ca="1" si="438"/>
        <v>#N/A</v>
      </c>
      <c r="Z151" s="15" t="e">
        <f t="shared" ca="1" si="438"/>
        <v>#N/A</v>
      </c>
      <c r="AA151" s="15" t="e">
        <f t="shared" ca="1" si="438"/>
        <v>#N/A</v>
      </c>
      <c r="AB151" s="15" t="e">
        <f t="shared" ca="1" si="438"/>
        <v>#N/A</v>
      </c>
      <c r="AC151" s="15" t="e">
        <f t="shared" ca="1" si="438"/>
        <v>#N/A</v>
      </c>
      <c r="AD151" s="15" t="e">
        <f t="shared" ca="1" si="438"/>
        <v>#N/A</v>
      </c>
      <c r="AE151" s="15" t="e">
        <f t="shared" ca="1" si="438"/>
        <v>#N/A</v>
      </c>
      <c r="AF151" s="15" t="e">
        <f t="shared" ca="1" si="438"/>
        <v>#N/A</v>
      </c>
      <c r="AG151" s="15" t="e">
        <f t="shared" ca="1" si="438"/>
        <v>#N/A</v>
      </c>
    </row>
    <row r="153" spans="2:33" s="16" customFormat="1" ht="14.5" x14ac:dyDescent="0.35">
      <c r="B153" s="14" t="s">
        <v>69</v>
      </c>
      <c r="C153" s="15">
        <f>-C20</f>
        <v>-3897777.7777777789</v>
      </c>
      <c r="D153" s="15">
        <f t="shared" ref="D153:AG153" ca="1" si="439">D117</f>
        <v>394248.56208705669</v>
      </c>
      <c r="E153" s="15" t="e">
        <f t="shared" ca="1" si="439"/>
        <v>#N/A</v>
      </c>
      <c r="F153" s="15" t="e">
        <f t="shared" ca="1" si="439"/>
        <v>#N/A</v>
      </c>
      <c r="G153" s="15" t="e">
        <f t="shared" ca="1" si="439"/>
        <v>#N/A</v>
      </c>
      <c r="H153" s="15" t="e">
        <f t="shared" ca="1" si="439"/>
        <v>#N/A</v>
      </c>
      <c r="I153" s="15" t="e">
        <f t="shared" ca="1" si="439"/>
        <v>#N/A</v>
      </c>
      <c r="J153" s="15" t="e">
        <f t="shared" ca="1" si="439"/>
        <v>#N/A</v>
      </c>
      <c r="K153" s="15" t="e">
        <f t="shared" ca="1" si="439"/>
        <v>#N/A</v>
      </c>
      <c r="L153" s="15" t="e">
        <f t="shared" ca="1" si="439"/>
        <v>#N/A</v>
      </c>
      <c r="M153" s="15" t="e">
        <f t="shared" ca="1" si="439"/>
        <v>#N/A</v>
      </c>
      <c r="N153" s="15" t="e">
        <f t="shared" ca="1" si="439"/>
        <v>#N/A</v>
      </c>
      <c r="O153" s="15" t="e">
        <f t="shared" ca="1" si="439"/>
        <v>#N/A</v>
      </c>
      <c r="P153" s="15" t="e">
        <f t="shared" ca="1" si="439"/>
        <v>#N/A</v>
      </c>
      <c r="Q153" s="15" t="e">
        <f t="shared" ca="1" si="439"/>
        <v>#N/A</v>
      </c>
      <c r="R153" s="15" t="e">
        <f t="shared" ca="1" si="439"/>
        <v>#N/A</v>
      </c>
      <c r="S153" s="15" t="e">
        <f t="shared" ca="1" si="439"/>
        <v>#N/A</v>
      </c>
      <c r="T153" s="15" t="e">
        <f t="shared" ca="1" si="439"/>
        <v>#N/A</v>
      </c>
      <c r="U153" s="15" t="e">
        <f t="shared" ca="1" si="439"/>
        <v>#N/A</v>
      </c>
      <c r="V153" s="15" t="e">
        <f t="shared" ca="1" si="439"/>
        <v>#N/A</v>
      </c>
      <c r="W153" s="15" t="e">
        <f t="shared" ca="1" si="439"/>
        <v>#N/A</v>
      </c>
      <c r="X153" s="15" t="e">
        <f t="shared" ca="1" si="439"/>
        <v>#N/A</v>
      </c>
      <c r="Y153" s="15" t="e">
        <f t="shared" ca="1" si="439"/>
        <v>#N/A</v>
      </c>
      <c r="Z153" s="15" t="e">
        <f t="shared" ca="1" si="439"/>
        <v>#N/A</v>
      </c>
      <c r="AA153" s="15" t="e">
        <f t="shared" ca="1" si="439"/>
        <v>#N/A</v>
      </c>
      <c r="AB153" s="15" t="e">
        <f t="shared" ca="1" si="439"/>
        <v>#N/A</v>
      </c>
      <c r="AC153" s="15" t="e">
        <f t="shared" ca="1" si="439"/>
        <v>#N/A</v>
      </c>
      <c r="AD153" s="15" t="e">
        <f t="shared" ca="1" si="439"/>
        <v>#N/A</v>
      </c>
      <c r="AE153" s="15" t="e">
        <f t="shared" ca="1" si="439"/>
        <v>#N/A</v>
      </c>
      <c r="AF153" s="15" t="e">
        <f t="shared" ca="1" si="439"/>
        <v>#N/A</v>
      </c>
      <c r="AG153" s="15" t="e">
        <f t="shared" ca="1" si="439"/>
        <v>#N/A</v>
      </c>
    </row>
    <row r="154" spans="2:33" x14ac:dyDescent="0.3">
      <c r="D154" s="18">
        <f ca="1">IRR($C153:D153,$C$21)</f>
        <v>-0.89885299148279618</v>
      </c>
      <c r="E154" s="18" t="e">
        <f ca="1">IRR($C153:E153,$C$21)</f>
        <v>#VALUE!</v>
      </c>
      <c r="F154" s="18" t="e">
        <f ca="1">IRR($C153:F153,$C$21)</f>
        <v>#VALUE!</v>
      </c>
      <c r="G154" s="18" t="e">
        <f ca="1">IRR($C153:G153,$C$21)</f>
        <v>#VALUE!</v>
      </c>
      <c r="H154" s="18" t="e">
        <f ca="1">IRR($C153:H153,$C$21)</f>
        <v>#VALUE!</v>
      </c>
      <c r="I154" s="18" t="e">
        <f ca="1">IRR($C153:I153,$C$21)</f>
        <v>#VALUE!</v>
      </c>
      <c r="J154" s="18" t="e">
        <f ca="1">IRR($C153:J153,$C$21)</f>
        <v>#VALUE!</v>
      </c>
      <c r="K154" s="18" t="e">
        <f ca="1">IRR($C153:K153,$C$21)</f>
        <v>#VALUE!</v>
      </c>
      <c r="L154" s="18" t="e">
        <f ca="1">IRR($C153:L153,$C$21)</f>
        <v>#VALUE!</v>
      </c>
      <c r="M154" s="18" t="e">
        <f ca="1">IRR($C153:M153,$C$21)</f>
        <v>#VALUE!</v>
      </c>
      <c r="N154" s="18" t="e">
        <f ca="1">IRR($C153:N153,$C$21)</f>
        <v>#VALUE!</v>
      </c>
      <c r="O154" s="18" t="e">
        <f ca="1">IRR($C153:O153,$C$21)</f>
        <v>#VALUE!</v>
      </c>
      <c r="P154" s="18" t="e">
        <f ca="1">IRR($C153:P153,$C$21)</f>
        <v>#VALUE!</v>
      </c>
      <c r="Q154" s="18" t="e">
        <f ca="1">IRR($C153:Q153,$C$21)</f>
        <v>#VALUE!</v>
      </c>
      <c r="R154" s="18" t="e">
        <f ca="1">IRR($C153:R153,$C$21)</f>
        <v>#VALUE!</v>
      </c>
      <c r="S154" s="18" t="e">
        <f ca="1">IRR($C153:S153,$C$21)</f>
        <v>#VALUE!</v>
      </c>
      <c r="T154" s="18" t="e">
        <f ca="1">IRR($C153:T153,$C$21)</f>
        <v>#VALUE!</v>
      </c>
      <c r="U154" s="18" t="e">
        <f ca="1">IRR($C153:U153,$C$21)</f>
        <v>#VALUE!</v>
      </c>
      <c r="V154" s="18" t="e">
        <f ca="1">IRR($C153:V153,$C$21)</f>
        <v>#VALUE!</v>
      </c>
      <c r="W154" s="18" t="e">
        <f ca="1">IRR($C153:W153,$C$21)</f>
        <v>#VALUE!</v>
      </c>
      <c r="X154" s="18" t="e">
        <f ca="1">IRR($C153:X153,$C$21)</f>
        <v>#VALUE!</v>
      </c>
      <c r="Y154" s="18" t="e">
        <f ca="1">IRR($C153:Y153,$C$21)</f>
        <v>#VALUE!</v>
      </c>
      <c r="Z154" s="18" t="e">
        <f ca="1">IRR($C153:Z153,$C$21)</f>
        <v>#VALUE!</v>
      </c>
      <c r="AA154" s="18" t="e">
        <f ca="1">IRR($C153:AA153,$C$21)</f>
        <v>#VALUE!</v>
      </c>
      <c r="AB154" s="18" t="e">
        <f ca="1">IRR($C153:AB153,$C$21)</f>
        <v>#VALUE!</v>
      </c>
      <c r="AC154" s="18" t="e">
        <f ca="1">IRR($C153:AC153,$C$21)</f>
        <v>#VALUE!</v>
      </c>
      <c r="AD154" s="18" t="e">
        <f ca="1">IRR($C153:AD153,$C$21)</f>
        <v>#VALUE!</v>
      </c>
      <c r="AE154" s="18" t="e">
        <f ca="1">IRR($C153:AE153,$C$21)</f>
        <v>#VALUE!</v>
      </c>
      <c r="AF154" s="18" t="e">
        <f ca="1">IRR($C153:AF153,$C$21)</f>
        <v>#VALUE!</v>
      </c>
      <c r="AG154" s="18" t="e">
        <f ca="1">IRR($C153:AG153,$C$21)</f>
        <v>#VALUE!</v>
      </c>
    </row>
    <row r="155" spans="2:33" ht="14.5" x14ac:dyDescent="0.35">
      <c r="B155" s="46" t="s">
        <v>70</v>
      </c>
      <c r="C155" s="15">
        <f>C153</f>
        <v>-3897777.7777777789</v>
      </c>
      <c r="D155" s="15">
        <f t="shared" ref="D155:AG155" ca="1" si="440">D153-C128</f>
        <v>394248.56208705669</v>
      </c>
      <c r="E155" s="15" t="e">
        <f t="shared" ca="1" si="440"/>
        <v>#N/A</v>
      </c>
      <c r="F155" s="15" t="e">
        <f t="shared" ca="1" si="440"/>
        <v>#N/A</v>
      </c>
      <c r="G155" s="15" t="e">
        <f t="shared" ca="1" si="440"/>
        <v>#N/A</v>
      </c>
      <c r="H155" s="15" t="e">
        <f t="shared" ca="1" si="440"/>
        <v>#N/A</v>
      </c>
      <c r="I155" s="15" t="e">
        <f t="shared" ca="1" si="440"/>
        <v>#N/A</v>
      </c>
      <c r="J155" s="15" t="e">
        <f t="shared" ca="1" si="440"/>
        <v>#N/A</v>
      </c>
      <c r="K155" s="15" t="e">
        <f t="shared" ca="1" si="440"/>
        <v>#N/A</v>
      </c>
      <c r="L155" s="15" t="e">
        <f t="shared" ca="1" si="440"/>
        <v>#N/A</v>
      </c>
      <c r="M155" s="15" t="e">
        <f t="shared" ca="1" si="440"/>
        <v>#N/A</v>
      </c>
      <c r="N155" s="15" t="e">
        <f t="shared" ca="1" si="440"/>
        <v>#N/A</v>
      </c>
      <c r="O155" s="15" t="e">
        <f t="shared" ca="1" si="440"/>
        <v>#N/A</v>
      </c>
      <c r="P155" s="15" t="e">
        <f t="shared" ca="1" si="440"/>
        <v>#N/A</v>
      </c>
      <c r="Q155" s="15" t="e">
        <f t="shared" ca="1" si="440"/>
        <v>#N/A</v>
      </c>
      <c r="R155" s="15" t="e">
        <f t="shared" ca="1" si="440"/>
        <v>#N/A</v>
      </c>
      <c r="S155" s="15" t="e">
        <f t="shared" ca="1" si="440"/>
        <v>#N/A</v>
      </c>
      <c r="T155" s="15" t="e">
        <f t="shared" ca="1" si="440"/>
        <v>#N/A</v>
      </c>
      <c r="U155" s="15" t="e">
        <f t="shared" ca="1" si="440"/>
        <v>#N/A</v>
      </c>
      <c r="V155" s="15" t="e">
        <f t="shared" ca="1" si="440"/>
        <v>#N/A</v>
      </c>
      <c r="W155" s="15" t="e">
        <f t="shared" ca="1" si="440"/>
        <v>#N/A</v>
      </c>
      <c r="X155" s="15" t="e">
        <f t="shared" ca="1" si="440"/>
        <v>#N/A</v>
      </c>
      <c r="Y155" s="15" t="e">
        <f t="shared" ca="1" si="440"/>
        <v>#N/A</v>
      </c>
      <c r="Z155" s="15" t="e">
        <f t="shared" ca="1" si="440"/>
        <v>#N/A</v>
      </c>
      <c r="AA155" s="15" t="e">
        <f t="shared" ca="1" si="440"/>
        <v>#N/A</v>
      </c>
      <c r="AB155" s="15" t="e">
        <f t="shared" ca="1" si="440"/>
        <v>#N/A</v>
      </c>
      <c r="AC155" s="15" t="e">
        <f t="shared" ca="1" si="440"/>
        <v>#N/A</v>
      </c>
      <c r="AD155" s="15" t="e">
        <f t="shared" ca="1" si="440"/>
        <v>#N/A</v>
      </c>
      <c r="AE155" s="15" t="e">
        <f t="shared" ca="1" si="440"/>
        <v>#N/A</v>
      </c>
      <c r="AF155" s="15" t="e">
        <f t="shared" ca="1" si="440"/>
        <v>#N/A</v>
      </c>
      <c r="AG155" s="15" t="e">
        <f t="shared" ca="1" si="440"/>
        <v>#N/A</v>
      </c>
    </row>
    <row r="156" spans="2:33" x14ac:dyDescent="0.3">
      <c r="D156" s="18">
        <f ca="1">IRR($C155:D155,$C$21)</f>
        <v>-0.89885299148279618</v>
      </c>
      <c r="E156" s="18" t="e">
        <f ca="1">IRR($C155:E155,$C$21)</f>
        <v>#VALUE!</v>
      </c>
      <c r="F156" s="18" t="e">
        <f ca="1">IRR($C155:F155,$C$21)</f>
        <v>#VALUE!</v>
      </c>
      <c r="G156" s="18" t="e">
        <f ca="1">IRR($C155:G155,$C$21)</f>
        <v>#VALUE!</v>
      </c>
      <c r="H156" s="18" t="e">
        <f ca="1">IRR($C155:H155,$C$21)</f>
        <v>#VALUE!</v>
      </c>
      <c r="I156" s="18" t="e">
        <f ca="1">IRR($C155:I155,$C$21)</f>
        <v>#VALUE!</v>
      </c>
      <c r="J156" s="18" t="e">
        <f ca="1">IRR($C155:J155,$C$21)</f>
        <v>#VALUE!</v>
      </c>
      <c r="K156" s="18" t="e">
        <f ca="1">IRR($C155:K155,$C$21)</f>
        <v>#VALUE!</v>
      </c>
      <c r="L156" s="18" t="e">
        <f ca="1">IRR($C155:L155,$C$21)</f>
        <v>#VALUE!</v>
      </c>
      <c r="M156" s="18" t="e">
        <f ca="1">IRR($C155:M155,$C$21)</f>
        <v>#VALUE!</v>
      </c>
      <c r="N156" s="18" t="e">
        <f ca="1">IRR($C155:N155,$C$21)</f>
        <v>#VALUE!</v>
      </c>
      <c r="O156" s="18" t="e">
        <f ca="1">IRR($C155:O155,$C$21)</f>
        <v>#VALUE!</v>
      </c>
      <c r="P156" s="18" t="e">
        <f ca="1">IRR($C155:P155,$C$21)</f>
        <v>#VALUE!</v>
      </c>
      <c r="Q156" s="18" t="e">
        <f ca="1">IRR($C155:Q155,$C$21)</f>
        <v>#VALUE!</v>
      </c>
      <c r="R156" s="47" t="e">
        <f ca="1">IRR($C155:R155,$C$21)</f>
        <v>#VALUE!</v>
      </c>
      <c r="S156" s="18" t="e">
        <f ca="1">IRR($C155:S155,$C$21)</f>
        <v>#VALUE!</v>
      </c>
      <c r="T156" s="18" t="e">
        <f ca="1">IRR($C155:T155,$C$21)</f>
        <v>#VALUE!</v>
      </c>
      <c r="U156" s="18" t="e">
        <f ca="1">IRR($C155:U155,$C$21)</f>
        <v>#VALUE!</v>
      </c>
      <c r="V156" s="18" t="e">
        <f ca="1">IRR($C155:V155,$C$21)</f>
        <v>#VALUE!</v>
      </c>
      <c r="W156" s="47" t="e">
        <f ca="1">IRR($C155:W155,$C$21)</f>
        <v>#VALUE!</v>
      </c>
      <c r="X156" s="18" t="e">
        <f ca="1">IRR($C155:X155,$C$21)</f>
        <v>#VALUE!</v>
      </c>
      <c r="Y156" s="18" t="e">
        <f ca="1">IRR($C155:Y155,$C$21)</f>
        <v>#VALUE!</v>
      </c>
      <c r="Z156" s="18" t="e">
        <f ca="1">IRR($C155:Z155,$C$21)</f>
        <v>#VALUE!</v>
      </c>
      <c r="AA156" s="18" t="e">
        <f ca="1">IRR($C155:AA155,$C$21)</f>
        <v>#VALUE!</v>
      </c>
      <c r="AB156" s="47" t="e">
        <f ca="1">IRR($C155:AB155,$C$21)</f>
        <v>#VALUE!</v>
      </c>
      <c r="AC156" s="18" t="e">
        <f ca="1">IRR($C155:AC155,$C$21)</f>
        <v>#VALUE!</v>
      </c>
      <c r="AD156" s="18" t="e">
        <f ca="1">IRR($C155:AD155,$C$21)</f>
        <v>#VALUE!</v>
      </c>
      <c r="AE156" s="18" t="e">
        <f ca="1">IRR($C155:AE155,$C$21)</f>
        <v>#VALUE!</v>
      </c>
      <c r="AF156" s="18" t="e">
        <f ca="1">IRR($C155:AF155,$C$21)</f>
        <v>#VALUE!</v>
      </c>
      <c r="AG156" s="47" t="e">
        <f ca="1">IRR($C155:AG155,$C$21)</f>
        <v>#VALUE!</v>
      </c>
    </row>
    <row r="157" spans="2:33" s="16" customFormat="1" ht="14.5" x14ac:dyDescent="0.35">
      <c r="B157" s="14" t="s">
        <v>71</v>
      </c>
      <c r="C157" s="15">
        <f>-C17</f>
        <v>-1559111.1111111115</v>
      </c>
      <c r="D157" s="15">
        <f ca="1">D117-C128-D146-D124</f>
        <v>202013.61842801602</v>
      </c>
      <c r="E157" s="15" t="e">
        <f t="shared" ref="E157:AG157" ca="1" si="441">E117-D128-E146-E124</f>
        <v>#N/A</v>
      </c>
      <c r="F157" s="15" t="e">
        <f t="shared" ca="1" si="441"/>
        <v>#N/A</v>
      </c>
      <c r="G157" s="15" t="e">
        <f t="shared" ca="1" si="441"/>
        <v>#N/A</v>
      </c>
      <c r="H157" s="15" t="e">
        <f t="shared" ca="1" si="441"/>
        <v>#N/A</v>
      </c>
      <c r="I157" s="15" t="e">
        <f t="shared" ca="1" si="441"/>
        <v>#N/A</v>
      </c>
      <c r="J157" s="15" t="e">
        <f t="shared" ca="1" si="441"/>
        <v>#N/A</v>
      </c>
      <c r="K157" s="15" t="e">
        <f t="shared" ca="1" si="441"/>
        <v>#N/A</v>
      </c>
      <c r="L157" s="15" t="e">
        <f t="shared" ca="1" si="441"/>
        <v>#N/A</v>
      </c>
      <c r="M157" s="15" t="e">
        <f t="shared" ca="1" si="441"/>
        <v>#N/A</v>
      </c>
      <c r="N157" s="15" t="e">
        <f t="shared" ca="1" si="441"/>
        <v>#N/A</v>
      </c>
      <c r="O157" s="15" t="e">
        <f t="shared" ca="1" si="441"/>
        <v>#N/A</v>
      </c>
      <c r="P157" s="15" t="e">
        <f t="shared" ca="1" si="441"/>
        <v>#N/A</v>
      </c>
      <c r="Q157" s="15" t="e">
        <f t="shared" ca="1" si="441"/>
        <v>#N/A</v>
      </c>
      <c r="R157" s="15" t="e">
        <f t="shared" ca="1" si="441"/>
        <v>#N/A</v>
      </c>
      <c r="S157" s="15" t="e">
        <f t="shared" ca="1" si="441"/>
        <v>#N/A</v>
      </c>
      <c r="T157" s="15" t="e">
        <f t="shared" ca="1" si="441"/>
        <v>#N/A</v>
      </c>
      <c r="U157" s="15" t="e">
        <f t="shared" ca="1" si="441"/>
        <v>#N/A</v>
      </c>
      <c r="V157" s="15" t="e">
        <f t="shared" ca="1" si="441"/>
        <v>#N/A</v>
      </c>
      <c r="W157" s="15" t="e">
        <f t="shared" ca="1" si="441"/>
        <v>#N/A</v>
      </c>
      <c r="X157" s="15" t="e">
        <f t="shared" ca="1" si="441"/>
        <v>#N/A</v>
      </c>
      <c r="Y157" s="15" t="e">
        <f t="shared" ca="1" si="441"/>
        <v>#N/A</v>
      </c>
      <c r="Z157" s="15" t="e">
        <f t="shared" ca="1" si="441"/>
        <v>#N/A</v>
      </c>
      <c r="AA157" s="15" t="e">
        <f t="shared" ca="1" si="441"/>
        <v>#N/A</v>
      </c>
      <c r="AB157" s="15" t="e">
        <f t="shared" ca="1" si="441"/>
        <v>#N/A</v>
      </c>
      <c r="AC157" s="15" t="e">
        <f t="shared" ca="1" si="441"/>
        <v>#N/A</v>
      </c>
      <c r="AD157" s="15" t="e">
        <f t="shared" ca="1" si="441"/>
        <v>#N/A</v>
      </c>
      <c r="AE157" s="15" t="e">
        <f t="shared" ca="1" si="441"/>
        <v>#N/A</v>
      </c>
      <c r="AF157" s="15" t="e">
        <f t="shared" ca="1" si="441"/>
        <v>#N/A</v>
      </c>
      <c r="AG157" s="15" t="e">
        <f t="shared" ca="1" si="441"/>
        <v>#N/A</v>
      </c>
    </row>
    <row r="158" spans="2:33" x14ac:dyDescent="0.3">
      <c r="D158" s="18">
        <f ca="1">IRR($C157:D157,$C$21)</f>
        <v>-0.87043026184063965</v>
      </c>
      <c r="E158" s="18" t="e">
        <f ca="1">IRR($C157:E157,$C$21)</f>
        <v>#VALUE!</v>
      </c>
      <c r="F158" s="18" t="e">
        <f ca="1">IRR($C157:F157,$C$21)</f>
        <v>#VALUE!</v>
      </c>
      <c r="G158" s="18" t="e">
        <f ca="1">IRR($C157:G157,$C$21)</f>
        <v>#VALUE!</v>
      </c>
      <c r="H158" s="18" t="e">
        <f ca="1">IRR($C157:H157,$C$21)</f>
        <v>#VALUE!</v>
      </c>
      <c r="I158" s="18" t="e">
        <f ca="1">IRR($C157:I157,$C$21)</f>
        <v>#VALUE!</v>
      </c>
      <c r="J158" s="18" t="e">
        <f ca="1">IRR($C157:J157,$C$21)</f>
        <v>#VALUE!</v>
      </c>
      <c r="K158" s="18" t="e">
        <f ca="1">IRR($C157:K157,$C$21)</f>
        <v>#VALUE!</v>
      </c>
      <c r="L158" s="18" t="e">
        <f ca="1">IRR($C157:L157,$C$21)</f>
        <v>#VALUE!</v>
      </c>
      <c r="M158" s="18" t="e">
        <f ca="1">IRR($C157:M157,$C$21)</f>
        <v>#VALUE!</v>
      </c>
      <c r="N158" s="18" t="e">
        <f ca="1">IRR($C157:N157,$C$21)</f>
        <v>#VALUE!</v>
      </c>
      <c r="O158" s="18" t="e">
        <f ca="1">IRR($C157:O157,$C$21)</f>
        <v>#VALUE!</v>
      </c>
      <c r="P158" s="18" t="e">
        <f ca="1">IRR($C157:P157,$C$21)</f>
        <v>#VALUE!</v>
      </c>
      <c r="Q158" s="18" t="e">
        <f ca="1">IRR($C157:Q157,$C$21)</f>
        <v>#VALUE!</v>
      </c>
      <c r="R158" s="18" t="e">
        <f ca="1">IRR($C157:R157,$C$21)</f>
        <v>#VALUE!</v>
      </c>
      <c r="S158" s="18" t="e">
        <f ca="1">IRR($C157:S157,$C$21)</f>
        <v>#VALUE!</v>
      </c>
      <c r="T158" s="18" t="e">
        <f ca="1">IRR($C157:T157,$C$21)</f>
        <v>#VALUE!</v>
      </c>
      <c r="U158" s="18" t="e">
        <f ca="1">IRR($C157:U157,$C$21)</f>
        <v>#VALUE!</v>
      </c>
      <c r="V158" s="18" t="e">
        <f ca="1">IRR($C157:V157,$C$21)</f>
        <v>#VALUE!</v>
      </c>
      <c r="W158" s="18" t="e">
        <f ca="1">IRR($C157:W157,$C$21)</f>
        <v>#VALUE!</v>
      </c>
      <c r="X158" s="18" t="e">
        <f ca="1">IRR($C157:X157,$C$21)</f>
        <v>#VALUE!</v>
      </c>
      <c r="Y158" s="18" t="e">
        <f ca="1">IRR($C157:Y157,$C$21)</f>
        <v>#VALUE!</v>
      </c>
      <c r="Z158" s="18" t="e">
        <f ca="1">IRR($C157:Z157,$C$21)</f>
        <v>#VALUE!</v>
      </c>
      <c r="AA158" s="18" t="e">
        <f ca="1">IRR($C157:AA157,$C$21)</f>
        <v>#VALUE!</v>
      </c>
      <c r="AB158" s="18" t="e">
        <f ca="1">IRR($C157:AB157,$C$21)</f>
        <v>#VALUE!</v>
      </c>
      <c r="AC158" s="18" t="e">
        <f ca="1">IRR($C157:AC157,$C$21)</f>
        <v>#VALUE!</v>
      </c>
      <c r="AD158" s="18" t="e">
        <f ca="1">IRR($C157:AD157,$C$21)</f>
        <v>#VALUE!</v>
      </c>
      <c r="AE158" s="18" t="e">
        <f ca="1">IRR($C157:AE157,$C$21)</f>
        <v>#VALUE!</v>
      </c>
      <c r="AF158" s="18" t="e">
        <f ca="1">IRR($C157:AF157,$C$21)</f>
        <v>#VALUE!</v>
      </c>
      <c r="AG158" s="18" t="e">
        <f ca="1">IRR($C157:AG157,$C$21)</f>
        <v>#VALUE!</v>
      </c>
    </row>
    <row r="160" spans="2:33" s="16" customFormat="1" ht="14.5" x14ac:dyDescent="0.35">
      <c r="B160" s="14" t="s">
        <v>72</v>
      </c>
      <c r="C160" s="15"/>
      <c r="D160" s="19">
        <f t="shared" ref="D160:AG160" ca="1" si="442">IF(D$142&lt;=$C$22,(D117-D128)/(D146+D145),0)</f>
        <v>1.9579861106701877</v>
      </c>
      <c r="E160" s="19" t="e">
        <f t="shared" ca="1" si="442"/>
        <v>#N/A</v>
      </c>
      <c r="F160" s="19" t="e">
        <f t="shared" ca="1" si="442"/>
        <v>#N/A</v>
      </c>
      <c r="G160" s="19" t="e">
        <f t="shared" ca="1" si="442"/>
        <v>#N/A</v>
      </c>
      <c r="H160" s="19" t="e">
        <f t="shared" ca="1" si="442"/>
        <v>#N/A</v>
      </c>
      <c r="I160" s="19" t="e">
        <f t="shared" ca="1" si="442"/>
        <v>#N/A</v>
      </c>
      <c r="J160" s="19" t="e">
        <f t="shared" ca="1" si="442"/>
        <v>#N/A</v>
      </c>
      <c r="K160" s="19" t="e">
        <f t="shared" ca="1" si="442"/>
        <v>#N/A</v>
      </c>
      <c r="L160" s="19" t="e">
        <f t="shared" ca="1" si="442"/>
        <v>#N/A</v>
      </c>
      <c r="M160" s="19" t="e">
        <f t="shared" ca="1" si="442"/>
        <v>#N/A</v>
      </c>
      <c r="N160" s="19" t="e">
        <f t="shared" ca="1" si="442"/>
        <v>#N/A</v>
      </c>
      <c r="O160" s="19" t="e">
        <f t="shared" ca="1" si="442"/>
        <v>#N/A</v>
      </c>
      <c r="P160" s="19" t="e">
        <f t="shared" ca="1" si="442"/>
        <v>#N/A</v>
      </c>
      <c r="Q160" s="19" t="e">
        <f t="shared" ca="1" si="442"/>
        <v>#N/A</v>
      </c>
      <c r="R160" s="19" t="e">
        <f t="shared" ca="1" si="442"/>
        <v>#N/A</v>
      </c>
      <c r="S160" s="19" t="e">
        <f t="shared" ca="1" si="442"/>
        <v>#N/A</v>
      </c>
      <c r="T160" s="19" t="e">
        <f t="shared" ca="1" si="442"/>
        <v>#N/A</v>
      </c>
      <c r="U160" s="19">
        <f t="shared" si="442"/>
        <v>0</v>
      </c>
      <c r="V160" s="19">
        <f t="shared" si="442"/>
        <v>0</v>
      </c>
      <c r="W160" s="19">
        <f t="shared" si="442"/>
        <v>0</v>
      </c>
      <c r="X160" s="19">
        <f t="shared" si="442"/>
        <v>0</v>
      </c>
      <c r="Y160" s="19">
        <f t="shared" si="442"/>
        <v>0</v>
      </c>
      <c r="Z160" s="19">
        <f t="shared" si="442"/>
        <v>0</v>
      </c>
      <c r="AA160" s="19">
        <f t="shared" si="442"/>
        <v>0</v>
      </c>
      <c r="AB160" s="19">
        <f t="shared" si="442"/>
        <v>0</v>
      </c>
      <c r="AC160" s="19">
        <f t="shared" si="442"/>
        <v>0</v>
      </c>
      <c r="AD160" s="19">
        <f t="shared" si="442"/>
        <v>0</v>
      </c>
      <c r="AE160" s="19">
        <f t="shared" si="442"/>
        <v>0</v>
      </c>
      <c r="AF160" s="19">
        <f t="shared" si="442"/>
        <v>0</v>
      </c>
      <c r="AG160" s="19">
        <f t="shared" si="442"/>
        <v>0</v>
      </c>
    </row>
    <row r="163" spans="2:33" s="16" customFormat="1" ht="14.5" x14ac:dyDescent="0.35">
      <c r="B163" s="14" t="s">
        <v>73</v>
      </c>
      <c r="C163" s="15"/>
      <c r="D163" s="19">
        <f t="shared" ref="D163:W163" ca="1" si="443">D108/D95</f>
        <v>0.69005275590805015</v>
      </c>
      <c r="E163" s="19" t="e">
        <f t="shared" ca="1" si="443"/>
        <v>#N/A</v>
      </c>
      <c r="F163" s="19" t="e">
        <f t="shared" ca="1" si="443"/>
        <v>#N/A</v>
      </c>
      <c r="G163" s="19" t="e">
        <f t="shared" ca="1" si="443"/>
        <v>#N/A</v>
      </c>
      <c r="H163" s="19" t="e">
        <f t="shared" ca="1" si="443"/>
        <v>#N/A</v>
      </c>
      <c r="I163" s="19" t="e">
        <f t="shared" ca="1" si="443"/>
        <v>#N/A</v>
      </c>
      <c r="J163" s="19" t="e">
        <f t="shared" ca="1" si="443"/>
        <v>#N/A</v>
      </c>
      <c r="K163" s="19" t="e">
        <f t="shared" ca="1" si="443"/>
        <v>#N/A</v>
      </c>
      <c r="L163" s="19" t="e">
        <f t="shared" ca="1" si="443"/>
        <v>#N/A</v>
      </c>
      <c r="M163" s="19" t="e">
        <f t="shared" ca="1" si="443"/>
        <v>#N/A</v>
      </c>
      <c r="N163" s="19" t="e">
        <f t="shared" ca="1" si="443"/>
        <v>#N/A</v>
      </c>
      <c r="O163" s="19" t="e">
        <f t="shared" ca="1" si="443"/>
        <v>#N/A</v>
      </c>
      <c r="P163" s="19" t="e">
        <f t="shared" ca="1" si="443"/>
        <v>#N/A</v>
      </c>
      <c r="Q163" s="19" t="e">
        <f t="shared" ca="1" si="443"/>
        <v>#N/A</v>
      </c>
      <c r="R163" s="19" t="e">
        <f t="shared" ca="1" si="443"/>
        <v>#N/A</v>
      </c>
      <c r="S163" s="19" t="e">
        <f t="shared" ca="1" si="443"/>
        <v>#N/A</v>
      </c>
      <c r="T163" s="19" t="e">
        <f t="shared" ca="1" si="443"/>
        <v>#N/A</v>
      </c>
      <c r="U163" s="19" t="e">
        <f t="shared" ca="1" si="443"/>
        <v>#N/A</v>
      </c>
      <c r="V163" s="19" t="e">
        <f t="shared" ca="1" si="443"/>
        <v>#N/A</v>
      </c>
      <c r="W163" s="19" t="e">
        <f t="shared" ca="1" si="443"/>
        <v>#N/A</v>
      </c>
      <c r="X163" s="19" t="e">
        <f ca="1">X117/X95</f>
        <v>#N/A</v>
      </c>
      <c r="Y163" s="19" t="e">
        <f ca="1">Y117/Y95</f>
        <v>#N/A</v>
      </c>
      <c r="Z163" s="19" t="e">
        <f ca="1">Z117/Z95</f>
        <v>#N/A</v>
      </c>
      <c r="AA163" s="19" t="e">
        <f ca="1">AA117/AA95</f>
        <v>#N/A</v>
      </c>
      <c r="AB163" s="19"/>
      <c r="AC163" s="19"/>
      <c r="AD163" s="19"/>
      <c r="AE163" s="19"/>
      <c r="AF163" s="19"/>
      <c r="AG163" s="19"/>
    </row>
    <row r="164" spans="2:33" s="16" customFormat="1" ht="14.5" x14ac:dyDescent="0.35">
      <c r="B164" s="14" t="s">
        <v>74</v>
      </c>
      <c r="C164" s="15"/>
      <c r="D164" s="19">
        <f ca="1">D118/D95</f>
        <v>0.40131032225162072</v>
      </c>
      <c r="E164" s="19" t="e">
        <f t="shared" ref="E164:AA164" ca="1" si="444">E118/E95</f>
        <v>#N/A</v>
      </c>
      <c r="F164" s="19" t="e">
        <f t="shared" ca="1" si="444"/>
        <v>#N/A</v>
      </c>
      <c r="G164" s="19" t="e">
        <f t="shared" ca="1" si="444"/>
        <v>#N/A</v>
      </c>
      <c r="H164" s="19" t="e">
        <f t="shared" ca="1" si="444"/>
        <v>#N/A</v>
      </c>
      <c r="I164" s="19" t="e">
        <f t="shared" ca="1" si="444"/>
        <v>#N/A</v>
      </c>
      <c r="J164" s="19" t="e">
        <f t="shared" ca="1" si="444"/>
        <v>#N/A</v>
      </c>
      <c r="K164" s="19" t="e">
        <f t="shared" ca="1" si="444"/>
        <v>#N/A</v>
      </c>
      <c r="L164" s="19" t="e">
        <f t="shared" ca="1" si="444"/>
        <v>#N/A</v>
      </c>
      <c r="M164" s="19" t="e">
        <f t="shared" ca="1" si="444"/>
        <v>#N/A</v>
      </c>
      <c r="N164" s="19" t="e">
        <f t="shared" ca="1" si="444"/>
        <v>#N/A</v>
      </c>
      <c r="O164" s="19" t="e">
        <f t="shared" ca="1" si="444"/>
        <v>#N/A</v>
      </c>
      <c r="P164" s="19" t="e">
        <f t="shared" ca="1" si="444"/>
        <v>#N/A</v>
      </c>
      <c r="Q164" s="19" t="e">
        <f t="shared" ca="1" si="444"/>
        <v>#N/A</v>
      </c>
      <c r="R164" s="19" t="e">
        <f t="shared" ca="1" si="444"/>
        <v>#N/A</v>
      </c>
      <c r="S164" s="19" t="e">
        <f t="shared" ca="1" si="444"/>
        <v>#N/A</v>
      </c>
      <c r="T164" s="19" t="e">
        <f t="shared" ca="1" si="444"/>
        <v>#N/A</v>
      </c>
      <c r="U164" s="19" t="e">
        <f t="shared" ca="1" si="444"/>
        <v>#N/A</v>
      </c>
      <c r="V164" s="19" t="e">
        <f t="shared" ca="1" si="444"/>
        <v>#N/A</v>
      </c>
      <c r="W164" s="19" t="e">
        <f t="shared" ca="1" si="444"/>
        <v>#N/A</v>
      </c>
      <c r="X164" s="19" t="e">
        <f t="shared" ca="1" si="444"/>
        <v>#N/A</v>
      </c>
      <c r="Y164" s="19" t="e">
        <f t="shared" ca="1" si="444"/>
        <v>#N/A</v>
      </c>
      <c r="Z164" s="19" t="e">
        <f t="shared" ca="1" si="444"/>
        <v>#N/A</v>
      </c>
      <c r="AA164" s="19" t="e">
        <f t="shared" ca="1" si="444"/>
        <v>#N/A</v>
      </c>
      <c r="AB164" s="19"/>
      <c r="AC164" s="19"/>
      <c r="AD164" s="19"/>
      <c r="AE164" s="19"/>
      <c r="AF164" s="19"/>
      <c r="AG164" s="19"/>
    </row>
    <row r="165" spans="2:33" s="16" customFormat="1" ht="14.5" x14ac:dyDescent="0.35">
      <c r="B165" s="14" t="s">
        <v>75</v>
      </c>
      <c r="C165" s="15"/>
      <c r="D165" s="19">
        <f t="shared" ref="D165:W165" ca="1" si="445">D124/D95</f>
        <v>0.16373461147866125</v>
      </c>
      <c r="E165" s="19" t="e">
        <f t="shared" ca="1" si="445"/>
        <v>#N/A</v>
      </c>
      <c r="F165" s="19" t="e">
        <f t="shared" ca="1" si="445"/>
        <v>#N/A</v>
      </c>
      <c r="G165" s="19" t="e">
        <f t="shared" ca="1" si="445"/>
        <v>#N/A</v>
      </c>
      <c r="H165" s="19" t="e">
        <f t="shared" ca="1" si="445"/>
        <v>#N/A</v>
      </c>
      <c r="I165" s="19" t="e">
        <f t="shared" ca="1" si="445"/>
        <v>#N/A</v>
      </c>
      <c r="J165" s="19" t="e">
        <f t="shared" ca="1" si="445"/>
        <v>#N/A</v>
      </c>
      <c r="K165" s="19" t="e">
        <f t="shared" ca="1" si="445"/>
        <v>#N/A</v>
      </c>
      <c r="L165" s="19" t="e">
        <f t="shared" ca="1" si="445"/>
        <v>#N/A</v>
      </c>
      <c r="M165" s="19" t="e">
        <f t="shared" ca="1" si="445"/>
        <v>#N/A</v>
      </c>
      <c r="N165" s="19" t="e">
        <f t="shared" ca="1" si="445"/>
        <v>#N/A</v>
      </c>
      <c r="O165" s="19" t="e">
        <f t="shared" ca="1" si="445"/>
        <v>#N/A</v>
      </c>
      <c r="P165" s="19" t="e">
        <f t="shared" ca="1" si="445"/>
        <v>#N/A</v>
      </c>
      <c r="Q165" s="19" t="e">
        <f t="shared" ca="1" si="445"/>
        <v>#N/A</v>
      </c>
      <c r="R165" s="19" t="e">
        <f t="shared" ca="1" si="445"/>
        <v>#N/A</v>
      </c>
      <c r="S165" s="19" t="e">
        <f t="shared" ca="1" si="445"/>
        <v>#N/A</v>
      </c>
      <c r="T165" s="19" t="e">
        <f t="shared" ca="1" si="445"/>
        <v>#N/A</v>
      </c>
      <c r="U165" s="19" t="e">
        <f t="shared" ca="1" si="445"/>
        <v>#N/A</v>
      </c>
      <c r="V165" s="19" t="e">
        <f t="shared" ca="1" si="445"/>
        <v>#N/A</v>
      </c>
      <c r="W165" s="19" t="e">
        <f t="shared" ca="1" si="445"/>
        <v>#N/A</v>
      </c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</row>
  </sheetData>
  <sheetProtection selectLockedCells="1"/>
  <mergeCells count="4">
    <mergeCell ref="D98:F98"/>
    <mergeCell ref="B8:C8"/>
    <mergeCell ref="D41:W41"/>
    <mergeCell ref="X41:AG41"/>
  </mergeCells>
  <dataValidations disablePrompts="1" count="4">
    <dataValidation type="list" allowBlank="1" showInputMessage="1" showErrorMessage="1" sqref="C38" xr:uid="{1C3C6D6C-F222-4EEA-96EB-48233FFE5718}">
      <formula1>"cas 1, cas 2, cas 3"</formula1>
    </dataValidation>
    <dataValidation type="list" allowBlank="1" showInputMessage="1" showErrorMessage="1" sqref="C40" xr:uid="{0D8DBC31-B69C-4B95-AC13-EC9F873403A0}">
      <formula1>$AE$15:$AE$21</formula1>
    </dataValidation>
    <dataValidation type="list" allowBlank="1" showInputMessage="1" showErrorMessage="1" sqref="C39" xr:uid="{52240689-629A-4075-B264-560847CD7BD1}">
      <formula1>"Site pollué,Friche industrielle,Carrière/ancienne carrière,Ancienne mine,Ancienne décharge,Ancien aérodrome, aéroport/délaissé d'aéroport,Délaissé portuaire/routier/ferroviaire,Site ICPE,Plan d'eau,Zone SEVESO/d'aléa fort/ Majeur PPRT,Terrain militaire"</formula1>
    </dataValidation>
    <dataValidation type="list" allowBlank="1" showInputMessage="1" showErrorMessage="1" sqref="D31 D36" xr:uid="{70871371-699B-4A93-9977-69A2EA67335E}">
      <formula1>#REF!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ABEB9-31B5-42D8-A372-6FFF1590F407}">
  <sheetPr codeName="Feuil3">
    <tabColor theme="3"/>
  </sheetPr>
  <dimension ref="A1:M27"/>
  <sheetViews>
    <sheetView zoomScaleNormal="100" workbookViewId="0">
      <selection activeCell="G10" sqref="G10"/>
    </sheetView>
  </sheetViews>
  <sheetFormatPr baseColWidth="10" defaultRowHeight="14.5" x14ac:dyDescent="0.35"/>
  <cols>
    <col min="1" max="1" width="16.26953125" customWidth="1"/>
    <col min="3" max="3" width="14.26953125" customWidth="1"/>
    <col min="4" max="4" width="26.08984375" customWidth="1"/>
    <col min="9" max="9" width="21.7265625" bestFit="1" customWidth="1"/>
    <col min="10" max="10" width="22.26953125" bestFit="1" customWidth="1"/>
    <col min="11" max="11" width="12.453125" bestFit="1" customWidth="1"/>
    <col min="12" max="12" width="5.54296875" bestFit="1" customWidth="1"/>
    <col min="13" max="13" width="11.81640625" bestFit="1" customWidth="1"/>
    <col min="14" max="14" width="11.7265625" bestFit="1" customWidth="1"/>
    <col min="15" max="16" width="24.36328125" bestFit="1" customWidth="1"/>
    <col min="17" max="17" width="29.1796875" bestFit="1" customWidth="1"/>
    <col min="18" max="18" width="27.36328125" bestFit="1" customWidth="1"/>
  </cols>
  <sheetData>
    <row r="1" spans="1:13" s="137" customFormat="1" x14ac:dyDescent="0.35">
      <c r="A1" s="138" t="s">
        <v>172</v>
      </c>
    </row>
    <row r="3" spans="1:13" x14ac:dyDescent="0.35">
      <c r="A3" t="s">
        <v>170</v>
      </c>
      <c r="B3" t="s">
        <v>169</v>
      </c>
      <c r="C3" t="s">
        <v>168</v>
      </c>
      <c r="D3" t="s">
        <v>171</v>
      </c>
      <c r="E3" t="s">
        <v>200</v>
      </c>
    </row>
    <row r="4" spans="1:13" x14ac:dyDescent="0.35">
      <c r="A4">
        <v>1</v>
      </c>
      <c r="B4">
        <v>1</v>
      </c>
      <c r="C4" s="142">
        <v>-2.6941434930203512E-2</v>
      </c>
      <c r="D4" s="56" t="e">
        <v>#NUM!</v>
      </c>
      <c r="E4" s="142"/>
    </row>
    <row r="5" spans="1:13" x14ac:dyDescent="0.35">
      <c r="A5">
        <v>1</v>
      </c>
      <c r="B5">
        <v>2</v>
      </c>
      <c r="C5" s="142">
        <v>-3.3566137866953838E-2</v>
      </c>
      <c r="D5" s="142" t="e">
        <v>#NUM!</v>
      </c>
      <c r="E5" s="142"/>
    </row>
    <row r="6" spans="1:13" x14ac:dyDescent="0.35">
      <c r="A6">
        <v>2</v>
      </c>
      <c r="B6">
        <v>1</v>
      </c>
      <c r="C6" s="142">
        <v>2.2426216155170264E-2</v>
      </c>
      <c r="D6" s="142">
        <v>-1.8186200219464821E-2</v>
      </c>
      <c r="E6" s="142"/>
    </row>
    <row r="7" spans="1:13" x14ac:dyDescent="0.35">
      <c r="A7">
        <v>2</v>
      </c>
      <c r="B7">
        <v>2</v>
      </c>
      <c r="C7" s="142">
        <v>-1.4549847233652491E-3</v>
      </c>
      <c r="D7" s="142">
        <v>-0.10176383686205104</v>
      </c>
      <c r="E7" s="142"/>
    </row>
    <row r="8" spans="1:13" x14ac:dyDescent="0.35">
      <c r="A8">
        <v>3</v>
      </c>
      <c r="B8">
        <v>1</v>
      </c>
      <c r="C8" s="142">
        <v>3.6460737035688195E-2</v>
      </c>
      <c r="D8" s="142">
        <v>2.9489690719677109E-2</v>
      </c>
      <c r="E8" s="142"/>
    </row>
    <row r="9" spans="1:13" x14ac:dyDescent="0.35">
      <c r="A9">
        <v>3</v>
      </c>
      <c r="B9">
        <v>2</v>
      </c>
      <c r="C9" s="142">
        <v>5.7810949471410744E-3</v>
      </c>
      <c r="D9" s="56">
        <v>-7.016500464615949E-2</v>
      </c>
      <c r="E9" s="142"/>
      <c r="I9" s="139" t="s">
        <v>182</v>
      </c>
      <c r="J9" s="139" t="s">
        <v>181</v>
      </c>
    </row>
    <row r="10" spans="1:13" x14ac:dyDescent="0.35">
      <c r="A10">
        <v>4</v>
      </c>
      <c r="B10">
        <v>1</v>
      </c>
      <c r="C10" s="142">
        <v>4.0940783651871815E-2</v>
      </c>
      <c r="D10" s="142">
        <v>4.2750281163030035E-2</v>
      </c>
      <c r="E10" s="142"/>
      <c r="I10" s="139" t="s">
        <v>179</v>
      </c>
      <c r="J10">
        <v>1</v>
      </c>
      <c r="K10">
        <v>2</v>
      </c>
      <c r="L10" t="s">
        <v>202</v>
      </c>
      <c r="M10" t="s">
        <v>180</v>
      </c>
    </row>
    <row r="11" spans="1:13" x14ac:dyDescent="0.35">
      <c r="A11">
        <v>4</v>
      </c>
      <c r="B11">
        <v>2</v>
      </c>
      <c r="C11" s="142">
        <v>7.8785850464353491E-3</v>
      </c>
      <c r="D11" s="56">
        <v>-6.3493799395272776E-2</v>
      </c>
      <c r="E11" s="142"/>
      <c r="I11" s="140">
        <v>1</v>
      </c>
      <c r="J11" s="143">
        <v>-2.6941434930203512E-2</v>
      </c>
      <c r="K11" s="143">
        <v>-3.3566137866953838E-2</v>
      </c>
      <c r="L11" s="143"/>
      <c r="M11" s="143">
        <v>-6.050757279715735E-2</v>
      </c>
    </row>
    <row r="12" spans="1:13" x14ac:dyDescent="0.35">
      <c r="A12">
        <v>5</v>
      </c>
      <c r="B12">
        <v>1</v>
      </c>
      <c r="C12" s="142">
        <v>4.3056888490810907E-2</v>
      </c>
      <c r="D12" s="56">
        <v>4.8930630627259886E-2</v>
      </c>
      <c r="E12" s="142"/>
      <c r="I12" s="140">
        <v>2</v>
      </c>
      <c r="J12" s="143">
        <v>2.2426216155170264E-2</v>
      </c>
      <c r="K12" s="143">
        <v>-1.4549847233652491E-3</v>
      </c>
      <c r="L12" s="143"/>
      <c r="M12" s="143">
        <v>2.0971231431805015E-2</v>
      </c>
    </row>
    <row r="13" spans="1:13" x14ac:dyDescent="0.35">
      <c r="A13">
        <v>5</v>
      </c>
      <c r="B13">
        <v>2</v>
      </c>
      <c r="C13" s="142">
        <v>8.7259207476881873E-3</v>
      </c>
      <c r="D13" s="56">
        <v>-6.1250985252255585E-2</v>
      </c>
      <c r="E13" s="142"/>
      <c r="I13" s="140">
        <v>3</v>
      </c>
      <c r="J13" s="143">
        <v>3.6460737035688195E-2</v>
      </c>
      <c r="K13" s="143">
        <v>5.7810949471410744E-3</v>
      </c>
      <c r="L13" s="143"/>
      <c r="M13" s="143">
        <v>4.224183198282927E-2</v>
      </c>
    </row>
    <row r="14" spans="1:13" x14ac:dyDescent="0.35">
      <c r="A14">
        <v>6</v>
      </c>
      <c r="B14">
        <v>1</v>
      </c>
      <c r="C14" s="142">
        <v>4.4323926074768538E-2</v>
      </c>
      <c r="D14" s="56">
        <v>5.2628118495498644E-2</v>
      </c>
      <c r="E14" s="142"/>
      <c r="I14" s="140">
        <v>4</v>
      </c>
      <c r="J14" s="143">
        <v>4.0940783651871815E-2</v>
      </c>
      <c r="K14" s="143">
        <v>7.8785850464353491E-3</v>
      </c>
      <c r="L14" s="143"/>
      <c r="M14" s="143">
        <v>4.8819368698307164E-2</v>
      </c>
    </row>
    <row r="15" spans="1:13" x14ac:dyDescent="0.35">
      <c r="A15">
        <v>6</v>
      </c>
      <c r="B15">
        <v>2</v>
      </c>
      <c r="C15" s="142">
        <v>8.956144663192056E-3</v>
      </c>
      <c r="D15" s="56">
        <v>-6.1182477542453984E-2</v>
      </c>
      <c r="E15" s="142"/>
      <c r="I15" s="140">
        <v>5</v>
      </c>
      <c r="J15" s="143">
        <v>4.3056888490810907E-2</v>
      </c>
      <c r="K15" s="143">
        <v>8.7259207476881873E-3</v>
      </c>
      <c r="L15" s="143"/>
      <c r="M15" s="143">
        <v>5.1782809238499095E-2</v>
      </c>
    </row>
    <row r="16" spans="1:13" x14ac:dyDescent="0.35">
      <c r="A16">
        <v>7</v>
      </c>
      <c r="B16">
        <v>1</v>
      </c>
      <c r="C16" s="142">
        <v>3.6709436671381823E-2</v>
      </c>
      <c r="D16" s="142">
        <v>2.9958199040603484E-2</v>
      </c>
      <c r="E16" s="142"/>
      <c r="I16" s="140">
        <v>6</v>
      </c>
      <c r="J16" s="143">
        <v>4.4323926074768538E-2</v>
      </c>
      <c r="K16" s="143">
        <v>8.956144663192056E-3</v>
      </c>
      <c r="L16" s="143"/>
      <c r="M16" s="143">
        <v>5.3280070737960594E-2</v>
      </c>
    </row>
    <row r="17" spans="1:13" x14ac:dyDescent="0.35">
      <c r="A17">
        <v>7</v>
      </c>
      <c r="B17">
        <v>2</v>
      </c>
      <c r="C17" s="142">
        <v>5.4813196363379113E-4</v>
      </c>
      <c r="D17" s="56">
        <v>-0.10701896907488162</v>
      </c>
      <c r="E17" s="142"/>
      <c r="I17" s="140">
        <v>7</v>
      </c>
      <c r="J17" s="143">
        <v>3.6709436671381823E-2</v>
      </c>
      <c r="K17" s="143">
        <v>5.4813196363379113E-4</v>
      </c>
      <c r="L17" s="143"/>
      <c r="M17" s="143">
        <v>3.7257568635015614E-2</v>
      </c>
    </row>
    <row r="18" spans="1:13" x14ac:dyDescent="0.35">
      <c r="A18">
        <v>8</v>
      </c>
      <c r="B18">
        <v>1</v>
      </c>
      <c r="C18" s="142">
        <v>2.9537938254954987E-2</v>
      </c>
      <c r="D18" s="56">
        <v>6.0707078873714071E-3</v>
      </c>
      <c r="E18" s="142"/>
      <c r="I18" s="140">
        <v>8</v>
      </c>
      <c r="J18" s="143">
        <v>2.9537938254954987E-2</v>
      </c>
      <c r="K18" s="143">
        <v>-6.4031155680859264E-3</v>
      </c>
      <c r="L18" s="143"/>
      <c r="M18" s="143">
        <v>2.3134822686869061E-2</v>
      </c>
    </row>
    <row r="19" spans="1:13" x14ac:dyDescent="0.35">
      <c r="A19">
        <v>8</v>
      </c>
      <c r="B19">
        <v>2</v>
      </c>
      <c r="C19" s="142">
        <v>-6.4031155680859264E-3</v>
      </c>
      <c r="D19" s="56">
        <v>-0.18136873624687222</v>
      </c>
      <c r="E19" s="142"/>
      <c r="I19" s="140" t="s">
        <v>202</v>
      </c>
    </row>
    <row r="20" spans="1:13" x14ac:dyDescent="0.35">
      <c r="I20" s="140" t="s">
        <v>180</v>
      </c>
      <c r="J20">
        <v>0.22651449140444302</v>
      </c>
      <c r="K20">
        <v>-9.5343607903145555E-3</v>
      </c>
      <c r="M20">
        <v>0.21698013061412846</v>
      </c>
    </row>
    <row r="27" spans="1:13" x14ac:dyDescent="0.35">
      <c r="E27" s="165">
        <f>C14 - C8</f>
        <v>7.8631890390803427E-3</v>
      </c>
    </row>
  </sheetData>
  <conditionalFormatting sqref="C4:C2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1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Dimensionnement">
                <anchor moveWithCells="1" sizeWithCells="1">
                  <from>
                    <xdr:col>5</xdr:col>
                    <xdr:colOff>279400</xdr:colOff>
                    <xdr:row>2</xdr:row>
                    <xdr:rowOff>139700</xdr:rowOff>
                  </from>
                  <to>
                    <xdr:col>8</xdr:col>
                    <xdr:colOff>431800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F2AA-1277-4C94-9800-FCF95969113B}">
  <sheetPr codeName="Feuil4">
    <tabColor theme="5" tint="-0.249977111117893"/>
  </sheetPr>
  <dimension ref="A3:R14"/>
  <sheetViews>
    <sheetView zoomScale="69" zoomScaleNormal="69" workbookViewId="0">
      <selection activeCell="K20" sqref="K20"/>
    </sheetView>
  </sheetViews>
  <sheetFormatPr baseColWidth="10" defaultRowHeight="14.5" x14ac:dyDescent="0.35"/>
  <cols>
    <col min="1" max="1" width="22.36328125" customWidth="1"/>
    <col min="2" max="2" width="12.81640625" bestFit="1" customWidth="1"/>
    <col min="3" max="6" width="11.1796875" bestFit="1" customWidth="1"/>
    <col min="7" max="15" width="11" bestFit="1" customWidth="1"/>
    <col min="16" max="16" width="11.1796875" bestFit="1" customWidth="1"/>
    <col min="17" max="18" width="11" bestFit="1" customWidth="1"/>
  </cols>
  <sheetData>
    <row r="3" spans="1:18" x14ac:dyDescent="0.35">
      <c r="A3" t="s">
        <v>108</v>
      </c>
      <c r="B3">
        <f>BP!D39</f>
        <v>2025</v>
      </c>
      <c r="C3">
        <f>BP!E39</f>
        <v>2026</v>
      </c>
      <c r="D3">
        <f>BP!F39</f>
        <v>2027</v>
      </c>
      <c r="E3">
        <f>BP!G39</f>
        <v>2028</v>
      </c>
      <c r="F3">
        <f>BP!H39</f>
        <v>2029</v>
      </c>
      <c r="G3">
        <f>BP!I39</f>
        <v>2030</v>
      </c>
      <c r="H3">
        <f>BP!J39</f>
        <v>2031</v>
      </c>
      <c r="I3">
        <f>BP!K39</f>
        <v>2032</v>
      </c>
      <c r="J3">
        <f>BP!L39</f>
        <v>2033</v>
      </c>
      <c r="K3">
        <f>BP!M39</f>
        <v>2034</v>
      </c>
      <c r="L3">
        <f>BP!N39</f>
        <v>2035</v>
      </c>
      <c r="M3">
        <f>BP!O39</f>
        <v>2036</v>
      </c>
      <c r="N3">
        <f>BP!P39</f>
        <v>2037</v>
      </c>
      <c r="O3">
        <f>BP!Q39</f>
        <v>2038</v>
      </c>
      <c r="P3">
        <f>BP!R39</f>
        <v>2039</v>
      </c>
      <c r="Q3">
        <f>BP!S39</f>
        <v>2040</v>
      </c>
      <c r="R3">
        <f>BP!T39</f>
        <v>2041</v>
      </c>
    </row>
    <row r="4" spans="1:18" x14ac:dyDescent="0.35">
      <c r="A4" t="s">
        <v>105</v>
      </c>
      <c r="B4" s="62">
        <f ca="1">BP!D46-BP!D51</f>
        <v>-120520.47564619943</v>
      </c>
      <c r="C4" s="62" t="e">
        <f ca="1">BP!E46-BP!E51</f>
        <v>#N/A</v>
      </c>
      <c r="D4" s="62" t="e">
        <f ca="1">BP!F46-BP!F51</f>
        <v>#N/A</v>
      </c>
      <c r="E4" s="62" t="e">
        <f ca="1">BP!G46-BP!G51</f>
        <v>#N/A</v>
      </c>
      <c r="F4" s="62" t="e">
        <f ca="1">BP!H46-BP!H51</f>
        <v>#N/A</v>
      </c>
      <c r="G4" s="62" t="e">
        <f ca="1">BP!I46-BP!I51</f>
        <v>#N/A</v>
      </c>
      <c r="H4" s="62" t="e">
        <f ca="1">BP!J46-BP!J51</f>
        <v>#N/A</v>
      </c>
      <c r="I4" s="62" t="e">
        <f ca="1">BP!K46-BP!K51</f>
        <v>#N/A</v>
      </c>
      <c r="J4" s="62" t="e">
        <f ca="1">BP!L46-BP!L51</f>
        <v>#N/A</v>
      </c>
      <c r="K4" s="62" t="e">
        <f ca="1">BP!M46-BP!M51</f>
        <v>#N/A</v>
      </c>
      <c r="L4" s="62" t="e">
        <f ca="1">BP!N46-BP!N51</f>
        <v>#N/A</v>
      </c>
      <c r="M4" s="62" t="e">
        <f ca="1">BP!O46-BP!O51</f>
        <v>#N/A</v>
      </c>
      <c r="N4" s="62" t="e">
        <f ca="1">BP!P46-BP!P51</f>
        <v>#N/A</v>
      </c>
      <c r="O4" s="62" t="e">
        <f ca="1">BP!Q46-BP!Q51</f>
        <v>#N/A</v>
      </c>
      <c r="P4" s="62" t="e">
        <f ca="1">BP!R46-BP!R51</f>
        <v>#N/A</v>
      </c>
      <c r="Q4" s="62" t="e">
        <f ca="1">BP!S46-BP!S51</f>
        <v>#N/A</v>
      </c>
      <c r="R4" s="62" t="e">
        <f ca="1">BP!T46-BP!T51</f>
        <v>#N/A</v>
      </c>
    </row>
    <row r="5" spans="1:18" x14ac:dyDescent="0.35">
      <c r="A5" t="s">
        <v>106</v>
      </c>
      <c r="B5" s="62">
        <f ca="1">BP!D79</f>
        <v>0</v>
      </c>
      <c r="C5" s="62" t="e">
        <f ca="1">BP!E79</f>
        <v>#N/A</v>
      </c>
      <c r="D5" s="62" t="e">
        <f ca="1">BP!F79</f>
        <v>#N/A</v>
      </c>
      <c r="E5" s="62" t="e">
        <f ca="1">BP!G79</f>
        <v>#N/A</v>
      </c>
      <c r="F5" s="62" t="e">
        <f ca="1">BP!H79</f>
        <v>#N/A</v>
      </c>
      <c r="G5" s="62" t="e">
        <f ca="1">BP!I79</f>
        <v>#N/A</v>
      </c>
      <c r="H5" s="62" t="e">
        <f ca="1">BP!J79</f>
        <v>#N/A</v>
      </c>
      <c r="I5" s="62" t="e">
        <f ca="1">BP!K79</f>
        <v>#N/A</v>
      </c>
      <c r="J5" s="62" t="e">
        <f ca="1">BP!L79</f>
        <v>#N/A</v>
      </c>
      <c r="K5" s="62" t="e">
        <f ca="1">BP!M79</f>
        <v>#N/A</v>
      </c>
      <c r="L5" s="62" t="e">
        <f ca="1">BP!N79</f>
        <v>#N/A</v>
      </c>
      <c r="M5" s="62" t="e">
        <f ca="1">BP!O79</f>
        <v>#N/A</v>
      </c>
      <c r="N5" s="62" t="e">
        <f ca="1">BP!P79</f>
        <v>#N/A</v>
      </c>
      <c r="O5" s="62" t="e">
        <f ca="1">BP!Q79</f>
        <v>#N/A</v>
      </c>
      <c r="P5" s="62" t="e">
        <f ca="1">BP!R79</f>
        <v>#N/A</v>
      </c>
      <c r="Q5" s="62" t="e">
        <f ca="1">BP!S79</f>
        <v>#N/A</v>
      </c>
      <c r="R5" s="62" t="e">
        <f ca="1">BP!T79</f>
        <v>#N/A</v>
      </c>
    </row>
    <row r="6" spans="1:18" x14ac:dyDescent="0.35">
      <c r="A6" t="s">
        <v>107</v>
      </c>
      <c r="B6" s="62">
        <f ca="1">BP!D83</f>
        <v>564972.48745850986</v>
      </c>
      <c r="C6" s="62" t="e">
        <f ca="1">BP!E83</f>
        <v>#N/A</v>
      </c>
      <c r="D6" s="62" t="e">
        <f ca="1">BP!F83</f>
        <v>#N/A</v>
      </c>
      <c r="E6" s="62" t="e">
        <f ca="1">BP!G83</f>
        <v>#N/A</v>
      </c>
      <c r="F6" s="62" t="e">
        <f ca="1">BP!H83</f>
        <v>#N/A</v>
      </c>
      <c r="G6" s="62" t="e">
        <f ca="1">BP!I83</f>
        <v>#N/A</v>
      </c>
      <c r="H6" s="62" t="e">
        <f ca="1">BP!J83</f>
        <v>#N/A</v>
      </c>
      <c r="I6" s="62" t="e">
        <f ca="1">BP!K83</f>
        <v>#N/A</v>
      </c>
      <c r="J6" s="62" t="e">
        <f ca="1">BP!L83</f>
        <v>#N/A</v>
      </c>
      <c r="K6" s="62" t="e">
        <f ca="1">BP!M83</f>
        <v>#N/A</v>
      </c>
      <c r="L6" s="62" t="e">
        <f ca="1">BP!N83</f>
        <v>#N/A</v>
      </c>
      <c r="M6" s="62" t="e">
        <f ca="1">BP!O83</f>
        <v>#N/A</v>
      </c>
      <c r="N6" s="62" t="e">
        <f ca="1">BP!P83</f>
        <v>#N/A</v>
      </c>
      <c r="O6" s="62" t="e">
        <f ca="1">BP!Q83</f>
        <v>#N/A</v>
      </c>
      <c r="P6" s="62" t="e">
        <f ca="1">BP!R83</f>
        <v>#N/A</v>
      </c>
      <c r="Q6" s="62" t="e">
        <f ca="1">BP!S83</f>
        <v>#N/A</v>
      </c>
      <c r="R6" s="62" t="e">
        <f ca="1">BP!T83</f>
        <v>#N/A</v>
      </c>
    </row>
    <row r="7" spans="1:18" x14ac:dyDescent="0.35">
      <c r="A7" t="s">
        <v>85</v>
      </c>
      <c r="B7" s="62">
        <f>BP!D87</f>
        <v>135768.07335000002</v>
      </c>
      <c r="C7" s="62">
        <f>BP!E87</f>
        <v>124019.67760000002</v>
      </c>
      <c r="D7" s="62">
        <f>BP!F87</f>
        <v>117695.52807012001</v>
      </c>
      <c r="E7" s="62">
        <f>BP!G87</f>
        <v>103431.52237259664</v>
      </c>
      <c r="F7" s="62">
        <f>BP!H87</f>
        <v>116825.64221479507</v>
      </c>
      <c r="G7" s="62">
        <f>BP!I87</f>
        <v>131225.93838781162</v>
      </c>
      <c r="H7" s="62">
        <f>BP!J87</f>
        <v>121777.82924515642</v>
      </c>
      <c r="I7" s="62">
        <f>BP!K87</f>
        <v>124665.367163403</v>
      </c>
      <c r="J7" s="62">
        <f>BP!L87</f>
        <v>123810.04523575951</v>
      </c>
      <c r="K7" s="62">
        <f>BP!M87</f>
        <v>124745.57864174573</v>
      </c>
      <c r="L7" s="62">
        <f>BP!N87</f>
        <v>105712.74434464329</v>
      </c>
      <c r="M7" s="62">
        <f>BP!O87</f>
        <v>126243.44786207471</v>
      </c>
      <c r="N7" s="62">
        <f>BP!P87</f>
        <v>123977.8899092811</v>
      </c>
      <c r="O7" s="62">
        <f>BP!Q87</f>
        <v>121343.72805703369</v>
      </c>
      <c r="P7" s="62">
        <f>BP!R87</f>
        <v>118407.30502601305</v>
      </c>
      <c r="Q7" s="62">
        <f>BP!S87</f>
        <v>117073.68170171851</v>
      </c>
      <c r="R7" s="62">
        <f>BP!T87</f>
        <v>123434.16488897719</v>
      </c>
    </row>
    <row r="11" spans="1:18" x14ac:dyDescent="0.35">
      <c r="B11" s="62"/>
    </row>
    <row r="12" spans="1:18" x14ac:dyDescent="0.35">
      <c r="B12" s="62"/>
    </row>
    <row r="13" spans="1:18" x14ac:dyDescent="0.35">
      <c r="B13" s="62"/>
    </row>
    <row r="14" spans="1:18" x14ac:dyDescent="0.35">
      <c r="B14" s="62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E86CC-E966-43F0-8F4E-38E787E08B33}">
  <sheetPr codeName="Feuil5"/>
  <dimension ref="A1:L29"/>
  <sheetViews>
    <sheetView zoomScale="63" zoomScaleNormal="63" workbookViewId="0">
      <selection activeCell="E46" sqref="E46"/>
    </sheetView>
  </sheetViews>
  <sheetFormatPr baseColWidth="10" defaultRowHeight="14.5" x14ac:dyDescent="0.35"/>
  <cols>
    <col min="2" max="2" width="31.453125" customWidth="1"/>
    <col min="3" max="3" width="16.36328125" customWidth="1"/>
    <col min="4" max="4" width="16.90625" bestFit="1" customWidth="1"/>
    <col min="5" max="5" width="16.1796875" customWidth="1"/>
    <col min="9" max="9" width="29.7265625" bestFit="1" customWidth="1"/>
    <col min="10" max="10" width="30.81640625" bestFit="1" customWidth="1"/>
    <col min="11" max="12" width="16.08984375" bestFit="1" customWidth="1"/>
    <col min="13" max="13" width="10.1796875" bestFit="1" customWidth="1"/>
    <col min="14" max="14" width="26.81640625" bestFit="1" customWidth="1"/>
    <col min="15" max="15" width="32.54296875" bestFit="1" customWidth="1"/>
  </cols>
  <sheetData>
    <row r="1" spans="1:6" s="138" customFormat="1" ht="15.5" x14ac:dyDescent="0.35">
      <c r="A1" s="157" t="s">
        <v>186</v>
      </c>
    </row>
    <row r="3" spans="1:6" s="92" customFormat="1" ht="14" x14ac:dyDescent="0.3">
      <c r="A3" s="121"/>
      <c r="B3" s="93" t="s">
        <v>189</v>
      </c>
    </row>
    <row r="5" spans="1:6" x14ac:dyDescent="0.35">
      <c r="B5" s="146" t="s">
        <v>170</v>
      </c>
      <c r="C5" s="149">
        <v>6</v>
      </c>
    </row>
    <row r="6" spans="1:6" x14ac:dyDescent="0.35">
      <c r="B6" s="146" t="s">
        <v>169</v>
      </c>
      <c r="C6" s="149">
        <v>1</v>
      </c>
    </row>
    <row r="8" spans="1:6" s="92" customFormat="1" ht="14" x14ac:dyDescent="0.3">
      <c r="A8" s="121"/>
      <c r="B8" s="93" t="s">
        <v>188</v>
      </c>
    </row>
    <row r="9" spans="1:6" s="154" customFormat="1" ht="14" x14ac:dyDescent="0.3">
      <c r="A9" s="152"/>
      <c r="B9" s="153"/>
    </row>
    <row r="10" spans="1:6" x14ac:dyDescent="0.35">
      <c r="C10" s="147" t="s">
        <v>173</v>
      </c>
      <c r="D10" s="147" t="s">
        <v>174</v>
      </c>
    </row>
    <row r="11" spans="1:6" x14ac:dyDescent="0.35">
      <c r="B11" s="148" t="s">
        <v>175</v>
      </c>
      <c r="C11" s="149">
        <v>17</v>
      </c>
      <c r="D11" s="149">
        <v>15</v>
      </c>
    </row>
    <row r="12" spans="1:6" x14ac:dyDescent="0.35">
      <c r="B12" s="148" t="s">
        <v>176</v>
      </c>
      <c r="C12" s="149">
        <v>250</v>
      </c>
      <c r="D12" s="149">
        <v>250</v>
      </c>
    </row>
    <row r="13" spans="1:6" x14ac:dyDescent="0.35">
      <c r="B13" s="148" t="s">
        <v>177</v>
      </c>
      <c r="C13" s="149">
        <v>200</v>
      </c>
      <c r="D13" s="149">
        <v>230</v>
      </c>
    </row>
    <row r="14" spans="1:6" x14ac:dyDescent="0.35">
      <c r="B14" s="148" t="s">
        <v>178</v>
      </c>
      <c r="C14" s="150">
        <v>0.01</v>
      </c>
      <c r="D14" s="150">
        <v>0.02</v>
      </c>
    </row>
    <row r="16" spans="1:6" x14ac:dyDescent="0.35">
      <c r="B16" s="146" t="s">
        <v>184</v>
      </c>
      <c r="C16" s="149">
        <v>1</v>
      </c>
      <c r="D16" s="149">
        <v>1.25</v>
      </c>
      <c r="E16" s="149">
        <v>1.5</v>
      </c>
      <c r="F16" s="149">
        <v>1.75</v>
      </c>
    </row>
    <row r="17" spans="1:12" x14ac:dyDescent="0.35">
      <c r="B17" s="145" t="s">
        <v>187</v>
      </c>
      <c r="C17" s="151">
        <f>AVERAGE(BP!$D$88:$T$88)*C16</f>
        <v>24390.388235294118</v>
      </c>
      <c r="D17" s="151">
        <f>AVERAGE(BP!$D$88:$T$88)*D16</f>
        <v>30487.985294117647</v>
      </c>
      <c r="E17" s="151">
        <f>AVERAGE(BP!$D$88:$T$88)*E16</f>
        <v>36585.582352941179</v>
      </c>
      <c r="F17" s="151">
        <f>AVERAGE(BP!$D$88:$T$88)*F16</f>
        <v>42683.179411764708</v>
      </c>
    </row>
    <row r="19" spans="1:12" s="92" customFormat="1" ht="14" x14ac:dyDescent="0.3">
      <c r="A19" s="121"/>
      <c r="B19" s="93" t="s">
        <v>190</v>
      </c>
    </row>
    <row r="21" spans="1:12" ht="29" x14ac:dyDescent="0.35">
      <c r="B21" s="155" t="s">
        <v>191</v>
      </c>
      <c r="C21" s="156" t="s">
        <v>187</v>
      </c>
      <c r="D21" s="155" t="s">
        <v>168</v>
      </c>
      <c r="E21" s="155" t="s">
        <v>171</v>
      </c>
      <c r="I21" s="139" t="s">
        <v>182</v>
      </c>
      <c r="J21" s="139" t="s">
        <v>181</v>
      </c>
    </row>
    <row r="22" spans="1:12" x14ac:dyDescent="0.35">
      <c r="B22" s="155" t="s">
        <v>173</v>
      </c>
      <c r="C22" s="158">
        <v>24390.388235294118</v>
      </c>
      <c r="D22" s="159">
        <v>3.1709458527517276E-2</v>
      </c>
      <c r="E22" s="159">
        <v>1.4900514768186213E-2</v>
      </c>
      <c r="I22" s="139" t="s">
        <v>179</v>
      </c>
      <c r="J22" t="s">
        <v>173</v>
      </c>
      <c r="K22" t="s">
        <v>174</v>
      </c>
      <c r="L22" t="s">
        <v>180</v>
      </c>
    </row>
    <row r="23" spans="1:12" x14ac:dyDescent="0.35">
      <c r="B23" s="155" t="s">
        <v>174</v>
      </c>
      <c r="C23" s="158">
        <v>24390.388235294118</v>
      </c>
      <c r="D23" s="159">
        <v>-8.5635706717406279E-3</v>
      </c>
      <c r="E23" s="159" t="e">
        <v>#NUM!</v>
      </c>
      <c r="I23" s="160">
        <v>24390.388235294118</v>
      </c>
      <c r="J23" s="143">
        <v>3.1709458527517276E-2</v>
      </c>
      <c r="K23" s="143">
        <v>-8.5635706717406279E-3</v>
      </c>
      <c r="L23" s="143">
        <v>2.3145887855776648E-2</v>
      </c>
    </row>
    <row r="24" spans="1:12" x14ac:dyDescent="0.35">
      <c r="B24" s="155" t="s">
        <v>173</v>
      </c>
      <c r="C24" s="158">
        <v>30487.985294117647</v>
      </c>
      <c r="D24" s="159">
        <v>4.6387499372158469E-2</v>
      </c>
      <c r="E24" s="159">
        <v>5.7956864633146088E-2</v>
      </c>
      <c r="I24" s="160">
        <v>30487.985294117647</v>
      </c>
      <c r="J24" s="143">
        <v>4.6387499372158469E-2</v>
      </c>
      <c r="K24" s="143">
        <v>1.1732783704943683E-2</v>
      </c>
      <c r="L24" s="143">
        <v>5.8120283077102153E-2</v>
      </c>
    </row>
    <row r="25" spans="1:12" x14ac:dyDescent="0.35">
      <c r="B25" s="155" t="s">
        <v>174</v>
      </c>
      <c r="C25" s="158">
        <v>30487.985294117647</v>
      </c>
      <c r="D25" s="159">
        <v>1.1732783704943683E-2</v>
      </c>
      <c r="E25" s="159">
        <v>-5.837176261692778E-2</v>
      </c>
      <c r="I25" s="160">
        <v>36585.582352941179</v>
      </c>
      <c r="J25" s="143">
        <v>5.9947826563139905E-2</v>
      </c>
      <c r="K25" s="143">
        <v>2.9349506855767871E-2</v>
      </c>
      <c r="L25" s="143">
        <v>8.9297333418907776E-2</v>
      </c>
    </row>
    <row r="26" spans="1:12" x14ac:dyDescent="0.35">
      <c r="B26" s="155" t="s">
        <v>173</v>
      </c>
      <c r="C26" s="158">
        <v>36585.582352941179</v>
      </c>
      <c r="D26" s="159">
        <v>5.9947826563139905E-2</v>
      </c>
      <c r="E26" s="159">
        <v>9.3590838062416193E-2</v>
      </c>
      <c r="I26" s="160">
        <v>42683.179411764708</v>
      </c>
      <c r="J26" s="143">
        <v>7.2920125457662577E-2</v>
      </c>
      <c r="K26" s="143">
        <v>4.3640352433781615E-2</v>
      </c>
      <c r="L26" s="143">
        <v>0.11656047789144419</v>
      </c>
    </row>
    <row r="27" spans="1:12" x14ac:dyDescent="0.35">
      <c r="B27" s="155" t="s">
        <v>174</v>
      </c>
      <c r="C27" s="158">
        <v>36585.582352941179</v>
      </c>
      <c r="D27" s="159">
        <v>2.9349506855767871E-2</v>
      </c>
      <c r="E27" s="159">
        <v>8.2949831069589752E-3</v>
      </c>
      <c r="I27" s="160" t="s">
        <v>180</v>
      </c>
      <c r="J27">
        <v>0.21096490992047823</v>
      </c>
      <c r="K27">
        <v>7.6159072322752541E-2</v>
      </c>
      <c r="L27">
        <v>0.28712398224323077</v>
      </c>
    </row>
    <row r="28" spans="1:12" x14ac:dyDescent="0.35">
      <c r="B28" s="155" t="s">
        <v>173</v>
      </c>
      <c r="C28" s="158">
        <v>42683.179411764708</v>
      </c>
      <c r="D28" s="159">
        <v>7.2920125457662577E-2</v>
      </c>
      <c r="E28" s="159">
        <v>0.12578129199161459</v>
      </c>
    </row>
    <row r="29" spans="1:12" x14ac:dyDescent="0.35">
      <c r="B29" s="155" t="s">
        <v>174</v>
      </c>
      <c r="C29" s="158">
        <v>42683.179411764708</v>
      </c>
      <c r="D29" s="159">
        <v>4.3640352433781615E-2</v>
      </c>
      <c r="E29" s="159">
        <v>5.0157165509573387E-2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ensibilité">
                <anchor moveWithCells="1" sizeWithCells="1">
                  <from>
                    <xdr:col>7</xdr:col>
                    <xdr:colOff>0</xdr:colOff>
                    <xdr:row>10</xdr:row>
                    <xdr:rowOff>171450</xdr:rowOff>
                  </from>
                  <to>
                    <xdr:col>10</xdr:col>
                    <xdr:colOff>755650</xdr:colOff>
                    <xdr:row>14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4B6E-0DD8-4912-BF5A-C5DC27407B37}">
  <sheetPr codeName="Feuil6">
    <tabColor theme="8" tint="0.39997558519241921"/>
  </sheetPr>
  <dimension ref="A1:P3537"/>
  <sheetViews>
    <sheetView tabSelected="1" workbookViewId="0">
      <selection activeCell="H1" sqref="H1:H1048576"/>
    </sheetView>
  </sheetViews>
  <sheetFormatPr baseColWidth="10" defaultRowHeight="14.5" x14ac:dyDescent="0.35"/>
  <cols>
    <col min="1" max="1" width="34.90625" customWidth="1"/>
    <col min="2" max="4" width="8.7265625"/>
  </cols>
  <sheetData>
    <row r="1" spans="1:16" x14ac:dyDescent="0.35">
      <c r="A1" s="12"/>
      <c r="B1" s="55" t="s">
        <v>76</v>
      </c>
      <c r="C1" s="55" t="s">
        <v>90</v>
      </c>
      <c r="D1" s="55" t="s">
        <v>91</v>
      </c>
      <c r="E1" s="55" t="s">
        <v>93</v>
      </c>
      <c r="F1" s="55" t="s">
        <v>92</v>
      </c>
      <c r="G1" s="55" t="s">
        <v>94</v>
      </c>
      <c r="H1" s="55" t="s">
        <v>204</v>
      </c>
      <c r="I1" s="55" t="s">
        <v>205</v>
      </c>
      <c r="J1" s="55" t="s">
        <v>206</v>
      </c>
      <c r="K1" s="55" t="s">
        <v>207</v>
      </c>
      <c r="L1" s="57"/>
      <c r="M1" s="57"/>
      <c r="N1" s="57"/>
      <c r="O1" s="57"/>
      <c r="P1" s="57"/>
    </row>
    <row r="2" spans="1:16" x14ac:dyDescent="0.35">
      <c r="A2" t="str">
        <f>C2&amp;D2&amp;E2&amp;G2&amp;H2&amp;I2</f>
        <v>networkturpe_power_costS1202551</v>
      </c>
      <c r="B2" t="s">
        <v>95</v>
      </c>
      <c r="C2" t="s">
        <v>96</v>
      </c>
      <c r="D2" t="s">
        <v>97</v>
      </c>
      <c r="E2" t="s">
        <v>110</v>
      </c>
      <c r="F2">
        <v>8337.1681183861238</v>
      </c>
      <c r="G2">
        <v>2025</v>
      </c>
      <c r="H2">
        <v>5.0000000000000009</v>
      </c>
      <c r="I2">
        <v>1</v>
      </c>
      <c r="J2">
        <v>6</v>
      </c>
      <c r="K2">
        <v>6</v>
      </c>
    </row>
    <row r="3" spans="1:16" x14ac:dyDescent="0.35">
      <c r="A3" t="str">
        <f t="shared" ref="A3:A66" si="0">C3&amp;D3&amp;E3&amp;G3&amp;H3&amp;I3</f>
        <v>networkturpe_energy_costS1202551</v>
      </c>
      <c r="B3" t="s">
        <v>95</v>
      </c>
      <c r="C3" t="s">
        <v>96</v>
      </c>
      <c r="D3" t="s">
        <v>98</v>
      </c>
      <c r="E3" t="s">
        <v>110</v>
      </c>
      <c r="F3">
        <v>38150.890211360413</v>
      </c>
      <c r="G3">
        <v>2025</v>
      </c>
      <c r="H3">
        <v>5.0000000000000009</v>
      </c>
      <c r="I3">
        <v>1</v>
      </c>
      <c r="J3">
        <v>6</v>
      </c>
      <c r="K3">
        <v>6</v>
      </c>
    </row>
    <row r="4" spans="1:16" x14ac:dyDescent="0.35">
      <c r="A4" t="str">
        <f t="shared" si="0"/>
        <v>DAcostS1202551</v>
      </c>
      <c r="C4" t="s">
        <v>99</v>
      </c>
      <c r="D4" t="s">
        <v>100</v>
      </c>
      <c r="E4" t="s">
        <v>110</v>
      </c>
      <c r="F4">
        <v>66040.377537272623</v>
      </c>
      <c r="G4">
        <v>2025</v>
      </c>
      <c r="H4">
        <v>5.0000000000000009</v>
      </c>
      <c r="I4">
        <v>1</v>
      </c>
      <c r="J4">
        <v>6</v>
      </c>
      <c r="K4">
        <v>6</v>
      </c>
    </row>
    <row r="5" spans="1:16" x14ac:dyDescent="0.35">
      <c r="A5" t="str">
        <f t="shared" si="0"/>
        <v>DAincomeS1202551</v>
      </c>
      <c r="C5" t="s">
        <v>99</v>
      </c>
      <c r="D5" t="s">
        <v>101</v>
      </c>
      <c r="E5" t="s">
        <v>110</v>
      </c>
      <c r="F5">
        <v>3084.0540741367799</v>
      </c>
      <c r="G5">
        <v>2025</v>
      </c>
      <c r="H5">
        <v>5.0000000000000009</v>
      </c>
      <c r="I5">
        <v>1</v>
      </c>
      <c r="J5">
        <v>6</v>
      </c>
      <c r="K5">
        <v>6</v>
      </c>
    </row>
    <row r="6" spans="1:16" x14ac:dyDescent="0.35">
      <c r="A6" t="str">
        <f t="shared" si="0"/>
        <v>DAenergy_boughtS1202551</v>
      </c>
      <c r="C6" t="s">
        <v>99</v>
      </c>
      <c r="D6" t="s">
        <v>111</v>
      </c>
      <c r="E6" t="s">
        <v>110</v>
      </c>
      <c r="F6">
        <v>388.82383061290011</v>
      </c>
      <c r="G6">
        <v>2025</v>
      </c>
      <c r="H6">
        <v>5.0000000000000009</v>
      </c>
      <c r="I6">
        <v>1</v>
      </c>
      <c r="J6">
        <v>6</v>
      </c>
      <c r="K6">
        <v>6</v>
      </c>
    </row>
    <row r="7" spans="1:16" x14ac:dyDescent="0.35">
      <c r="A7" t="str">
        <f t="shared" si="0"/>
        <v>DAenergy_soldS1202551</v>
      </c>
      <c r="C7" t="s">
        <v>99</v>
      </c>
      <c r="D7" t="s">
        <v>112</v>
      </c>
      <c r="E7" t="s">
        <v>110</v>
      </c>
      <c r="F7">
        <v>8.6088522963856366</v>
      </c>
      <c r="G7">
        <v>2025</v>
      </c>
      <c r="H7">
        <v>5.0000000000000009</v>
      </c>
      <c r="I7">
        <v>1</v>
      </c>
      <c r="J7">
        <v>6</v>
      </c>
      <c r="K7">
        <v>6</v>
      </c>
    </row>
    <row r="8" spans="1:16" x14ac:dyDescent="0.35">
      <c r="A8" t="str">
        <f t="shared" si="0"/>
        <v>DAhours_boughtS1202551</v>
      </c>
      <c r="C8" t="s">
        <v>99</v>
      </c>
      <c r="D8" t="s">
        <v>113</v>
      </c>
      <c r="E8" t="s">
        <v>110</v>
      </c>
      <c r="F8">
        <v>5039</v>
      </c>
      <c r="G8">
        <v>2025</v>
      </c>
      <c r="H8">
        <v>5.0000000000000009</v>
      </c>
      <c r="I8">
        <v>1</v>
      </c>
      <c r="J8">
        <v>6</v>
      </c>
      <c r="K8">
        <v>6</v>
      </c>
    </row>
    <row r="9" spans="1:16" x14ac:dyDescent="0.35">
      <c r="A9" t="str">
        <f t="shared" si="0"/>
        <v>DAhours_soldS1202551</v>
      </c>
      <c r="C9" t="s">
        <v>99</v>
      </c>
      <c r="D9" t="s">
        <v>114</v>
      </c>
      <c r="E9" t="s">
        <v>110</v>
      </c>
      <c r="F9">
        <v>3</v>
      </c>
      <c r="G9">
        <v>2025</v>
      </c>
      <c r="H9">
        <v>5.0000000000000009</v>
      </c>
      <c r="I9">
        <v>1</v>
      </c>
      <c r="J9">
        <v>6</v>
      </c>
      <c r="K9">
        <v>6</v>
      </c>
    </row>
    <row r="10" spans="1:16" x14ac:dyDescent="0.35">
      <c r="A10" t="str">
        <f t="shared" si="0"/>
        <v>DAco2_emissionS1202551</v>
      </c>
      <c r="C10" t="s">
        <v>99</v>
      </c>
      <c r="D10" t="s">
        <v>201</v>
      </c>
      <c r="E10" t="s">
        <v>110</v>
      </c>
      <c r="F10">
        <v>27217.668142905251</v>
      </c>
      <c r="G10">
        <v>2025</v>
      </c>
      <c r="H10">
        <v>5.0000000000000009</v>
      </c>
      <c r="I10">
        <v>1</v>
      </c>
      <c r="J10">
        <v>6</v>
      </c>
      <c r="K10">
        <v>6</v>
      </c>
    </row>
    <row r="11" spans="1:16" x14ac:dyDescent="0.35">
      <c r="A11" t="str">
        <f t="shared" si="0"/>
        <v>fcrincomeS1202551</v>
      </c>
      <c r="C11" t="s">
        <v>102</v>
      </c>
      <c r="D11" t="s">
        <v>101</v>
      </c>
      <c r="E11" t="s">
        <v>110</v>
      </c>
      <c r="F11">
        <v>0</v>
      </c>
      <c r="G11">
        <v>2025</v>
      </c>
      <c r="H11">
        <v>5.0000000000000009</v>
      </c>
      <c r="I11">
        <v>1</v>
      </c>
      <c r="J11">
        <v>6</v>
      </c>
      <c r="K11">
        <v>6</v>
      </c>
    </row>
    <row r="12" spans="1:16" x14ac:dyDescent="0.35">
      <c r="A12" t="str">
        <f t="shared" si="0"/>
        <v>fcractivation_hoursS1202551</v>
      </c>
      <c r="C12" t="s">
        <v>102</v>
      </c>
      <c r="D12" t="s">
        <v>115</v>
      </c>
      <c r="E12" t="s">
        <v>110</v>
      </c>
      <c r="F12">
        <v>0</v>
      </c>
      <c r="G12">
        <v>2025</v>
      </c>
      <c r="H12">
        <v>5.0000000000000009</v>
      </c>
      <c r="I12">
        <v>1</v>
      </c>
      <c r="J12">
        <v>6</v>
      </c>
      <c r="K12">
        <v>6</v>
      </c>
    </row>
    <row r="13" spans="1:16" x14ac:dyDescent="0.35">
      <c r="A13" t="str">
        <f t="shared" si="0"/>
        <v>afrrincomeS1202551</v>
      </c>
      <c r="C13" t="s">
        <v>103</v>
      </c>
      <c r="D13" t="s">
        <v>101</v>
      </c>
      <c r="E13" t="s">
        <v>110</v>
      </c>
      <c r="F13">
        <v>295443.36329522717</v>
      </c>
      <c r="G13">
        <v>2025</v>
      </c>
      <c r="H13">
        <v>5.0000000000000009</v>
      </c>
      <c r="I13">
        <v>1</v>
      </c>
      <c r="J13">
        <v>6</v>
      </c>
      <c r="K13">
        <v>6</v>
      </c>
    </row>
    <row r="14" spans="1:16" x14ac:dyDescent="0.35">
      <c r="A14" t="str">
        <f t="shared" si="0"/>
        <v>afrractivation_hoursS1202551</v>
      </c>
      <c r="C14" t="s">
        <v>103</v>
      </c>
      <c r="D14" t="s">
        <v>115</v>
      </c>
      <c r="E14" t="s">
        <v>110</v>
      </c>
      <c r="F14">
        <v>8720</v>
      </c>
      <c r="G14">
        <v>2025</v>
      </c>
      <c r="H14">
        <v>5.0000000000000009</v>
      </c>
      <c r="I14">
        <v>1</v>
      </c>
      <c r="J14">
        <v>6</v>
      </c>
      <c r="K14">
        <v>6</v>
      </c>
    </row>
    <row r="15" spans="1:16" x14ac:dyDescent="0.35">
      <c r="A15" t="str">
        <f t="shared" si="0"/>
        <v>networkturpe_power_costS1202552</v>
      </c>
      <c r="B15" t="s">
        <v>95</v>
      </c>
      <c r="C15" t="s">
        <v>96</v>
      </c>
      <c r="D15" t="s">
        <v>97</v>
      </c>
      <c r="E15" t="s">
        <v>110</v>
      </c>
      <c r="F15">
        <v>16375.23053310646</v>
      </c>
      <c r="G15">
        <v>2025</v>
      </c>
      <c r="H15">
        <v>5.0000000000000009</v>
      </c>
      <c r="I15">
        <v>2</v>
      </c>
      <c r="J15">
        <v>6</v>
      </c>
      <c r="K15">
        <v>6</v>
      </c>
    </row>
    <row r="16" spans="1:16" x14ac:dyDescent="0.35">
      <c r="A16" t="str">
        <f t="shared" si="0"/>
        <v>networkturpe_energy_costS1202552</v>
      </c>
      <c r="B16" t="s">
        <v>95</v>
      </c>
      <c r="C16" t="s">
        <v>96</v>
      </c>
      <c r="D16" t="s">
        <v>98</v>
      </c>
      <c r="E16" t="s">
        <v>110</v>
      </c>
      <c r="F16">
        <v>73662.922281820167</v>
      </c>
      <c r="G16">
        <v>2025</v>
      </c>
      <c r="H16">
        <v>5.0000000000000009</v>
      </c>
      <c r="I16">
        <v>2</v>
      </c>
      <c r="J16">
        <v>6</v>
      </c>
      <c r="K16">
        <v>6</v>
      </c>
    </row>
    <row r="17" spans="1:11" x14ac:dyDescent="0.35">
      <c r="A17" t="str">
        <f t="shared" si="0"/>
        <v>DAcostS1202552</v>
      </c>
      <c r="C17" t="s">
        <v>99</v>
      </c>
      <c r="D17" t="s">
        <v>100</v>
      </c>
      <c r="E17" t="s">
        <v>110</v>
      </c>
      <c r="F17">
        <v>125254.4249900573</v>
      </c>
      <c r="G17">
        <v>2025</v>
      </c>
      <c r="H17">
        <v>5.0000000000000009</v>
      </c>
      <c r="I17">
        <v>2</v>
      </c>
      <c r="J17">
        <v>6</v>
      </c>
      <c r="K17">
        <v>6</v>
      </c>
    </row>
    <row r="18" spans="1:11" x14ac:dyDescent="0.35">
      <c r="A18" t="str">
        <f t="shared" si="0"/>
        <v>DAincomeS1202552</v>
      </c>
      <c r="C18" t="s">
        <v>99</v>
      </c>
      <c r="D18" t="s">
        <v>101</v>
      </c>
      <c r="E18" t="s">
        <v>110</v>
      </c>
      <c r="F18">
        <v>4733.9493438578793</v>
      </c>
      <c r="G18">
        <v>2025</v>
      </c>
      <c r="H18">
        <v>5.0000000000000009</v>
      </c>
      <c r="I18">
        <v>2</v>
      </c>
      <c r="J18">
        <v>6</v>
      </c>
      <c r="K18">
        <v>6</v>
      </c>
    </row>
    <row r="19" spans="1:11" x14ac:dyDescent="0.35">
      <c r="A19" t="str">
        <f t="shared" si="0"/>
        <v>DAenergy_boughtS1202552</v>
      </c>
      <c r="C19" t="s">
        <v>99</v>
      </c>
      <c r="D19" t="s">
        <v>111</v>
      </c>
      <c r="E19" t="s">
        <v>110</v>
      </c>
      <c r="F19">
        <v>746.27386007619214</v>
      </c>
      <c r="G19">
        <v>2025</v>
      </c>
      <c r="H19">
        <v>5.0000000000000009</v>
      </c>
      <c r="I19">
        <v>2</v>
      </c>
      <c r="J19">
        <v>6</v>
      </c>
      <c r="K19">
        <v>6</v>
      </c>
    </row>
    <row r="20" spans="1:11" x14ac:dyDescent="0.35">
      <c r="A20" t="str">
        <f t="shared" si="0"/>
        <v>DAenergy_soldS1202552</v>
      </c>
      <c r="C20" t="s">
        <v>99</v>
      </c>
      <c r="D20" t="s">
        <v>112</v>
      </c>
      <c r="E20" t="s">
        <v>110</v>
      </c>
      <c r="F20">
        <v>13.23127251467565</v>
      </c>
      <c r="G20">
        <v>2025</v>
      </c>
      <c r="H20">
        <v>5.0000000000000009</v>
      </c>
      <c r="I20">
        <v>2</v>
      </c>
      <c r="J20">
        <v>6</v>
      </c>
      <c r="K20">
        <v>6</v>
      </c>
    </row>
    <row r="21" spans="1:11" x14ac:dyDescent="0.35">
      <c r="A21" t="str">
        <f t="shared" si="0"/>
        <v>DAhours_boughtS1202552</v>
      </c>
      <c r="C21" t="s">
        <v>99</v>
      </c>
      <c r="D21" t="s">
        <v>113</v>
      </c>
      <c r="E21" t="s">
        <v>110</v>
      </c>
      <c r="F21">
        <v>4567</v>
      </c>
      <c r="G21">
        <v>2025</v>
      </c>
      <c r="H21">
        <v>5.0000000000000009</v>
      </c>
      <c r="I21">
        <v>2</v>
      </c>
      <c r="J21">
        <v>6</v>
      </c>
      <c r="K21">
        <v>6</v>
      </c>
    </row>
    <row r="22" spans="1:11" x14ac:dyDescent="0.35">
      <c r="A22" t="str">
        <f t="shared" si="0"/>
        <v>DAhours_soldS1202552</v>
      </c>
      <c r="C22" t="s">
        <v>99</v>
      </c>
      <c r="D22" t="s">
        <v>114</v>
      </c>
      <c r="E22" t="s">
        <v>110</v>
      </c>
      <c r="F22">
        <v>3</v>
      </c>
      <c r="G22">
        <v>2025</v>
      </c>
      <c r="H22">
        <v>5.0000000000000009</v>
      </c>
      <c r="I22">
        <v>2</v>
      </c>
      <c r="J22">
        <v>6</v>
      </c>
      <c r="K22">
        <v>6</v>
      </c>
    </row>
    <row r="23" spans="1:11" x14ac:dyDescent="0.35">
      <c r="A23" t="str">
        <f t="shared" si="0"/>
        <v>DAco2_emissionS1202552</v>
      </c>
      <c r="C23" t="s">
        <v>99</v>
      </c>
      <c r="D23" t="s">
        <v>201</v>
      </c>
      <c r="E23" t="s">
        <v>110</v>
      </c>
      <c r="F23">
        <v>52239.170205333518</v>
      </c>
      <c r="G23">
        <v>2025</v>
      </c>
      <c r="H23">
        <v>5.0000000000000009</v>
      </c>
      <c r="I23">
        <v>2</v>
      </c>
      <c r="J23">
        <v>6</v>
      </c>
      <c r="K23">
        <v>6</v>
      </c>
    </row>
    <row r="24" spans="1:11" x14ac:dyDescent="0.35">
      <c r="A24" t="str">
        <f t="shared" si="0"/>
        <v>fcrincomeS1202552</v>
      </c>
      <c r="C24" t="s">
        <v>102</v>
      </c>
      <c r="D24" t="s">
        <v>101</v>
      </c>
      <c r="E24" t="s">
        <v>110</v>
      </c>
      <c r="F24">
        <v>0</v>
      </c>
      <c r="G24">
        <v>2025</v>
      </c>
      <c r="H24">
        <v>5.0000000000000009</v>
      </c>
      <c r="I24">
        <v>2</v>
      </c>
      <c r="J24">
        <v>6</v>
      </c>
      <c r="K24">
        <v>6</v>
      </c>
    </row>
    <row r="25" spans="1:11" x14ac:dyDescent="0.35">
      <c r="A25" t="str">
        <f t="shared" si="0"/>
        <v>fcractivation_hoursS1202552</v>
      </c>
      <c r="C25" t="s">
        <v>102</v>
      </c>
      <c r="D25" t="s">
        <v>115</v>
      </c>
      <c r="E25" t="s">
        <v>110</v>
      </c>
      <c r="F25">
        <v>0</v>
      </c>
      <c r="G25">
        <v>2025</v>
      </c>
      <c r="H25">
        <v>5.0000000000000009</v>
      </c>
      <c r="I25">
        <v>2</v>
      </c>
      <c r="J25">
        <v>6</v>
      </c>
      <c r="K25">
        <v>6</v>
      </c>
    </row>
    <row r="26" spans="1:11" x14ac:dyDescent="0.35">
      <c r="A26" t="str">
        <f t="shared" si="0"/>
        <v>afrrincomeS1202552</v>
      </c>
      <c r="C26" t="s">
        <v>103</v>
      </c>
      <c r="D26" t="s">
        <v>101</v>
      </c>
      <c r="E26" t="s">
        <v>110</v>
      </c>
      <c r="F26">
        <v>564972.48745850986</v>
      </c>
      <c r="G26">
        <v>2025</v>
      </c>
      <c r="H26">
        <v>5.0000000000000009</v>
      </c>
      <c r="I26">
        <v>2</v>
      </c>
      <c r="J26">
        <v>6</v>
      </c>
      <c r="K26">
        <v>6</v>
      </c>
    </row>
    <row r="27" spans="1:11" x14ac:dyDescent="0.35">
      <c r="A27" t="str">
        <f t="shared" si="0"/>
        <v>afrractivation_hoursS1202552</v>
      </c>
      <c r="C27" t="s">
        <v>103</v>
      </c>
      <c r="D27" t="s">
        <v>115</v>
      </c>
      <c r="E27" t="s">
        <v>110</v>
      </c>
      <c r="F27">
        <v>8721</v>
      </c>
      <c r="G27">
        <v>2025</v>
      </c>
      <c r="H27">
        <v>5.0000000000000009</v>
      </c>
      <c r="I27">
        <v>2</v>
      </c>
      <c r="J27">
        <v>6</v>
      </c>
      <c r="K27">
        <v>6</v>
      </c>
    </row>
    <row r="28" spans="1:11" x14ac:dyDescent="0.35">
      <c r="A28" t="str">
        <f t="shared" si="0"/>
        <v>networkturpe_power_costS1202561</v>
      </c>
      <c r="B28" t="s">
        <v>95</v>
      </c>
      <c r="C28" t="s">
        <v>96</v>
      </c>
      <c r="D28" t="s">
        <v>97</v>
      </c>
      <c r="E28" t="s">
        <v>110</v>
      </c>
      <c r="F28">
        <v>10014.60344595616</v>
      </c>
      <c r="G28">
        <v>2025</v>
      </c>
      <c r="H28">
        <v>6.0000000000000009</v>
      </c>
      <c r="I28">
        <v>1</v>
      </c>
      <c r="J28">
        <v>6</v>
      </c>
      <c r="K28">
        <v>6</v>
      </c>
    </row>
    <row r="29" spans="1:11" x14ac:dyDescent="0.35">
      <c r="A29" t="str">
        <f t="shared" si="0"/>
        <v>networkturpe_energy_costS1202561</v>
      </c>
      <c r="B29" t="s">
        <v>95</v>
      </c>
      <c r="C29" t="s">
        <v>96</v>
      </c>
      <c r="D29" t="s">
        <v>98</v>
      </c>
      <c r="E29" t="s">
        <v>110</v>
      </c>
      <c r="F29">
        <v>45633.676511039594</v>
      </c>
      <c r="G29">
        <v>2025</v>
      </c>
      <c r="H29">
        <v>6.0000000000000009</v>
      </c>
      <c r="I29">
        <v>1</v>
      </c>
      <c r="J29">
        <v>6</v>
      </c>
      <c r="K29">
        <v>6</v>
      </c>
    </row>
    <row r="30" spans="1:11" x14ac:dyDescent="0.35">
      <c r="A30" t="str">
        <f t="shared" si="0"/>
        <v>DAcostS1202561</v>
      </c>
      <c r="C30" t="s">
        <v>99</v>
      </c>
      <c r="D30" t="s">
        <v>100</v>
      </c>
      <c r="E30" t="s">
        <v>110</v>
      </c>
      <c r="F30">
        <v>78964.671814828151</v>
      </c>
      <c r="G30">
        <v>2025</v>
      </c>
      <c r="H30">
        <v>6.0000000000000009</v>
      </c>
      <c r="I30">
        <v>1</v>
      </c>
      <c r="J30">
        <v>6</v>
      </c>
      <c r="K30">
        <v>6</v>
      </c>
    </row>
    <row r="31" spans="1:11" x14ac:dyDescent="0.35">
      <c r="A31" t="str">
        <f t="shared" si="0"/>
        <v>DAincomeS1202561</v>
      </c>
      <c r="C31" t="s">
        <v>99</v>
      </c>
      <c r="D31" t="s">
        <v>101</v>
      </c>
      <c r="E31" t="s">
        <v>110</v>
      </c>
      <c r="F31">
        <v>3700.864888964134</v>
      </c>
      <c r="G31">
        <v>2025</v>
      </c>
      <c r="H31">
        <v>6.0000000000000009</v>
      </c>
      <c r="I31">
        <v>1</v>
      </c>
      <c r="J31">
        <v>6</v>
      </c>
      <c r="K31">
        <v>6</v>
      </c>
    </row>
    <row r="32" spans="1:11" x14ac:dyDescent="0.35">
      <c r="A32" t="str">
        <f t="shared" si="0"/>
        <v>DAenergy_boughtS1202561</v>
      </c>
      <c r="C32" t="s">
        <v>99</v>
      </c>
      <c r="D32" t="s">
        <v>111</v>
      </c>
      <c r="E32" t="s">
        <v>110</v>
      </c>
      <c r="F32">
        <v>464.9578568139799</v>
      </c>
      <c r="G32">
        <v>2025</v>
      </c>
      <c r="H32">
        <v>6.0000000000000009</v>
      </c>
      <c r="I32">
        <v>1</v>
      </c>
      <c r="J32">
        <v>6</v>
      </c>
      <c r="K32">
        <v>6</v>
      </c>
    </row>
    <row r="33" spans="1:11" x14ac:dyDescent="0.35">
      <c r="A33" t="str">
        <f t="shared" si="0"/>
        <v>DAenergy_soldS1202561</v>
      </c>
      <c r="C33" t="s">
        <v>99</v>
      </c>
      <c r="D33" t="s">
        <v>112</v>
      </c>
      <c r="E33" t="s">
        <v>110</v>
      </c>
      <c r="F33">
        <v>10.330622755662761</v>
      </c>
      <c r="G33">
        <v>2025</v>
      </c>
      <c r="H33">
        <v>6.0000000000000009</v>
      </c>
      <c r="I33">
        <v>1</v>
      </c>
      <c r="J33">
        <v>6</v>
      </c>
      <c r="K33">
        <v>6</v>
      </c>
    </row>
    <row r="34" spans="1:11" x14ac:dyDescent="0.35">
      <c r="A34" t="str">
        <f t="shared" si="0"/>
        <v>DAhours_boughtS1202561</v>
      </c>
      <c r="C34" t="s">
        <v>99</v>
      </c>
      <c r="D34" t="s">
        <v>113</v>
      </c>
      <c r="E34" t="s">
        <v>110</v>
      </c>
      <c r="F34">
        <v>4866</v>
      </c>
      <c r="G34">
        <v>2025</v>
      </c>
      <c r="H34">
        <v>6.0000000000000009</v>
      </c>
      <c r="I34">
        <v>1</v>
      </c>
      <c r="J34">
        <v>6</v>
      </c>
      <c r="K34">
        <v>6</v>
      </c>
    </row>
    <row r="35" spans="1:11" x14ac:dyDescent="0.35">
      <c r="A35" t="str">
        <f t="shared" si="0"/>
        <v>DAhours_soldS1202561</v>
      </c>
      <c r="C35" t="s">
        <v>99</v>
      </c>
      <c r="D35" t="s">
        <v>114</v>
      </c>
      <c r="E35" t="s">
        <v>110</v>
      </c>
      <c r="F35">
        <v>3</v>
      </c>
      <c r="G35">
        <v>2025</v>
      </c>
      <c r="H35">
        <v>6.0000000000000009</v>
      </c>
      <c r="I35">
        <v>1</v>
      </c>
      <c r="J35">
        <v>6</v>
      </c>
      <c r="K35">
        <v>6</v>
      </c>
    </row>
    <row r="36" spans="1:11" x14ac:dyDescent="0.35">
      <c r="A36" t="str">
        <f t="shared" si="0"/>
        <v>DAco2_emissionS1202561</v>
      </c>
      <c r="C36" t="s">
        <v>99</v>
      </c>
      <c r="D36" t="s">
        <v>201</v>
      </c>
      <c r="E36" t="s">
        <v>110</v>
      </c>
      <c r="F36">
        <v>32547.049976981481</v>
      </c>
      <c r="G36">
        <v>2025</v>
      </c>
      <c r="H36">
        <v>6.0000000000000009</v>
      </c>
      <c r="I36">
        <v>1</v>
      </c>
      <c r="J36">
        <v>6</v>
      </c>
      <c r="K36">
        <v>6</v>
      </c>
    </row>
    <row r="37" spans="1:11" x14ac:dyDescent="0.35">
      <c r="A37" t="str">
        <f t="shared" si="0"/>
        <v>fcrincomeS1202561</v>
      </c>
      <c r="C37" t="s">
        <v>102</v>
      </c>
      <c r="D37" t="s">
        <v>101</v>
      </c>
      <c r="E37" t="s">
        <v>110</v>
      </c>
      <c r="F37">
        <v>0</v>
      </c>
      <c r="G37">
        <v>2025</v>
      </c>
      <c r="H37">
        <v>6.0000000000000009</v>
      </c>
      <c r="I37">
        <v>1</v>
      </c>
      <c r="J37">
        <v>6</v>
      </c>
      <c r="K37">
        <v>6</v>
      </c>
    </row>
    <row r="38" spans="1:11" x14ac:dyDescent="0.35">
      <c r="A38" t="str">
        <f t="shared" si="0"/>
        <v>fcractivation_hoursS1202561</v>
      </c>
      <c r="C38" t="s">
        <v>102</v>
      </c>
      <c r="D38" t="s">
        <v>115</v>
      </c>
      <c r="E38" t="s">
        <v>110</v>
      </c>
      <c r="F38">
        <v>0</v>
      </c>
      <c r="G38">
        <v>2025</v>
      </c>
      <c r="H38">
        <v>6.0000000000000009</v>
      </c>
      <c r="I38">
        <v>1</v>
      </c>
      <c r="J38">
        <v>6</v>
      </c>
      <c r="K38">
        <v>6</v>
      </c>
    </row>
    <row r="39" spans="1:11" x14ac:dyDescent="0.35">
      <c r="A39" t="str">
        <f t="shared" si="0"/>
        <v>afrrincomeS1202561</v>
      </c>
      <c r="C39" t="s">
        <v>103</v>
      </c>
      <c r="D39" t="s">
        <v>101</v>
      </c>
      <c r="E39" t="s">
        <v>110</v>
      </c>
      <c r="F39">
        <v>352853.16625062469</v>
      </c>
      <c r="G39">
        <v>2025</v>
      </c>
      <c r="H39">
        <v>6.0000000000000009</v>
      </c>
      <c r="I39">
        <v>1</v>
      </c>
      <c r="J39">
        <v>6</v>
      </c>
      <c r="K39">
        <v>6</v>
      </c>
    </row>
    <row r="40" spans="1:11" x14ac:dyDescent="0.35">
      <c r="A40" t="str">
        <f t="shared" si="0"/>
        <v>afrractivation_hoursS1202561</v>
      </c>
      <c r="C40" t="s">
        <v>103</v>
      </c>
      <c r="D40" t="s">
        <v>115</v>
      </c>
      <c r="E40" t="s">
        <v>110</v>
      </c>
      <c r="F40">
        <v>8720</v>
      </c>
      <c r="G40">
        <v>2025</v>
      </c>
      <c r="H40">
        <v>6.0000000000000009</v>
      </c>
      <c r="I40">
        <v>1</v>
      </c>
      <c r="J40">
        <v>6</v>
      </c>
      <c r="K40">
        <v>6</v>
      </c>
    </row>
    <row r="41" spans="1:11" x14ac:dyDescent="0.35">
      <c r="A41" t="str">
        <f t="shared" si="0"/>
        <v>networkturpe_power_costS1202562</v>
      </c>
      <c r="B41" t="s">
        <v>95</v>
      </c>
      <c r="C41" t="s">
        <v>96</v>
      </c>
      <c r="D41" t="s">
        <v>97</v>
      </c>
      <c r="E41" t="s">
        <v>110</v>
      </c>
      <c r="F41">
        <v>19618.328314001668</v>
      </c>
      <c r="G41">
        <v>2025</v>
      </c>
      <c r="H41">
        <v>6.0000000000000009</v>
      </c>
      <c r="I41">
        <v>2</v>
      </c>
      <c r="J41">
        <v>6</v>
      </c>
      <c r="K41">
        <v>6</v>
      </c>
    </row>
    <row r="42" spans="1:11" x14ac:dyDescent="0.35">
      <c r="A42" t="str">
        <f t="shared" si="0"/>
        <v>networkturpe_energy_costS1202562</v>
      </c>
      <c r="B42" t="s">
        <v>95</v>
      </c>
      <c r="C42" t="s">
        <v>96</v>
      </c>
      <c r="D42" t="s">
        <v>98</v>
      </c>
      <c r="E42" t="s">
        <v>110</v>
      </c>
      <c r="F42">
        <v>87038.923964596877</v>
      </c>
      <c r="G42">
        <v>2025</v>
      </c>
      <c r="H42">
        <v>6.0000000000000009</v>
      </c>
      <c r="I42">
        <v>2</v>
      </c>
      <c r="J42">
        <v>6</v>
      </c>
      <c r="K42">
        <v>6</v>
      </c>
    </row>
    <row r="43" spans="1:11" x14ac:dyDescent="0.35">
      <c r="A43" t="str">
        <f t="shared" si="0"/>
        <v>DAcostS1202562</v>
      </c>
      <c r="C43" t="s">
        <v>99</v>
      </c>
      <c r="D43" t="s">
        <v>100</v>
      </c>
      <c r="E43" t="s">
        <v>110</v>
      </c>
      <c r="F43">
        <v>147689.89015895221</v>
      </c>
      <c r="G43">
        <v>2025</v>
      </c>
      <c r="H43">
        <v>6.0000000000000009</v>
      </c>
      <c r="I43">
        <v>2</v>
      </c>
      <c r="J43">
        <v>6</v>
      </c>
      <c r="K43">
        <v>6</v>
      </c>
    </row>
    <row r="44" spans="1:11" x14ac:dyDescent="0.35">
      <c r="A44" t="str">
        <f t="shared" si="0"/>
        <v>DAincomeS1202562</v>
      </c>
      <c r="C44" t="s">
        <v>99</v>
      </c>
      <c r="D44" t="s">
        <v>101</v>
      </c>
      <c r="E44" t="s">
        <v>110</v>
      </c>
      <c r="F44">
        <v>5680.7392126294517</v>
      </c>
      <c r="G44">
        <v>2025</v>
      </c>
      <c r="H44">
        <v>6.0000000000000009</v>
      </c>
      <c r="I44">
        <v>2</v>
      </c>
      <c r="J44">
        <v>6</v>
      </c>
      <c r="K44">
        <v>6</v>
      </c>
    </row>
    <row r="45" spans="1:11" x14ac:dyDescent="0.35">
      <c r="A45" t="str">
        <f t="shared" si="0"/>
        <v>DAenergy_boughtS1202562</v>
      </c>
      <c r="C45" t="s">
        <v>99</v>
      </c>
      <c r="D45" t="s">
        <v>111</v>
      </c>
      <c r="E45" t="s">
        <v>110</v>
      </c>
      <c r="F45">
        <v>881.6063003371886</v>
      </c>
      <c r="G45">
        <v>2025</v>
      </c>
      <c r="H45">
        <v>6.0000000000000009</v>
      </c>
      <c r="I45">
        <v>2</v>
      </c>
      <c r="J45">
        <v>6</v>
      </c>
      <c r="K45">
        <v>6</v>
      </c>
    </row>
    <row r="46" spans="1:11" x14ac:dyDescent="0.35">
      <c r="A46" t="str">
        <f t="shared" si="0"/>
        <v>DAenergy_soldS1202562</v>
      </c>
      <c r="C46" t="s">
        <v>99</v>
      </c>
      <c r="D46" t="s">
        <v>112</v>
      </c>
      <c r="E46" t="s">
        <v>110</v>
      </c>
      <c r="F46">
        <v>15.87752701761077</v>
      </c>
      <c r="G46">
        <v>2025</v>
      </c>
      <c r="H46">
        <v>6.0000000000000009</v>
      </c>
      <c r="I46">
        <v>2</v>
      </c>
      <c r="J46">
        <v>6</v>
      </c>
      <c r="K46">
        <v>6</v>
      </c>
    </row>
    <row r="47" spans="1:11" x14ac:dyDescent="0.35">
      <c r="A47" t="str">
        <f t="shared" si="0"/>
        <v>DAhours_boughtS1202562</v>
      </c>
      <c r="C47" t="s">
        <v>99</v>
      </c>
      <c r="D47" t="s">
        <v>113</v>
      </c>
      <c r="E47" t="s">
        <v>110</v>
      </c>
      <c r="F47">
        <v>4283</v>
      </c>
      <c r="G47">
        <v>2025</v>
      </c>
      <c r="H47">
        <v>6.0000000000000009</v>
      </c>
      <c r="I47">
        <v>2</v>
      </c>
      <c r="J47">
        <v>6</v>
      </c>
      <c r="K47">
        <v>6</v>
      </c>
    </row>
    <row r="48" spans="1:11" x14ac:dyDescent="0.35">
      <c r="A48" t="str">
        <f t="shared" si="0"/>
        <v>DAhours_soldS1202562</v>
      </c>
      <c r="C48" t="s">
        <v>99</v>
      </c>
      <c r="D48" t="s">
        <v>114</v>
      </c>
      <c r="E48" t="s">
        <v>110</v>
      </c>
      <c r="F48">
        <v>3</v>
      </c>
      <c r="G48">
        <v>2025</v>
      </c>
      <c r="H48">
        <v>6.0000000000000009</v>
      </c>
      <c r="I48">
        <v>2</v>
      </c>
      <c r="J48">
        <v>6</v>
      </c>
      <c r="K48">
        <v>6</v>
      </c>
    </row>
    <row r="49" spans="1:11" x14ac:dyDescent="0.35">
      <c r="A49" t="str">
        <f t="shared" si="0"/>
        <v>DAco2_emissionS1202562</v>
      </c>
      <c r="C49" t="s">
        <v>99</v>
      </c>
      <c r="D49" t="s">
        <v>201</v>
      </c>
      <c r="E49" t="s">
        <v>110</v>
      </c>
      <c r="F49">
        <v>61712.441023603307</v>
      </c>
      <c r="G49">
        <v>2025</v>
      </c>
      <c r="H49">
        <v>6.0000000000000009</v>
      </c>
      <c r="I49">
        <v>2</v>
      </c>
      <c r="J49">
        <v>6</v>
      </c>
      <c r="K49">
        <v>6</v>
      </c>
    </row>
    <row r="50" spans="1:11" x14ac:dyDescent="0.35">
      <c r="A50" t="str">
        <f t="shared" si="0"/>
        <v>fcrincomeS1202562</v>
      </c>
      <c r="C50" t="s">
        <v>102</v>
      </c>
      <c r="D50" t="s">
        <v>101</v>
      </c>
      <c r="E50" t="s">
        <v>110</v>
      </c>
      <c r="F50">
        <v>0</v>
      </c>
      <c r="G50">
        <v>2025</v>
      </c>
      <c r="H50">
        <v>6.0000000000000009</v>
      </c>
      <c r="I50">
        <v>2</v>
      </c>
      <c r="J50">
        <v>6</v>
      </c>
      <c r="K50">
        <v>6</v>
      </c>
    </row>
    <row r="51" spans="1:11" x14ac:dyDescent="0.35">
      <c r="A51" t="str">
        <f t="shared" si="0"/>
        <v>fcractivation_hoursS1202562</v>
      </c>
      <c r="C51" t="s">
        <v>102</v>
      </c>
      <c r="D51" t="s">
        <v>115</v>
      </c>
      <c r="E51" t="s">
        <v>110</v>
      </c>
      <c r="F51">
        <v>0</v>
      </c>
      <c r="G51">
        <v>2025</v>
      </c>
      <c r="H51">
        <v>6.0000000000000009</v>
      </c>
      <c r="I51">
        <v>2</v>
      </c>
      <c r="J51">
        <v>6</v>
      </c>
      <c r="K51">
        <v>6</v>
      </c>
    </row>
    <row r="52" spans="1:11" x14ac:dyDescent="0.35">
      <c r="A52" t="str">
        <f t="shared" si="0"/>
        <v>afrrincomeS1202562</v>
      </c>
      <c r="C52" t="s">
        <v>103</v>
      </c>
      <c r="D52" t="s">
        <v>101</v>
      </c>
      <c r="E52" t="s">
        <v>110</v>
      </c>
      <c r="F52">
        <v>664319.40350937925</v>
      </c>
      <c r="G52">
        <v>2025</v>
      </c>
      <c r="H52">
        <v>6.0000000000000009</v>
      </c>
      <c r="I52">
        <v>2</v>
      </c>
      <c r="J52">
        <v>6</v>
      </c>
      <c r="K52">
        <v>6</v>
      </c>
    </row>
    <row r="53" spans="1:11" x14ac:dyDescent="0.35">
      <c r="A53" t="str">
        <f t="shared" si="0"/>
        <v>afrractivation_hoursS1202562</v>
      </c>
      <c r="C53" t="s">
        <v>103</v>
      </c>
      <c r="D53" t="s">
        <v>115</v>
      </c>
      <c r="E53" t="s">
        <v>110</v>
      </c>
      <c r="F53">
        <v>8720</v>
      </c>
      <c r="G53">
        <v>2025</v>
      </c>
      <c r="H53">
        <v>6.0000000000000009</v>
      </c>
      <c r="I53">
        <v>2</v>
      </c>
      <c r="J53">
        <v>6</v>
      </c>
      <c r="K53">
        <v>6</v>
      </c>
    </row>
    <row r="54" spans="1:11" x14ac:dyDescent="0.35">
      <c r="A54" t="str">
        <f t="shared" si="0"/>
        <v/>
      </c>
    </row>
    <row r="55" spans="1:11" x14ac:dyDescent="0.35">
      <c r="A55" t="str">
        <f t="shared" si="0"/>
        <v/>
      </c>
    </row>
    <row r="56" spans="1:11" x14ac:dyDescent="0.35">
      <c r="A56" t="str">
        <f t="shared" si="0"/>
        <v/>
      </c>
    </row>
    <row r="57" spans="1:11" x14ac:dyDescent="0.35">
      <c r="A57" t="str">
        <f t="shared" si="0"/>
        <v/>
      </c>
    </row>
    <row r="58" spans="1:11" x14ac:dyDescent="0.35">
      <c r="A58" t="str">
        <f t="shared" si="0"/>
        <v/>
      </c>
    </row>
    <row r="59" spans="1:11" x14ac:dyDescent="0.35">
      <c r="A59" t="str">
        <f t="shared" si="0"/>
        <v/>
      </c>
    </row>
    <row r="60" spans="1:11" x14ac:dyDescent="0.35">
      <c r="A60" t="str">
        <f t="shared" si="0"/>
        <v/>
      </c>
    </row>
    <row r="61" spans="1:11" x14ac:dyDescent="0.35">
      <c r="A61" t="str">
        <f t="shared" si="0"/>
        <v/>
      </c>
    </row>
    <row r="62" spans="1:11" x14ac:dyDescent="0.35">
      <c r="A62" t="str">
        <f t="shared" si="0"/>
        <v/>
      </c>
    </row>
    <row r="63" spans="1:11" x14ac:dyDescent="0.35">
      <c r="A63" t="str">
        <f t="shared" si="0"/>
        <v/>
      </c>
    </row>
    <row r="64" spans="1:11" x14ac:dyDescent="0.35">
      <c r="A64" t="str">
        <f t="shared" si="0"/>
        <v/>
      </c>
    </row>
    <row r="65" spans="1:1" x14ac:dyDescent="0.35">
      <c r="A65" t="str">
        <f t="shared" si="0"/>
        <v/>
      </c>
    </row>
    <row r="66" spans="1:1" x14ac:dyDescent="0.35">
      <c r="A66" t="str">
        <f t="shared" si="0"/>
        <v/>
      </c>
    </row>
    <row r="67" spans="1:1" x14ac:dyDescent="0.35">
      <c r="A67" t="str">
        <f t="shared" ref="A67:A130" si="1">C67&amp;D67&amp;E67&amp;G67&amp;H67&amp;I67</f>
        <v/>
      </c>
    </row>
    <row r="68" spans="1:1" x14ac:dyDescent="0.35">
      <c r="A68" t="str">
        <f t="shared" si="1"/>
        <v/>
      </c>
    </row>
    <row r="69" spans="1:1" x14ac:dyDescent="0.35">
      <c r="A69" t="str">
        <f t="shared" si="1"/>
        <v/>
      </c>
    </row>
    <row r="70" spans="1:1" x14ac:dyDescent="0.35">
      <c r="A70" t="str">
        <f t="shared" si="1"/>
        <v/>
      </c>
    </row>
    <row r="71" spans="1:1" x14ac:dyDescent="0.35">
      <c r="A71" t="str">
        <f t="shared" si="1"/>
        <v/>
      </c>
    </row>
    <row r="72" spans="1:1" x14ac:dyDescent="0.35">
      <c r="A72" t="str">
        <f t="shared" si="1"/>
        <v/>
      </c>
    </row>
    <row r="73" spans="1:1" x14ac:dyDescent="0.35">
      <c r="A73" t="str">
        <f t="shared" si="1"/>
        <v/>
      </c>
    </row>
    <row r="74" spans="1:1" x14ac:dyDescent="0.35">
      <c r="A74" t="str">
        <f t="shared" si="1"/>
        <v/>
      </c>
    </row>
    <row r="75" spans="1:1" x14ac:dyDescent="0.35">
      <c r="A75" t="str">
        <f t="shared" si="1"/>
        <v/>
      </c>
    </row>
    <row r="76" spans="1:1" x14ac:dyDescent="0.35">
      <c r="A76" t="str">
        <f t="shared" si="1"/>
        <v/>
      </c>
    </row>
    <row r="77" spans="1:1" x14ac:dyDescent="0.35">
      <c r="A77" t="str">
        <f t="shared" si="1"/>
        <v/>
      </c>
    </row>
    <row r="78" spans="1:1" x14ac:dyDescent="0.35">
      <c r="A78" t="str">
        <f t="shared" si="1"/>
        <v/>
      </c>
    </row>
    <row r="79" spans="1:1" x14ac:dyDescent="0.35">
      <c r="A79" t="str">
        <f t="shared" si="1"/>
        <v/>
      </c>
    </row>
    <row r="80" spans="1:1" x14ac:dyDescent="0.35">
      <c r="A80" t="str">
        <f t="shared" si="1"/>
        <v/>
      </c>
    </row>
    <row r="81" spans="1:1" x14ac:dyDescent="0.35">
      <c r="A81" t="str">
        <f t="shared" si="1"/>
        <v/>
      </c>
    </row>
    <row r="82" spans="1:1" x14ac:dyDescent="0.35">
      <c r="A82" t="str">
        <f t="shared" si="1"/>
        <v/>
      </c>
    </row>
    <row r="83" spans="1:1" x14ac:dyDescent="0.35">
      <c r="A83" t="str">
        <f t="shared" si="1"/>
        <v/>
      </c>
    </row>
    <row r="84" spans="1:1" x14ac:dyDescent="0.35">
      <c r="A84" t="str">
        <f t="shared" si="1"/>
        <v/>
      </c>
    </row>
    <row r="85" spans="1:1" x14ac:dyDescent="0.35">
      <c r="A85" t="str">
        <f t="shared" si="1"/>
        <v/>
      </c>
    </row>
    <row r="86" spans="1:1" x14ac:dyDescent="0.35">
      <c r="A86" t="str">
        <f t="shared" si="1"/>
        <v/>
      </c>
    </row>
    <row r="87" spans="1:1" x14ac:dyDescent="0.35">
      <c r="A87" t="str">
        <f t="shared" si="1"/>
        <v/>
      </c>
    </row>
    <row r="88" spans="1:1" x14ac:dyDescent="0.35">
      <c r="A88" t="str">
        <f t="shared" si="1"/>
        <v/>
      </c>
    </row>
    <row r="89" spans="1:1" x14ac:dyDescent="0.35">
      <c r="A89" t="str">
        <f t="shared" si="1"/>
        <v/>
      </c>
    </row>
    <row r="90" spans="1:1" x14ac:dyDescent="0.35">
      <c r="A90" t="str">
        <f t="shared" si="1"/>
        <v/>
      </c>
    </row>
    <row r="91" spans="1:1" x14ac:dyDescent="0.35">
      <c r="A91" t="str">
        <f t="shared" si="1"/>
        <v/>
      </c>
    </row>
    <row r="92" spans="1:1" x14ac:dyDescent="0.35">
      <c r="A92" t="str">
        <f t="shared" si="1"/>
        <v/>
      </c>
    </row>
    <row r="93" spans="1:1" x14ac:dyDescent="0.35">
      <c r="A93" t="str">
        <f t="shared" si="1"/>
        <v/>
      </c>
    </row>
    <row r="94" spans="1:1" x14ac:dyDescent="0.35">
      <c r="A94" t="str">
        <f t="shared" si="1"/>
        <v/>
      </c>
    </row>
    <row r="95" spans="1:1" x14ac:dyDescent="0.35">
      <c r="A95" t="str">
        <f t="shared" si="1"/>
        <v/>
      </c>
    </row>
    <row r="96" spans="1:1" x14ac:dyDescent="0.35">
      <c r="A96" t="str">
        <f t="shared" si="1"/>
        <v/>
      </c>
    </row>
    <row r="97" spans="1:1" x14ac:dyDescent="0.35">
      <c r="A97" t="str">
        <f t="shared" si="1"/>
        <v/>
      </c>
    </row>
    <row r="98" spans="1:1" x14ac:dyDescent="0.35">
      <c r="A98" t="str">
        <f t="shared" si="1"/>
        <v/>
      </c>
    </row>
    <row r="99" spans="1:1" x14ac:dyDescent="0.35">
      <c r="A99" t="str">
        <f t="shared" si="1"/>
        <v/>
      </c>
    </row>
    <row r="100" spans="1:1" x14ac:dyDescent="0.35">
      <c r="A100" t="str">
        <f t="shared" si="1"/>
        <v/>
      </c>
    </row>
    <row r="101" spans="1:1" x14ac:dyDescent="0.35">
      <c r="A101" t="str">
        <f t="shared" si="1"/>
        <v/>
      </c>
    </row>
    <row r="102" spans="1:1" x14ac:dyDescent="0.35">
      <c r="A102" t="str">
        <f t="shared" si="1"/>
        <v/>
      </c>
    </row>
    <row r="103" spans="1:1" x14ac:dyDescent="0.35">
      <c r="A103" t="str">
        <f t="shared" si="1"/>
        <v/>
      </c>
    </row>
    <row r="104" spans="1:1" x14ac:dyDescent="0.35">
      <c r="A104" t="str">
        <f t="shared" si="1"/>
        <v/>
      </c>
    </row>
    <row r="105" spans="1:1" x14ac:dyDescent="0.35">
      <c r="A105" t="str">
        <f t="shared" si="1"/>
        <v/>
      </c>
    </row>
    <row r="106" spans="1:1" x14ac:dyDescent="0.35">
      <c r="A106" t="str">
        <f t="shared" si="1"/>
        <v/>
      </c>
    </row>
    <row r="107" spans="1:1" x14ac:dyDescent="0.35">
      <c r="A107" t="str">
        <f t="shared" si="1"/>
        <v/>
      </c>
    </row>
    <row r="108" spans="1:1" x14ac:dyDescent="0.35">
      <c r="A108" t="str">
        <f t="shared" si="1"/>
        <v/>
      </c>
    </row>
    <row r="109" spans="1:1" x14ac:dyDescent="0.35">
      <c r="A109" t="str">
        <f t="shared" si="1"/>
        <v/>
      </c>
    </row>
    <row r="110" spans="1:1" x14ac:dyDescent="0.35">
      <c r="A110" t="str">
        <f t="shared" si="1"/>
        <v/>
      </c>
    </row>
    <row r="111" spans="1:1" x14ac:dyDescent="0.35">
      <c r="A111" t="str">
        <f t="shared" si="1"/>
        <v/>
      </c>
    </row>
    <row r="112" spans="1:1" x14ac:dyDescent="0.35">
      <c r="A112" t="str">
        <f t="shared" si="1"/>
        <v/>
      </c>
    </row>
    <row r="113" spans="1:1" x14ac:dyDescent="0.35">
      <c r="A113" t="str">
        <f t="shared" si="1"/>
        <v/>
      </c>
    </row>
    <row r="114" spans="1:1" x14ac:dyDescent="0.35">
      <c r="A114" t="str">
        <f t="shared" si="1"/>
        <v/>
      </c>
    </row>
    <row r="115" spans="1:1" x14ac:dyDescent="0.35">
      <c r="A115" t="str">
        <f t="shared" si="1"/>
        <v/>
      </c>
    </row>
    <row r="116" spans="1:1" x14ac:dyDescent="0.35">
      <c r="A116" t="str">
        <f t="shared" si="1"/>
        <v/>
      </c>
    </row>
    <row r="117" spans="1:1" x14ac:dyDescent="0.35">
      <c r="A117" t="str">
        <f t="shared" si="1"/>
        <v/>
      </c>
    </row>
    <row r="118" spans="1:1" x14ac:dyDescent="0.35">
      <c r="A118" t="str">
        <f t="shared" si="1"/>
        <v/>
      </c>
    </row>
    <row r="119" spans="1:1" x14ac:dyDescent="0.35">
      <c r="A119" t="str">
        <f t="shared" si="1"/>
        <v/>
      </c>
    </row>
    <row r="120" spans="1:1" x14ac:dyDescent="0.35">
      <c r="A120" t="str">
        <f t="shared" si="1"/>
        <v/>
      </c>
    </row>
    <row r="121" spans="1:1" x14ac:dyDescent="0.35">
      <c r="A121" t="str">
        <f t="shared" si="1"/>
        <v/>
      </c>
    </row>
    <row r="122" spans="1:1" x14ac:dyDescent="0.35">
      <c r="A122" t="str">
        <f t="shared" si="1"/>
        <v/>
      </c>
    </row>
    <row r="123" spans="1:1" x14ac:dyDescent="0.35">
      <c r="A123" t="str">
        <f t="shared" si="1"/>
        <v/>
      </c>
    </row>
    <row r="124" spans="1:1" x14ac:dyDescent="0.35">
      <c r="A124" t="str">
        <f t="shared" si="1"/>
        <v/>
      </c>
    </row>
    <row r="125" spans="1:1" x14ac:dyDescent="0.35">
      <c r="A125" t="str">
        <f t="shared" si="1"/>
        <v/>
      </c>
    </row>
    <row r="126" spans="1:1" x14ac:dyDescent="0.35">
      <c r="A126" t="str">
        <f t="shared" si="1"/>
        <v/>
      </c>
    </row>
    <row r="127" spans="1:1" x14ac:dyDescent="0.35">
      <c r="A127" t="str">
        <f t="shared" si="1"/>
        <v/>
      </c>
    </row>
    <row r="128" spans="1:1" x14ac:dyDescent="0.35">
      <c r="A128" t="str">
        <f t="shared" si="1"/>
        <v/>
      </c>
    </row>
    <row r="129" spans="1:1" x14ac:dyDescent="0.35">
      <c r="A129" t="str">
        <f t="shared" si="1"/>
        <v/>
      </c>
    </row>
    <row r="130" spans="1:1" x14ac:dyDescent="0.35">
      <c r="A130" t="str">
        <f t="shared" si="1"/>
        <v/>
      </c>
    </row>
    <row r="131" spans="1:1" x14ac:dyDescent="0.35">
      <c r="A131" t="str">
        <f t="shared" ref="A131:A194" si="2">C131&amp;D131&amp;E131&amp;G131&amp;H131&amp;I131</f>
        <v/>
      </c>
    </row>
    <row r="132" spans="1:1" x14ac:dyDescent="0.35">
      <c r="A132" t="str">
        <f t="shared" si="2"/>
        <v/>
      </c>
    </row>
    <row r="133" spans="1:1" x14ac:dyDescent="0.35">
      <c r="A133" t="str">
        <f t="shared" si="2"/>
        <v/>
      </c>
    </row>
    <row r="134" spans="1:1" x14ac:dyDescent="0.35">
      <c r="A134" t="str">
        <f t="shared" si="2"/>
        <v/>
      </c>
    </row>
    <row r="135" spans="1:1" x14ac:dyDescent="0.35">
      <c r="A135" t="str">
        <f t="shared" si="2"/>
        <v/>
      </c>
    </row>
    <row r="136" spans="1:1" x14ac:dyDescent="0.35">
      <c r="A136" t="str">
        <f t="shared" si="2"/>
        <v/>
      </c>
    </row>
    <row r="137" spans="1:1" x14ac:dyDescent="0.35">
      <c r="A137" t="str">
        <f t="shared" si="2"/>
        <v/>
      </c>
    </row>
    <row r="138" spans="1:1" x14ac:dyDescent="0.35">
      <c r="A138" t="str">
        <f t="shared" si="2"/>
        <v/>
      </c>
    </row>
    <row r="139" spans="1:1" x14ac:dyDescent="0.35">
      <c r="A139" t="str">
        <f t="shared" si="2"/>
        <v/>
      </c>
    </row>
    <row r="140" spans="1:1" x14ac:dyDescent="0.35">
      <c r="A140" t="str">
        <f t="shared" si="2"/>
        <v/>
      </c>
    </row>
    <row r="141" spans="1:1" x14ac:dyDescent="0.35">
      <c r="A141" t="str">
        <f t="shared" si="2"/>
        <v/>
      </c>
    </row>
    <row r="142" spans="1:1" x14ac:dyDescent="0.35">
      <c r="A142" t="str">
        <f t="shared" si="2"/>
        <v/>
      </c>
    </row>
    <row r="143" spans="1:1" x14ac:dyDescent="0.35">
      <c r="A143" t="str">
        <f t="shared" si="2"/>
        <v/>
      </c>
    </row>
    <row r="144" spans="1:1" x14ac:dyDescent="0.35">
      <c r="A144" t="str">
        <f t="shared" si="2"/>
        <v/>
      </c>
    </row>
    <row r="145" spans="1:1" x14ac:dyDescent="0.35">
      <c r="A145" t="str">
        <f t="shared" si="2"/>
        <v/>
      </c>
    </row>
    <row r="146" spans="1:1" x14ac:dyDescent="0.35">
      <c r="A146" t="str">
        <f t="shared" si="2"/>
        <v/>
      </c>
    </row>
    <row r="147" spans="1:1" x14ac:dyDescent="0.35">
      <c r="A147" t="str">
        <f t="shared" si="2"/>
        <v/>
      </c>
    </row>
    <row r="148" spans="1:1" x14ac:dyDescent="0.35">
      <c r="A148" t="str">
        <f t="shared" si="2"/>
        <v/>
      </c>
    </row>
    <row r="149" spans="1:1" x14ac:dyDescent="0.35">
      <c r="A149" t="str">
        <f t="shared" si="2"/>
        <v/>
      </c>
    </row>
    <row r="150" spans="1:1" x14ac:dyDescent="0.35">
      <c r="A150" t="str">
        <f t="shared" si="2"/>
        <v/>
      </c>
    </row>
    <row r="151" spans="1:1" x14ac:dyDescent="0.35">
      <c r="A151" t="str">
        <f t="shared" si="2"/>
        <v/>
      </c>
    </row>
    <row r="152" spans="1:1" x14ac:dyDescent="0.35">
      <c r="A152" t="str">
        <f t="shared" si="2"/>
        <v/>
      </c>
    </row>
    <row r="153" spans="1:1" x14ac:dyDescent="0.35">
      <c r="A153" t="str">
        <f t="shared" si="2"/>
        <v/>
      </c>
    </row>
    <row r="154" spans="1:1" x14ac:dyDescent="0.35">
      <c r="A154" t="str">
        <f t="shared" si="2"/>
        <v/>
      </c>
    </row>
    <row r="155" spans="1:1" x14ac:dyDescent="0.35">
      <c r="A155" t="str">
        <f t="shared" si="2"/>
        <v/>
      </c>
    </row>
    <row r="156" spans="1:1" x14ac:dyDescent="0.35">
      <c r="A156" t="str">
        <f t="shared" si="2"/>
        <v/>
      </c>
    </row>
    <row r="157" spans="1:1" x14ac:dyDescent="0.35">
      <c r="A157" t="str">
        <f t="shared" si="2"/>
        <v/>
      </c>
    </row>
    <row r="158" spans="1:1" x14ac:dyDescent="0.35">
      <c r="A158" t="str">
        <f t="shared" si="2"/>
        <v/>
      </c>
    </row>
    <row r="159" spans="1:1" x14ac:dyDescent="0.35">
      <c r="A159" t="str">
        <f t="shared" si="2"/>
        <v/>
      </c>
    </row>
    <row r="160" spans="1:1" x14ac:dyDescent="0.35">
      <c r="A160" t="str">
        <f t="shared" si="2"/>
        <v/>
      </c>
    </row>
    <row r="161" spans="1:1" x14ac:dyDescent="0.35">
      <c r="A161" t="str">
        <f t="shared" si="2"/>
        <v/>
      </c>
    </row>
    <row r="162" spans="1:1" x14ac:dyDescent="0.35">
      <c r="A162" t="str">
        <f t="shared" si="2"/>
        <v/>
      </c>
    </row>
    <row r="163" spans="1:1" x14ac:dyDescent="0.35">
      <c r="A163" t="str">
        <f t="shared" si="2"/>
        <v/>
      </c>
    </row>
    <row r="164" spans="1:1" x14ac:dyDescent="0.35">
      <c r="A164" t="str">
        <f t="shared" si="2"/>
        <v/>
      </c>
    </row>
    <row r="165" spans="1:1" x14ac:dyDescent="0.35">
      <c r="A165" t="str">
        <f t="shared" si="2"/>
        <v/>
      </c>
    </row>
    <row r="166" spans="1:1" x14ac:dyDescent="0.35">
      <c r="A166" t="str">
        <f t="shared" si="2"/>
        <v/>
      </c>
    </row>
    <row r="167" spans="1:1" x14ac:dyDescent="0.35">
      <c r="A167" t="str">
        <f t="shared" si="2"/>
        <v/>
      </c>
    </row>
    <row r="168" spans="1:1" x14ac:dyDescent="0.35">
      <c r="A168" t="str">
        <f t="shared" si="2"/>
        <v/>
      </c>
    </row>
    <row r="169" spans="1:1" x14ac:dyDescent="0.35">
      <c r="A169" t="str">
        <f t="shared" si="2"/>
        <v/>
      </c>
    </row>
    <row r="170" spans="1:1" x14ac:dyDescent="0.35">
      <c r="A170" t="str">
        <f t="shared" si="2"/>
        <v/>
      </c>
    </row>
    <row r="171" spans="1:1" x14ac:dyDescent="0.35">
      <c r="A171" t="str">
        <f t="shared" si="2"/>
        <v/>
      </c>
    </row>
    <row r="172" spans="1:1" x14ac:dyDescent="0.35">
      <c r="A172" t="str">
        <f t="shared" si="2"/>
        <v/>
      </c>
    </row>
    <row r="173" spans="1:1" x14ac:dyDescent="0.35">
      <c r="A173" t="str">
        <f t="shared" si="2"/>
        <v/>
      </c>
    </row>
    <row r="174" spans="1:1" x14ac:dyDescent="0.35">
      <c r="A174" t="str">
        <f t="shared" si="2"/>
        <v/>
      </c>
    </row>
    <row r="175" spans="1:1" x14ac:dyDescent="0.35">
      <c r="A175" t="str">
        <f t="shared" si="2"/>
        <v/>
      </c>
    </row>
    <row r="176" spans="1:1" x14ac:dyDescent="0.35">
      <c r="A176" t="str">
        <f t="shared" si="2"/>
        <v/>
      </c>
    </row>
    <row r="177" spans="1:1" x14ac:dyDescent="0.35">
      <c r="A177" t="str">
        <f t="shared" si="2"/>
        <v/>
      </c>
    </row>
    <row r="178" spans="1:1" x14ac:dyDescent="0.35">
      <c r="A178" t="str">
        <f t="shared" si="2"/>
        <v/>
      </c>
    </row>
    <row r="179" spans="1:1" x14ac:dyDescent="0.35">
      <c r="A179" t="str">
        <f t="shared" si="2"/>
        <v/>
      </c>
    </row>
    <row r="180" spans="1:1" x14ac:dyDescent="0.35">
      <c r="A180" t="str">
        <f t="shared" si="2"/>
        <v/>
      </c>
    </row>
    <row r="181" spans="1:1" x14ac:dyDescent="0.35">
      <c r="A181" t="str">
        <f t="shared" si="2"/>
        <v/>
      </c>
    </row>
    <row r="182" spans="1:1" x14ac:dyDescent="0.35">
      <c r="A182" t="str">
        <f t="shared" si="2"/>
        <v/>
      </c>
    </row>
    <row r="183" spans="1:1" x14ac:dyDescent="0.35">
      <c r="A183" t="str">
        <f t="shared" si="2"/>
        <v/>
      </c>
    </row>
    <row r="184" spans="1:1" x14ac:dyDescent="0.35">
      <c r="A184" t="str">
        <f t="shared" si="2"/>
        <v/>
      </c>
    </row>
    <row r="185" spans="1:1" x14ac:dyDescent="0.35">
      <c r="A185" t="str">
        <f t="shared" si="2"/>
        <v/>
      </c>
    </row>
    <row r="186" spans="1:1" x14ac:dyDescent="0.35">
      <c r="A186" t="str">
        <f t="shared" si="2"/>
        <v/>
      </c>
    </row>
    <row r="187" spans="1:1" x14ac:dyDescent="0.35">
      <c r="A187" t="str">
        <f t="shared" si="2"/>
        <v/>
      </c>
    </row>
    <row r="188" spans="1:1" x14ac:dyDescent="0.35">
      <c r="A188" t="str">
        <f t="shared" si="2"/>
        <v/>
      </c>
    </row>
    <row r="189" spans="1:1" x14ac:dyDescent="0.35">
      <c r="A189" t="str">
        <f t="shared" si="2"/>
        <v/>
      </c>
    </row>
    <row r="190" spans="1:1" x14ac:dyDescent="0.35">
      <c r="A190" t="str">
        <f t="shared" si="2"/>
        <v/>
      </c>
    </row>
    <row r="191" spans="1:1" x14ac:dyDescent="0.35">
      <c r="A191" t="str">
        <f t="shared" si="2"/>
        <v/>
      </c>
    </row>
    <row r="192" spans="1:1" x14ac:dyDescent="0.35">
      <c r="A192" t="str">
        <f t="shared" si="2"/>
        <v/>
      </c>
    </row>
    <row r="193" spans="1:1" x14ac:dyDescent="0.35">
      <c r="A193" t="str">
        <f t="shared" si="2"/>
        <v/>
      </c>
    </row>
    <row r="194" spans="1:1" x14ac:dyDescent="0.35">
      <c r="A194" t="str">
        <f t="shared" si="2"/>
        <v/>
      </c>
    </row>
    <row r="195" spans="1:1" x14ac:dyDescent="0.35">
      <c r="A195" t="str">
        <f t="shared" ref="A195:A258" si="3">C195&amp;D195&amp;E195&amp;G195&amp;H195&amp;I195</f>
        <v/>
      </c>
    </row>
    <row r="196" spans="1:1" x14ac:dyDescent="0.35">
      <c r="A196" t="str">
        <f t="shared" si="3"/>
        <v/>
      </c>
    </row>
    <row r="197" spans="1:1" x14ac:dyDescent="0.35">
      <c r="A197" t="str">
        <f t="shared" si="3"/>
        <v/>
      </c>
    </row>
    <row r="198" spans="1:1" x14ac:dyDescent="0.35">
      <c r="A198" t="str">
        <f t="shared" si="3"/>
        <v/>
      </c>
    </row>
    <row r="199" spans="1:1" x14ac:dyDescent="0.35">
      <c r="A199" t="str">
        <f t="shared" si="3"/>
        <v/>
      </c>
    </row>
    <row r="200" spans="1:1" x14ac:dyDescent="0.35">
      <c r="A200" t="str">
        <f t="shared" si="3"/>
        <v/>
      </c>
    </row>
    <row r="201" spans="1:1" x14ac:dyDescent="0.35">
      <c r="A201" t="str">
        <f t="shared" si="3"/>
        <v/>
      </c>
    </row>
    <row r="202" spans="1:1" x14ac:dyDescent="0.35">
      <c r="A202" t="str">
        <f t="shared" si="3"/>
        <v/>
      </c>
    </row>
    <row r="203" spans="1:1" x14ac:dyDescent="0.35">
      <c r="A203" t="str">
        <f t="shared" si="3"/>
        <v/>
      </c>
    </row>
    <row r="204" spans="1:1" x14ac:dyDescent="0.35">
      <c r="A204" t="str">
        <f t="shared" si="3"/>
        <v/>
      </c>
    </row>
    <row r="205" spans="1:1" x14ac:dyDescent="0.35">
      <c r="A205" t="str">
        <f t="shared" si="3"/>
        <v/>
      </c>
    </row>
    <row r="206" spans="1:1" x14ac:dyDescent="0.35">
      <c r="A206" t="str">
        <f t="shared" si="3"/>
        <v/>
      </c>
    </row>
    <row r="207" spans="1:1" x14ac:dyDescent="0.35">
      <c r="A207" t="str">
        <f t="shared" si="3"/>
        <v/>
      </c>
    </row>
    <row r="208" spans="1:1" x14ac:dyDescent="0.35">
      <c r="A208" t="str">
        <f t="shared" si="3"/>
        <v/>
      </c>
    </row>
    <row r="209" spans="1:1" x14ac:dyDescent="0.35">
      <c r="A209" t="str">
        <f t="shared" si="3"/>
        <v/>
      </c>
    </row>
    <row r="210" spans="1:1" x14ac:dyDescent="0.35">
      <c r="A210" t="str">
        <f t="shared" si="3"/>
        <v/>
      </c>
    </row>
    <row r="211" spans="1:1" x14ac:dyDescent="0.35">
      <c r="A211" t="str">
        <f t="shared" si="3"/>
        <v/>
      </c>
    </row>
    <row r="212" spans="1:1" x14ac:dyDescent="0.35">
      <c r="A212" t="str">
        <f t="shared" si="3"/>
        <v/>
      </c>
    </row>
    <row r="213" spans="1:1" x14ac:dyDescent="0.35">
      <c r="A213" t="str">
        <f t="shared" si="3"/>
        <v/>
      </c>
    </row>
    <row r="214" spans="1:1" x14ac:dyDescent="0.35">
      <c r="A214" t="str">
        <f t="shared" si="3"/>
        <v/>
      </c>
    </row>
    <row r="215" spans="1:1" x14ac:dyDescent="0.35">
      <c r="A215" t="str">
        <f t="shared" si="3"/>
        <v/>
      </c>
    </row>
    <row r="216" spans="1:1" x14ac:dyDescent="0.35">
      <c r="A216" t="str">
        <f t="shared" si="3"/>
        <v/>
      </c>
    </row>
    <row r="217" spans="1:1" x14ac:dyDescent="0.35">
      <c r="A217" t="str">
        <f t="shared" si="3"/>
        <v/>
      </c>
    </row>
    <row r="218" spans="1:1" x14ac:dyDescent="0.35">
      <c r="A218" t="str">
        <f t="shared" si="3"/>
        <v/>
      </c>
    </row>
    <row r="219" spans="1:1" x14ac:dyDescent="0.35">
      <c r="A219" t="str">
        <f t="shared" si="3"/>
        <v/>
      </c>
    </row>
    <row r="220" spans="1:1" x14ac:dyDescent="0.35">
      <c r="A220" t="str">
        <f t="shared" si="3"/>
        <v/>
      </c>
    </row>
    <row r="221" spans="1:1" x14ac:dyDescent="0.35">
      <c r="A221" t="str">
        <f t="shared" si="3"/>
        <v/>
      </c>
    </row>
    <row r="222" spans="1:1" x14ac:dyDescent="0.35">
      <c r="A222" t="str">
        <f t="shared" si="3"/>
        <v/>
      </c>
    </row>
    <row r="223" spans="1:1" x14ac:dyDescent="0.35">
      <c r="A223" t="str">
        <f t="shared" si="3"/>
        <v/>
      </c>
    </row>
    <row r="224" spans="1:1" x14ac:dyDescent="0.35">
      <c r="A224" t="str">
        <f t="shared" si="3"/>
        <v/>
      </c>
    </row>
    <row r="225" spans="1:1" x14ac:dyDescent="0.35">
      <c r="A225" t="str">
        <f t="shared" si="3"/>
        <v/>
      </c>
    </row>
    <row r="226" spans="1:1" x14ac:dyDescent="0.35">
      <c r="A226" t="str">
        <f t="shared" si="3"/>
        <v/>
      </c>
    </row>
    <row r="227" spans="1:1" x14ac:dyDescent="0.35">
      <c r="A227" t="str">
        <f t="shared" si="3"/>
        <v/>
      </c>
    </row>
    <row r="228" spans="1:1" x14ac:dyDescent="0.35">
      <c r="A228" t="str">
        <f t="shared" si="3"/>
        <v/>
      </c>
    </row>
    <row r="229" spans="1:1" x14ac:dyDescent="0.35">
      <c r="A229" t="str">
        <f t="shared" si="3"/>
        <v/>
      </c>
    </row>
    <row r="230" spans="1:1" x14ac:dyDescent="0.35">
      <c r="A230" t="str">
        <f t="shared" si="3"/>
        <v/>
      </c>
    </row>
    <row r="231" spans="1:1" x14ac:dyDescent="0.35">
      <c r="A231" t="str">
        <f t="shared" si="3"/>
        <v/>
      </c>
    </row>
    <row r="232" spans="1:1" x14ac:dyDescent="0.35">
      <c r="A232" t="str">
        <f t="shared" si="3"/>
        <v/>
      </c>
    </row>
    <row r="233" spans="1:1" x14ac:dyDescent="0.35">
      <c r="A233" t="str">
        <f t="shared" si="3"/>
        <v/>
      </c>
    </row>
    <row r="234" spans="1:1" x14ac:dyDescent="0.35">
      <c r="A234" t="str">
        <f t="shared" si="3"/>
        <v/>
      </c>
    </row>
    <row r="235" spans="1:1" x14ac:dyDescent="0.35">
      <c r="A235" t="str">
        <f t="shared" si="3"/>
        <v/>
      </c>
    </row>
    <row r="236" spans="1:1" x14ac:dyDescent="0.35">
      <c r="A236" t="str">
        <f t="shared" si="3"/>
        <v/>
      </c>
    </row>
    <row r="237" spans="1:1" x14ac:dyDescent="0.35">
      <c r="A237" t="str">
        <f t="shared" si="3"/>
        <v/>
      </c>
    </row>
    <row r="238" spans="1:1" x14ac:dyDescent="0.35">
      <c r="A238" t="str">
        <f t="shared" si="3"/>
        <v/>
      </c>
    </row>
    <row r="239" spans="1:1" x14ac:dyDescent="0.35">
      <c r="A239" t="str">
        <f t="shared" si="3"/>
        <v/>
      </c>
    </row>
    <row r="240" spans="1:1" x14ac:dyDescent="0.35">
      <c r="A240" t="str">
        <f t="shared" si="3"/>
        <v/>
      </c>
    </row>
    <row r="241" spans="1:1" x14ac:dyDescent="0.35">
      <c r="A241" t="str">
        <f t="shared" si="3"/>
        <v/>
      </c>
    </row>
    <row r="242" spans="1:1" x14ac:dyDescent="0.35">
      <c r="A242" t="str">
        <f t="shared" si="3"/>
        <v/>
      </c>
    </row>
    <row r="243" spans="1:1" x14ac:dyDescent="0.35">
      <c r="A243" t="str">
        <f t="shared" si="3"/>
        <v/>
      </c>
    </row>
    <row r="244" spans="1:1" x14ac:dyDescent="0.35">
      <c r="A244" t="str">
        <f t="shared" si="3"/>
        <v/>
      </c>
    </row>
    <row r="245" spans="1:1" x14ac:dyDescent="0.35">
      <c r="A245" t="str">
        <f t="shared" si="3"/>
        <v/>
      </c>
    </row>
    <row r="246" spans="1:1" x14ac:dyDescent="0.35">
      <c r="A246" t="str">
        <f t="shared" si="3"/>
        <v/>
      </c>
    </row>
    <row r="247" spans="1:1" x14ac:dyDescent="0.35">
      <c r="A247" t="str">
        <f t="shared" si="3"/>
        <v/>
      </c>
    </row>
    <row r="248" spans="1:1" x14ac:dyDescent="0.35">
      <c r="A248" t="str">
        <f t="shared" si="3"/>
        <v/>
      </c>
    </row>
    <row r="249" spans="1:1" x14ac:dyDescent="0.35">
      <c r="A249" t="str">
        <f t="shared" si="3"/>
        <v/>
      </c>
    </row>
    <row r="250" spans="1:1" x14ac:dyDescent="0.35">
      <c r="A250" t="str">
        <f t="shared" si="3"/>
        <v/>
      </c>
    </row>
    <row r="251" spans="1:1" x14ac:dyDescent="0.35">
      <c r="A251" t="str">
        <f t="shared" si="3"/>
        <v/>
      </c>
    </row>
    <row r="252" spans="1:1" x14ac:dyDescent="0.35">
      <c r="A252" t="str">
        <f t="shared" si="3"/>
        <v/>
      </c>
    </row>
    <row r="253" spans="1:1" x14ac:dyDescent="0.35">
      <c r="A253" t="str">
        <f t="shared" si="3"/>
        <v/>
      </c>
    </row>
    <row r="254" spans="1:1" x14ac:dyDescent="0.35">
      <c r="A254" t="str">
        <f t="shared" si="3"/>
        <v/>
      </c>
    </row>
    <row r="255" spans="1:1" x14ac:dyDescent="0.35">
      <c r="A255" t="str">
        <f t="shared" si="3"/>
        <v/>
      </c>
    </row>
    <row r="256" spans="1:1" x14ac:dyDescent="0.35">
      <c r="A256" t="str">
        <f t="shared" si="3"/>
        <v/>
      </c>
    </row>
    <row r="257" spans="1:1" x14ac:dyDescent="0.35">
      <c r="A257" t="str">
        <f t="shared" si="3"/>
        <v/>
      </c>
    </row>
    <row r="258" spans="1:1" x14ac:dyDescent="0.35">
      <c r="A258" t="str">
        <f t="shared" si="3"/>
        <v/>
      </c>
    </row>
    <row r="259" spans="1:1" x14ac:dyDescent="0.35">
      <c r="A259" t="str">
        <f t="shared" ref="A259:A322" si="4">C259&amp;D259&amp;E259&amp;G259&amp;H259&amp;I259</f>
        <v/>
      </c>
    </row>
    <row r="260" spans="1:1" x14ac:dyDescent="0.35">
      <c r="A260" t="str">
        <f t="shared" si="4"/>
        <v/>
      </c>
    </row>
    <row r="261" spans="1:1" x14ac:dyDescent="0.35">
      <c r="A261" t="str">
        <f t="shared" si="4"/>
        <v/>
      </c>
    </row>
    <row r="262" spans="1:1" x14ac:dyDescent="0.35">
      <c r="A262" t="str">
        <f t="shared" si="4"/>
        <v/>
      </c>
    </row>
    <row r="263" spans="1:1" x14ac:dyDescent="0.35">
      <c r="A263" t="str">
        <f t="shared" si="4"/>
        <v/>
      </c>
    </row>
    <row r="264" spans="1:1" x14ac:dyDescent="0.35">
      <c r="A264" t="str">
        <f t="shared" si="4"/>
        <v/>
      </c>
    </row>
    <row r="265" spans="1:1" x14ac:dyDescent="0.35">
      <c r="A265" t="str">
        <f t="shared" si="4"/>
        <v/>
      </c>
    </row>
    <row r="266" spans="1:1" x14ac:dyDescent="0.35">
      <c r="A266" t="str">
        <f t="shared" si="4"/>
        <v/>
      </c>
    </row>
    <row r="267" spans="1:1" x14ac:dyDescent="0.35">
      <c r="A267" t="str">
        <f t="shared" si="4"/>
        <v/>
      </c>
    </row>
    <row r="268" spans="1:1" x14ac:dyDescent="0.35">
      <c r="A268" t="str">
        <f t="shared" si="4"/>
        <v/>
      </c>
    </row>
    <row r="269" spans="1:1" x14ac:dyDescent="0.35">
      <c r="A269" t="str">
        <f t="shared" si="4"/>
        <v/>
      </c>
    </row>
    <row r="270" spans="1:1" x14ac:dyDescent="0.35">
      <c r="A270" t="str">
        <f t="shared" si="4"/>
        <v/>
      </c>
    </row>
    <row r="271" spans="1:1" x14ac:dyDescent="0.35">
      <c r="A271" t="str">
        <f t="shared" si="4"/>
        <v/>
      </c>
    </row>
    <row r="272" spans="1:1" x14ac:dyDescent="0.35">
      <c r="A272" t="str">
        <f t="shared" si="4"/>
        <v/>
      </c>
    </row>
    <row r="273" spans="1:1" x14ac:dyDescent="0.35">
      <c r="A273" t="str">
        <f t="shared" si="4"/>
        <v/>
      </c>
    </row>
    <row r="274" spans="1:1" x14ac:dyDescent="0.35">
      <c r="A274" t="str">
        <f t="shared" si="4"/>
        <v/>
      </c>
    </row>
    <row r="275" spans="1:1" x14ac:dyDescent="0.35">
      <c r="A275" t="str">
        <f t="shared" si="4"/>
        <v/>
      </c>
    </row>
    <row r="276" spans="1:1" x14ac:dyDescent="0.35">
      <c r="A276" t="str">
        <f t="shared" si="4"/>
        <v/>
      </c>
    </row>
    <row r="277" spans="1:1" x14ac:dyDescent="0.35">
      <c r="A277" t="str">
        <f t="shared" si="4"/>
        <v/>
      </c>
    </row>
    <row r="278" spans="1:1" x14ac:dyDescent="0.35">
      <c r="A278" t="str">
        <f t="shared" si="4"/>
        <v/>
      </c>
    </row>
    <row r="279" spans="1:1" x14ac:dyDescent="0.35">
      <c r="A279" t="str">
        <f t="shared" si="4"/>
        <v/>
      </c>
    </row>
    <row r="280" spans="1:1" x14ac:dyDescent="0.35">
      <c r="A280" t="str">
        <f t="shared" si="4"/>
        <v/>
      </c>
    </row>
    <row r="281" spans="1:1" x14ac:dyDescent="0.35">
      <c r="A281" t="str">
        <f t="shared" si="4"/>
        <v/>
      </c>
    </row>
    <row r="282" spans="1:1" x14ac:dyDescent="0.35">
      <c r="A282" t="str">
        <f t="shared" si="4"/>
        <v/>
      </c>
    </row>
    <row r="283" spans="1:1" x14ac:dyDescent="0.35">
      <c r="A283" t="str">
        <f t="shared" si="4"/>
        <v/>
      </c>
    </row>
    <row r="284" spans="1:1" x14ac:dyDescent="0.35">
      <c r="A284" t="str">
        <f t="shared" si="4"/>
        <v/>
      </c>
    </row>
    <row r="285" spans="1:1" x14ac:dyDescent="0.35">
      <c r="A285" t="str">
        <f t="shared" si="4"/>
        <v/>
      </c>
    </row>
    <row r="286" spans="1:1" x14ac:dyDescent="0.35">
      <c r="A286" t="str">
        <f t="shared" si="4"/>
        <v/>
      </c>
    </row>
    <row r="287" spans="1:1" x14ac:dyDescent="0.35">
      <c r="A287" t="str">
        <f t="shared" si="4"/>
        <v/>
      </c>
    </row>
    <row r="288" spans="1:1" x14ac:dyDescent="0.35">
      <c r="A288" t="str">
        <f t="shared" si="4"/>
        <v/>
      </c>
    </row>
    <row r="289" spans="1:1" x14ac:dyDescent="0.35">
      <c r="A289" t="str">
        <f t="shared" si="4"/>
        <v/>
      </c>
    </row>
    <row r="290" spans="1:1" x14ac:dyDescent="0.35">
      <c r="A290" t="str">
        <f t="shared" si="4"/>
        <v/>
      </c>
    </row>
    <row r="291" spans="1:1" x14ac:dyDescent="0.35">
      <c r="A291" t="str">
        <f t="shared" si="4"/>
        <v/>
      </c>
    </row>
    <row r="292" spans="1:1" x14ac:dyDescent="0.35">
      <c r="A292" t="str">
        <f t="shared" si="4"/>
        <v/>
      </c>
    </row>
    <row r="293" spans="1:1" x14ac:dyDescent="0.35">
      <c r="A293" t="str">
        <f t="shared" si="4"/>
        <v/>
      </c>
    </row>
    <row r="294" spans="1:1" x14ac:dyDescent="0.35">
      <c r="A294" t="str">
        <f t="shared" si="4"/>
        <v/>
      </c>
    </row>
    <row r="295" spans="1:1" x14ac:dyDescent="0.35">
      <c r="A295" t="str">
        <f t="shared" si="4"/>
        <v/>
      </c>
    </row>
    <row r="296" spans="1:1" x14ac:dyDescent="0.35">
      <c r="A296" t="str">
        <f t="shared" si="4"/>
        <v/>
      </c>
    </row>
    <row r="297" spans="1:1" x14ac:dyDescent="0.35">
      <c r="A297" t="str">
        <f t="shared" si="4"/>
        <v/>
      </c>
    </row>
    <row r="298" spans="1:1" x14ac:dyDescent="0.35">
      <c r="A298" t="str">
        <f t="shared" si="4"/>
        <v/>
      </c>
    </row>
    <row r="299" spans="1:1" x14ac:dyDescent="0.35">
      <c r="A299" t="str">
        <f t="shared" si="4"/>
        <v/>
      </c>
    </row>
    <row r="300" spans="1:1" x14ac:dyDescent="0.35">
      <c r="A300" t="str">
        <f t="shared" si="4"/>
        <v/>
      </c>
    </row>
    <row r="301" spans="1:1" x14ac:dyDescent="0.35">
      <c r="A301" t="str">
        <f t="shared" si="4"/>
        <v/>
      </c>
    </row>
    <row r="302" spans="1:1" x14ac:dyDescent="0.35">
      <c r="A302" t="str">
        <f t="shared" si="4"/>
        <v/>
      </c>
    </row>
    <row r="303" spans="1:1" x14ac:dyDescent="0.35">
      <c r="A303" t="str">
        <f t="shared" si="4"/>
        <v/>
      </c>
    </row>
    <row r="304" spans="1:1" x14ac:dyDescent="0.35">
      <c r="A304" t="str">
        <f t="shared" si="4"/>
        <v/>
      </c>
    </row>
    <row r="305" spans="1:1" x14ac:dyDescent="0.35">
      <c r="A305" t="str">
        <f t="shared" si="4"/>
        <v/>
      </c>
    </row>
    <row r="306" spans="1:1" x14ac:dyDescent="0.35">
      <c r="A306" t="str">
        <f t="shared" si="4"/>
        <v/>
      </c>
    </row>
    <row r="307" spans="1:1" x14ac:dyDescent="0.35">
      <c r="A307" t="str">
        <f t="shared" si="4"/>
        <v/>
      </c>
    </row>
    <row r="308" spans="1:1" x14ac:dyDescent="0.35">
      <c r="A308" t="str">
        <f t="shared" si="4"/>
        <v/>
      </c>
    </row>
    <row r="309" spans="1:1" x14ac:dyDescent="0.35">
      <c r="A309" t="str">
        <f t="shared" si="4"/>
        <v/>
      </c>
    </row>
    <row r="310" spans="1:1" x14ac:dyDescent="0.35">
      <c r="A310" t="str">
        <f t="shared" si="4"/>
        <v/>
      </c>
    </row>
    <row r="311" spans="1:1" x14ac:dyDescent="0.35">
      <c r="A311" t="str">
        <f t="shared" si="4"/>
        <v/>
      </c>
    </row>
    <row r="312" spans="1:1" x14ac:dyDescent="0.35">
      <c r="A312" t="str">
        <f t="shared" si="4"/>
        <v/>
      </c>
    </row>
    <row r="313" spans="1:1" x14ac:dyDescent="0.35">
      <c r="A313" t="str">
        <f t="shared" si="4"/>
        <v/>
      </c>
    </row>
    <row r="314" spans="1:1" x14ac:dyDescent="0.35">
      <c r="A314" t="str">
        <f t="shared" si="4"/>
        <v/>
      </c>
    </row>
    <row r="315" spans="1:1" x14ac:dyDescent="0.35">
      <c r="A315" t="str">
        <f t="shared" si="4"/>
        <v/>
      </c>
    </row>
    <row r="316" spans="1:1" x14ac:dyDescent="0.35">
      <c r="A316" t="str">
        <f t="shared" si="4"/>
        <v/>
      </c>
    </row>
    <row r="317" spans="1:1" x14ac:dyDescent="0.35">
      <c r="A317" t="str">
        <f t="shared" si="4"/>
        <v/>
      </c>
    </row>
    <row r="318" spans="1:1" x14ac:dyDescent="0.35">
      <c r="A318" t="str">
        <f t="shared" si="4"/>
        <v/>
      </c>
    </row>
    <row r="319" spans="1:1" x14ac:dyDescent="0.35">
      <c r="A319" t="str">
        <f t="shared" si="4"/>
        <v/>
      </c>
    </row>
    <row r="320" spans="1:1" x14ac:dyDescent="0.35">
      <c r="A320" t="str">
        <f t="shared" si="4"/>
        <v/>
      </c>
    </row>
    <row r="321" spans="1:1" x14ac:dyDescent="0.35">
      <c r="A321" t="str">
        <f t="shared" si="4"/>
        <v/>
      </c>
    </row>
    <row r="322" spans="1:1" x14ac:dyDescent="0.35">
      <c r="A322" t="str">
        <f t="shared" si="4"/>
        <v/>
      </c>
    </row>
    <row r="323" spans="1:1" x14ac:dyDescent="0.35">
      <c r="A323" t="str">
        <f t="shared" ref="A323:A386" si="5">C323&amp;D323&amp;E323&amp;G323&amp;H323&amp;I323</f>
        <v/>
      </c>
    </row>
    <row r="324" spans="1:1" x14ac:dyDescent="0.35">
      <c r="A324" t="str">
        <f t="shared" si="5"/>
        <v/>
      </c>
    </row>
    <row r="325" spans="1:1" x14ac:dyDescent="0.35">
      <c r="A325" t="str">
        <f t="shared" si="5"/>
        <v/>
      </c>
    </row>
    <row r="326" spans="1:1" x14ac:dyDescent="0.35">
      <c r="A326" t="str">
        <f t="shared" si="5"/>
        <v/>
      </c>
    </row>
    <row r="327" spans="1:1" x14ac:dyDescent="0.35">
      <c r="A327" t="str">
        <f t="shared" si="5"/>
        <v/>
      </c>
    </row>
    <row r="328" spans="1:1" x14ac:dyDescent="0.35">
      <c r="A328" t="str">
        <f t="shared" si="5"/>
        <v/>
      </c>
    </row>
    <row r="329" spans="1:1" x14ac:dyDescent="0.35">
      <c r="A329" t="str">
        <f t="shared" si="5"/>
        <v/>
      </c>
    </row>
    <row r="330" spans="1:1" x14ac:dyDescent="0.35">
      <c r="A330" t="str">
        <f t="shared" si="5"/>
        <v/>
      </c>
    </row>
    <row r="331" spans="1:1" x14ac:dyDescent="0.35">
      <c r="A331" t="str">
        <f t="shared" si="5"/>
        <v/>
      </c>
    </row>
    <row r="332" spans="1:1" x14ac:dyDescent="0.35">
      <c r="A332" t="str">
        <f t="shared" si="5"/>
        <v/>
      </c>
    </row>
    <row r="333" spans="1:1" x14ac:dyDescent="0.35">
      <c r="A333" t="str">
        <f t="shared" si="5"/>
        <v/>
      </c>
    </row>
    <row r="334" spans="1:1" x14ac:dyDescent="0.35">
      <c r="A334" t="str">
        <f t="shared" si="5"/>
        <v/>
      </c>
    </row>
    <row r="335" spans="1:1" x14ac:dyDescent="0.35">
      <c r="A335" t="str">
        <f t="shared" si="5"/>
        <v/>
      </c>
    </row>
    <row r="336" spans="1:1" x14ac:dyDescent="0.35">
      <c r="A336" t="str">
        <f t="shared" si="5"/>
        <v/>
      </c>
    </row>
    <row r="337" spans="1:1" x14ac:dyDescent="0.35">
      <c r="A337" t="str">
        <f t="shared" si="5"/>
        <v/>
      </c>
    </row>
    <row r="338" spans="1:1" x14ac:dyDescent="0.35">
      <c r="A338" t="str">
        <f t="shared" si="5"/>
        <v/>
      </c>
    </row>
    <row r="339" spans="1:1" x14ac:dyDescent="0.35">
      <c r="A339" t="str">
        <f t="shared" si="5"/>
        <v/>
      </c>
    </row>
    <row r="340" spans="1:1" x14ac:dyDescent="0.35">
      <c r="A340" t="str">
        <f t="shared" si="5"/>
        <v/>
      </c>
    </row>
    <row r="341" spans="1:1" x14ac:dyDescent="0.35">
      <c r="A341" t="str">
        <f t="shared" si="5"/>
        <v/>
      </c>
    </row>
    <row r="342" spans="1:1" x14ac:dyDescent="0.35">
      <c r="A342" t="str">
        <f t="shared" si="5"/>
        <v/>
      </c>
    </row>
    <row r="343" spans="1:1" x14ac:dyDescent="0.35">
      <c r="A343" t="str">
        <f t="shared" si="5"/>
        <v/>
      </c>
    </row>
    <row r="344" spans="1:1" x14ac:dyDescent="0.35">
      <c r="A344" t="str">
        <f t="shared" si="5"/>
        <v/>
      </c>
    </row>
    <row r="345" spans="1:1" x14ac:dyDescent="0.35">
      <c r="A345" t="str">
        <f t="shared" si="5"/>
        <v/>
      </c>
    </row>
    <row r="346" spans="1:1" x14ac:dyDescent="0.35">
      <c r="A346" t="str">
        <f t="shared" si="5"/>
        <v/>
      </c>
    </row>
    <row r="347" spans="1:1" x14ac:dyDescent="0.35">
      <c r="A347" t="str">
        <f t="shared" si="5"/>
        <v/>
      </c>
    </row>
    <row r="348" spans="1:1" x14ac:dyDescent="0.35">
      <c r="A348" t="str">
        <f t="shared" si="5"/>
        <v/>
      </c>
    </row>
    <row r="349" spans="1:1" x14ac:dyDescent="0.35">
      <c r="A349" t="str">
        <f t="shared" si="5"/>
        <v/>
      </c>
    </row>
    <row r="350" spans="1:1" x14ac:dyDescent="0.35">
      <c r="A350" t="str">
        <f t="shared" si="5"/>
        <v/>
      </c>
    </row>
    <row r="351" spans="1:1" x14ac:dyDescent="0.35">
      <c r="A351" t="str">
        <f t="shared" si="5"/>
        <v/>
      </c>
    </row>
    <row r="352" spans="1:1" x14ac:dyDescent="0.35">
      <c r="A352" t="str">
        <f t="shared" si="5"/>
        <v/>
      </c>
    </row>
    <row r="353" spans="1:1" x14ac:dyDescent="0.35">
      <c r="A353" t="str">
        <f t="shared" si="5"/>
        <v/>
      </c>
    </row>
    <row r="354" spans="1:1" x14ac:dyDescent="0.35">
      <c r="A354" t="str">
        <f t="shared" si="5"/>
        <v/>
      </c>
    </row>
    <row r="355" spans="1:1" x14ac:dyDescent="0.35">
      <c r="A355" t="str">
        <f t="shared" si="5"/>
        <v/>
      </c>
    </row>
    <row r="356" spans="1:1" x14ac:dyDescent="0.35">
      <c r="A356" t="str">
        <f t="shared" si="5"/>
        <v/>
      </c>
    </row>
    <row r="357" spans="1:1" x14ac:dyDescent="0.35">
      <c r="A357" t="str">
        <f t="shared" si="5"/>
        <v/>
      </c>
    </row>
    <row r="358" spans="1:1" x14ac:dyDescent="0.35">
      <c r="A358" t="str">
        <f t="shared" si="5"/>
        <v/>
      </c>
    </row>
    <row r="359" spans="1:1" x14ac:dyDescent="0.35">
      <c r="A359" t="str">
        <f t="shared" si="5"/>
        <v/>
      </c>
    </row>
    <row r="360" spans="1:1" x14ac:dyDescent="0.35">
      <c r="A360" t="str">
        <f t="shared" si="5"/>
        <v/>
      </c>
    </row>
    <row r="361" spans="1:1" x14ac:dyDescent="0.35">
      <c r="A361" t="str">
        <f t="shared" si="5"/>
        <v/>
      </c>
    </row>
    <row r="362" spans="1:1" x14ac:dyDescent="0.35">
      <c r="A362" t="str">
        <f t="shared" si="5"/>
        <v/>
      </c>
    </row>
    <row r="363" spans="1:1" x14ac:dyDescent="0.35">
      <c r="A363" t="str">
        <f t="shared" si="5"/>
        <v/>
      </c>
    </row>
    <row r="364" spans="1:1" x14ac:dyDescent="0.35">
      <c r="A364" t="str">
        <f t="shared" si="5"/>
        <v/>
      </c>
    </row>
    <row r="365" spans="1:1" x14ac:dyDescent="0.35">
      <c r="A365" t="str">
        <f t="shared" si="5"/>
        <v/>
      </c>
    </row>
    <row r="366" spans="1:1" x14ac:dyDescent="0.35">
      <c r="A366" t="str">
        <f t="shared" si="5"/>
        <v/>
      </c>
    </row>
    <row r="367" spans="1:1" x14ac:dyDescent="0.35">
      <c r="A367" t="str">
        <f t="shared" si="5"/>
        <v/>
      </c>
    </row>
    <row r="368" spans="1:1" x14ac:dyDescent="0.35">
      <c r="A368" t="str">
        <f t="shared" si="5"/>
        <v/>
      </c>
    </row>
    <row r="369" spans="1:1" x14ac:dyDescent="0.35">
      <c r="A369" t="str">
        <f t="shared" si="5"/>
        <v/>
      </c>
    </row>
    <row r="370" spans="1:1" x14ac:dyDescent="0.35">
      <c r="A370" t="str">
        <f t="shared" si="5"/>
        <v/>
      </c>
    </row>
    <row r="371" spans="1:1" x14ac:dyDescent="0.35">
      <c r="A371" t="str">
        <f t="shared" si="5"/>
        <v/>
      </c>
    </row>
    <row r="372" spans="1:1" x14ac:dyDescent="0.35">
      <c r="A372" t="str">
        <f t="shared" si="5"/>
        <v/>
      </c>
    </row>
    <row r="373" spans="1:1" x14ac:dyDescent="0.35">
      <c r="A373" t="str">
        <f t="shared" si="5"/>
        <v/>
      </c>
    </row>
    <row r="374" spans="1:1" x14ac:dyDescent="0.35">
      <c r="A374" t="str">
        <f t="shared" si="5"/>
        <v/>
      </c>
    </row>
    <row r="375" spans="1:1" x14ac:dyDescent="0.35">
      <c r="A375" t="str">
        <f t="shared" si="5"/>
        <v/>
      </c>
    </row>
    <row r="376" spans="1:1" x14ac:dyDescent="0.35">
      <c r="A376" t="str">
        <f t="shared" si="5"/>
        <v/>
      </c>
    </row>
    <row r="377" spans="1:1" x14ac:dyDescent="0.35">
      <c r="A377" t="str">
        <f t="shared" si="5"/>
        <v/>
      </c>
    </row>
    <row r="378" spans="1:1" x14ac:dyDescent="0.35">
      <c r="A378" t="str">
        <f t="shared" si="5"/>
        <v/>
      </c>
    </row>
    <row r="379" spans="1:1" x14ac:dyDescent="0.35">
      <c r="A379" t="str">
        <f t="shared" si="5"/>
        <v/>
      </c>
    </row>
    <row r="380" spans="1:1" x14ac:dyDescent="0.35">
      <c r="A380" t="str">
        <f t="shared" si="5"/>
        <v/>
      </c>
    </row>
    <row r="381" spans="1:1" x14ac:dyDescent="0.35">
      <c r="A381" t="str">
        <f t="shared" si="5"/>
        <v/>
      </c>
    </row>
    <row r="382" spans="1:1" x14ac:dyDescent="0.35">
      <c r="A382" t="str">
        <f t="shared" si="5"/>
        <v/>
      </c>
    </row>
    <row r="383" spans="1:1" x14ac:dyDescent="0.35">
      <c r="A383" t="str">
        <f t="shared" si="5"/>
        <v/>
      </c>
    </row>
    <row r="384" spans="1:1" x14ac:dyDescent="0.35">
      <c r="A384" t="str">
        <f t="shared" si="5"/>
        <v/>
      </c>
    </row>
    <row r="385" spans="1:1" x14ac:dyDescent="0.35">
      <c r="A385" t="str">
        <f t="shared" si="5"/>
        <v/>
      </c>
    </row>
    <row r="386" spans="1:1" x14ac:dyDescent="0.35">
      <c r="A386" t="str">
        <f t="shared" si="5"/>
        <v/>
      </c>
    </row>
    <row r="387" spans="1:1" x14ac:dyDescent="0.35">
      <c r="A387" t="str">
        <f t="shared" ref="A387:A450" si="6">C387&amp;D387&amp;E387&amp;G387&amp;H387&amp;I387</f>
        <v/>
      </c>
    </row>
    <row r="388" spans="1:1" x14ac:dyDescent="0.35">
      <c r="A388" t="str">
        <f t="shared" si="6"/>
        <v/>
      </c>
    </row>
    <row r="389" spans="1:1" x14ac:dyDescent="0.35">
      <c r="A389" t="str">
        <f t="shared" si="6"/>
        <v/>
      </c>
    </row>
    <row r="390" spans="1:1" x14ac:dyDescent="0.35">
      <c r="A390" t="str">
        <f t="shared" si="6"/>
        <v/>
      </c>
    </row>
    <row r="391" spans="1:1" x14ac:dyDescent="0.35">
      <c r="A391" t="str">
        <f t="shared" si="6"/>
        <v/>
      </c>
    </row>
    <row r="392" spans="1:1" x14ac:dyDescent="0.35">
      <c r="A392" t="str">
        <f t="shared" si="6"/>
        <v/>
      </c>
    </row>
    <row r="393" spans="1:1" x14ac:dyDescent="0.35">
      <c r="A393" t="str">
        <f t="shared" si="6"/>
        <v/>
      </c>
    </row>
    <row r="394" spans="1:1" x14ac:dyDescent="0.35">
      <c r="A394" t="str">
        <f t="shared" si="6"/>
        <v/>
      </c>
    </row>
    <row r="395" spans="1:1" x14ac:dyDescent="0.35">
      <c r="A395" t="str">
        <f t="shared" si="6"/>
        <v/>
      </c>
    </row>
    <row r="396" spans="1:1" x14ac:dyDescent="0.35">
      <c r="A396" t="str">
        <f t="shared" si="6"/>
        <v/>
      </c>
    </row>
    <row r="397" spans="1:1" x14ac:dyDescent="0.35">
      <c r="A397" t="str">
        <f t="shared" si="6"/>
        <v/>
      </c>
    </row>
    <row r="398" spans="1:1" x14ac:dyDescent="0.35">
      <c r="A398" t="str">
        <f t="shared" si="6"/>
        <v/>
      </c>
    </row>
    <row r="399" spans="1:1" x14ac:dyDescent="0.35">
      <c r="A399" t="str">
        <f t="shared" si="6"/>
        <v/>
      </c>
    </row>
    <row r="400" spans="1:1" x14ac:dyDescent="0.35">
      <c r="A400" t="str">
        <f t="shared" si="6"/>
        <v/>
      </c>
    </row>
    <row r="401" spans="1:1" x14ac:dyDescent="0.35">
      <c r="A401" t="str">
        <f t="shared" si="6"/>
        <v/>
      </c>
    </row>
    <row r="402" spans="1:1" x14ac:dyDescent="0.35">
      <c r="A402" t="str">
        <f t="shared" si="6"/>
        <v/>
      </c>
    </row>
    <row r="403" spans="1:1" x14ac:dyDescent="0.35">
      <c r="A403" t="str">
        <f t="shared" si="6"/>
        <v/>
      </c>
    </row>
    <row r="404" spans="1:1" x14ac:dyDescent="0.35">
      <c r="A404" t="str">
        <f t="shared" si="6"/>
        <v/>
      </c>
    </row>
    <row r="405" spans="1:1" x14ac:dyDescent="0.35">
      <c r="A405" t="str">
        <f t="shared" si="6"/>
        <v/>
      </c>
    </row>
    <row r="406" spans="1:1" x14ac:dyDescent="0.35">
      <c r="A406" t="str">
        <f t="shared" si="6"/>
        <v/>
      </c>
    </row>
    <row r="407" spans="1:1" x14ac:dyDescent="0.35">
      <c r="A407" t="str">
        <f t="shared" si="6"/>
        <v/>
      </c>
    </row>
    <row r="408" spans="1:1" x14ac:dyDescent="0.35">
      <c r="A408" t="str">
        <f t="shared" si="6"/>
        <v/>
      </c>
    </row>
    <row r="409" spans="1:1" x14ac:dyDescent="0.35">
      <c r="A409" t="str">
        <f t="shared" si="6"/>
        <v/>
      </c>
    </row>
    <row r="410" spans="1:1" x14ac:dyDescent="0.35">
      <c r="A410" t="str">
        <f t="shared" si="6"/>
        <v/>
      </c>
    </row>
    <row r="411" spans="1:1" x14ac:dyDescent="0.35">
      <c r="A411" t="str">
        <f t="shared" si="6"/>
        <v/>
      </c>
    </row>
    <row r="412" spans="1:1" x14ac:dyDescent="0.35">
      <c r="A412" t="str">
        <f t="shared" si="6"/>
        <v/>
      </c>
    </row>
    <row r="413" spans="1:1" x14ac:dyDescent="0.35">
      <c r="A413" t="str">
        <f t="shared" si="6"/>
        <v/>
      </c>
    </row>
    <row r="414" spans="1:1" x14ac:dyDescent="0.35">
      <c r="A414" t="str">
        <f t="shared" si="6"/>
        <v/>
      </c>
    </row>
    <row r="415" spans="1:1" x14ac:dyDescent="0.35">
      <c r="A415" t="str">
        <f t="shared" si="6"/>
        <v/>
      </c>
    </row>
    <row r="416" spans="1:1" x14ac:dyDescent="0.35">
      <c r="A416" t="str">
        <f t="shared" si="6"/>
        <v/>
      </c>
    </row>
    <row r="417" spans="1:1" x14ac:dyDescent="0.35">
      <c r="A417" t="str">
        <f t="shared" si="6"/>
        <v/>
      </c>
    </row>
    <row r="418" spans="1:1" x14ac:dyDescent="0.35">
      <c r="A418" t="str">
        <f t="shared" si="6"/>
        <v/>
      </c>
    </row>
    <row r="419" spans="1:1" x14ac:dyDescent="0.35">
      <c r="A419" t="str">
        <f t="shared" si="6"/>
        <v/>
      </c>
    </row>
    <row r="420" spans="1:1" x14ac:dyDescent="0.35">
      <c r="A420" t="str">
        <f t="shared" si="6"/>
        <v/>
      </c>
    </row>
    <row r="421" spans="1:1" x14ac:dyDescent="0.35">
      <c r="A421" t="str">
        <f t="shared" si="6"/>
        <v/>
      </c>
    </row>
    <row r="422" spans="1:1" x14ac:dyDescent="0.35">
      <c r="A422" t="str">
        <f t="shared" si="6"/>
        <v/>
      </c>
    </row>
    <row r="423" spans="1:1" x14ac:dyDescent="0.35">
      <c r="A423" t="str">
        <f t="shared" si="6"/>
        <v/>
      </c>
    </row>
    <row r="424" spans="1:1" x14ac:dyDescent="0.35">
      <c r="A424" t="str">
        <f t="shared" si="6"/>
        <v/>
      </c>
    </row>
    <row r="425" spans="1:1" x14ac:dyDescent="0.35">
      <c r="A425" t="str">
        <f t="shared" si="6"/>
        <v/>
      </c>
    </row>
    <row r="426" spans="1:1" x14ac:dyDescent="0.35">
      <c r="A426" t="str">
        <f t="shared" si="6"/>
        <v/>
      </c>
    </row>
    <row r="427" spans="1:1" x14ac:dyDescent="0.35">
      <c r="A427" t="str">
        <f t="shared" si="6"/>
        <v/>
      </c>
    </row>
    <row r="428" spans="1:1" x14ac:dyDescent="0.35">
      <c r="A428" t="str">
        <f t="shared" si="6"/>
        <v/>
      </c>
    </row>
    <row r="429" spans="1:1" x14ac:dyDescent="0.35">
      <c r="A429" t="str">
        <f t="shared" si="6"/>
        <v/>
      </c>
    </row>
    <row r="430" spans="1:1" x14ac:dyDescent="0.35">
      <c r="A430" t="str">
        <f t="shared" si="6"/>
        <v/>
      </c>
    </row>
    <row r="431" spans="1:1" x14ac:dyDescent="0.35">
      <c r="A431" t="str">
        <f t="shared" si="6"/>
        <v/>
      </c>
    </row>
    <row r="432" spans="1:1" x14ac:dyDescent="0.35">
      <c r="A432" t="str">
        <f t="shared" si="6"/>
        <v/>
      </c>
    </row>
    <row r="433" spans="1:1" x14ac:dyDescent="0.35">
      <c r="A433" t="str">
        <f t="shared" si="6"/>
        <v/>
      </c>
    </row>
    <row r="434" spans="1:1" x14ac:dyDescent="0.35">
      <c r="A434" t="str">
        <f t="shared" si="6"/>
        <v/>
      </c>
    </row>
    <row r="435" spans="1:1" x14ac:dyDescent="0.35">
      <c r="A435" t="str">
        <f t="shared" si="6"/>
        <v/>
      </c>
    </row>
    <row r="436" spans="1:1" x14ac:dyDescent="0.35">
      <c r="A436" t="str">
        <f t="shared" si="6"/>
        <v/>
      </c>
    </row>
    <row r="437" spans="1:1" x14ac:dyDescent="0.35">
      <c r="A437" t="str">
        <f t="shared" si="6"/>
        <v/>
      </c>
    </row>
    <row r="438" spans="1:1" x14ac:dyDescent="0.35">
      <c r="A438" t="str">
        <f t="shared" si="6"/>
        <v/>
      </c>
    </row>
    <row r="439" spans="1:1" x14ac:dyDescent="0.35">
      <c r="A439" t="str">
        <f t="shared" si="6"/>
        <v/>
      </c>
    </row>
    <row r="440" spans="1:1" x14ac:dyDescent="0.35">
      <c r="A440" t="str">
        <f t="shared" si="6"/>
        <v/>
      </c>
    </row>
    <row r="441" spans="1:1" x14ac:dyDescent="0.35">
      <c r="A441" t="str">
        <f t="shared" si="6"/>
        <v/>
      </c>
    </row>
    <row r="442" spans="1:1" x14ac:dyDescent="0.35">
      <c r="A442" t="str">
        <f t="shared" si="6"/>
        <v/>
      </c>
    </row>
    <row r="443" spans="1:1" x14ac:dyDescent="0.35">
      <c r="A443" t="str">
        <f t="shared" si="6"/>
        <v/>
      </c>
    </row>
    <row r="444" spans="1:1" x14ac:dyDescent="0.35">
      <c r="A444" t="str">
        <f t="shared" si="6"/>
        <v/>
      </c>
    </row>
    <row r="445" spans="1:1" x14ac:dyDescent="0.35">
      <c r="A445" t="str">
        <f t="shared" si="6"/>
        <v/>
      </c>
    </row>
    <row r="446" spans="1:1" x14ac:dyDescent="0.35">
      <c r="A446" t="str">
        <f t="shared" si="6"/>
        <v/>
      </c>
    </row>
    <row r="447" spans="1:1" x14ac:dyDescent="0.35">
      <c r="A447" t="str">
        <f t="shared" si="6"/>
        <v/>
      </c>
    </row>
    <row r="448" spans="1:1" x14ac:dyDescent="0.35">
      <c r="A448" t="str">
        <f t="shared" si="6"/>
        <v/>
      </c>
    </row>
    <row r="449" spans="1:1" x14ac:dyDescent="0.35">
      <c r="A449" t="str">
        <f t="shared" si="6"/>
        <v/>
      </c>
    </row>
    <row r="450" spans="1:1" x14ac:dyDescent="0.35">
      <c r="A450" t="str">
        <f t="shared" si="6"/>
        <v/>
      </c>
    </row>
    <row r="451" spans="1:1" x14ac:dyDescent="0.35">
      <c r="A451" t="str">
        <f t="shared" ref="A451:A514" si="7">C451&amp;D451&amp;E451&amp;G451&amp;H451&amp;I451</f>
        <v/>
      </c>
    </row>
    <row r="452" spans="1:1" x14ac:dyDescent="0.35">
      <c r="A452" t="str">
        <f t="shared" si="7"/>
        <v/>
      </c>
    </row>
    <row r="453" spans="1:1" x14ac:dyDescent="0.35">
      <c r="A453" t="str">
        <f t="shared" si="7"/>
        <v/>
      </c>
    </row>
    <row r="454" spans="1:1" x14ac:dyDescent="0.35">
      <c r="A454" t="str">
        <f t="shared" si="7"/>
        <v/>
      </c>
    </row>
    <row r="455" spans="1:1" x14ac:dyDescent="0.35">
      <c r="A455" t="str">
        <f t="shared" si="7"/>
        <v/>
      </c>
    </row>
    <row r="456" spans="1:1" x14ac:dyDescent="0.35">
      <c r="A456" t="str">
        <f t="shared" si="7"/>
        <v/>
      </c>
    </row>
    <row r="457" spans="1:1" x14ac:dyDescent="0.35">
      <c r="A457" t="str">
        <f t="shared" si="7"/>
        <v/>
      </c>
    </row>
    <row r="458" spans="1:1" x14ac:dyDescent="0.35">
      <c r="A458" t="str">
        <f t="shared" si="7"/>
        <v/>
      </c>
    </row>
    <row r="459" spans="1:1" x14ac:dyDescent="0.35">
      <c r="A459" t="str">
        <f t="shared" si="7"/>
        <v/>
      </c>
    </row>
    <row r="460" spans="1:1" x14ac:dyDescent="0.35">
      <c r="A460" t="str">
        <f t="shared" si="7"/>
        <v/>
      </c>
    </row>
    <row r="461" spans="1:1" x14ac:dyDescent="0.35">
      <c r="A461" t="str">
        <f t="shared" si="7"/>
        <v/>
      </c>
    </row>
    <row r="462" spans="1:1" x14ac:dyDescent="0.35">
      <c r="A462" t="str">
        <f t="shared" si="7"/>
        <v/>
      </c>
    </row>
    <row r="463" spans="1:1" x14ac:dyDescent="0.35">
      <c r="A463" t="str">
        <f t="shared" si="7"/>
        <v/>
      </c>
    </row>
    <row r="464" spans="1:1" x14ac:dyDescent="0.35">
      <c r="A464" t="str">
        <f t="shared" si="7"/>
        <v/>
      </c>
    </row>
    <row r="465" spans="1:1" x14ac:dyDescent="0.35">
      <c r="A465" t="str">
        <f t="shared" si="7"/>
        <v/>
      </c>
    </row>
    <row r="466" spans="1:1" x14ac:dyDescent="0.35">
      <c r="A466" t="str">
        <f t="shared" si="7"/>
        <v/>
      </c>
    </row>
    <row r="467" spans="1:1" x14ac:dyDescent="0.35">
      <c r="A467" t="str">
        <f t="shared" si="7"/>
        <v/>
      </c>
    </row>
    <row r="468" spans="1:1" x14ac:dyDescent="0.35">
      <c r="A468" t="str">
        <f t="shared" si="7"/>
        <v/>
      </c>
    </row>
    <row r="469" spans="1:1" x14ac:dyDescent="0.35">
      <c r="A469" t="str">
        <f t="shared" si="7"/>
        <v/>
      </c>
    </row>
    <row r="470" spans="1:1" x14ac:dyDescent="0.35">
      <c r="A470" t="str">
        <f t="shared" si="7"/>
        <v/>
      </c>
    </row>
    <row r="471" spans="1:1" x14ac:dyDescent="0.35">
      <c r="A471" t="str">
        <f t="shared" si="7"/>
        <v/>
      </c>
    </row>
    <row r="472" spans="1:1" x14ac:dyDescent="0.35">
      <c r="A472" t="str">
        <f t="shared" si="7"/>
        <v/>
      </c>
    </row>
    <row r="473" spans="1:1" x14ac:dyDescent="0.35">
      <c r="A473" t="str">
        <f t="shared" si="7"/>
        <v/>
      </c>
    </row>
    <row r="474" spans="1:1" x14ac:dyDescent="0.35">
      <c r="A474" t="str">
        <f t="shared" si="7"/>
        <v/>
      </c>
    </row>
    <row r="475" spans="1:1" x14ac:dyDescent="0.35">
      <c r="A475" t="str">
        <f t="shared" si="7"/>
        <v/>
      </c>
    </row>
    <row r="476" spans="1:1" x14ac:dyDescent="0.35">
      <c r="A476" t="str">
        <f t="shared" si="7"/>
        <v/>
      </c>
    </row>
    <row r="477" spans="1:1" x14ac:dyDescent="0.35">
      <c r="A477" t="str">
        <f t="shared" si="7"/>
        <v/>
      </c>
    </row>
    <row r="478" spans="1:1" x14ac:dyDescent="0.35">
      <c r="A478" t="str">
        <f t="shared" si="7"/>
        <v/>
      </c>
    </row>
    <row r="479" spans="1:1" x14ac:dyDescent="0.35">
      <c r="A479" t="str">
        <f t="shared" si="7"/>
        <v/>
      </c>
    </row>
    <row r="480" spans="1:1" x14ac:dyDescent="0.35">
      <c r="A480" t="str">
        <f t="shared" si="7"/>
        <v/>
      </c>
    </row>
    <row r="481" spans="1:1" x14ac:dyDescent="0.35">
      <c r="A481" t="str">
        <f t="shared" si="7"/>
        <v/>
      </c>
    </row>
    <row r="482" spans="1:1" x14ac:dyDescent="0.35">
      <c r="A482" t="str">
        <f t="shared" si="7"/>
        <v/>
      </c>
    </row>
    <row r="483" spans="1:1" x14ac:dyDescent="0.35">
      <c r="A483" t="str">
        <f t="shared" si="7"/>
        <v/>
      </c>
    </row>
    <row r="484" spans="1:1" x14ac:dyDescent="0.35">
      <c r="A484" t="str">
        <f t="shared" si="7"/>
        <v/>
      </c>
    </row>
    <row r="485" spans="1:1" x14ac:dyDescent="0.35">
      <c r="A485" t="str">
        <f t="shared" si="7"/>
        <v/>
      </c>
    </row>
    <row r="486" spans="1:1" x14ac:dyDescent="0.35">
      <c r="A486" t="str">
        <f t="shared" si="7"/>
        <v/>
      </c>
    </row>
    <row r="487" spans="1:1" x14ac:dyDescent="0.35">
      <c r="A487" t="str">
        <f t="shared" si="7"/>
        <v/>
      </c>
    </row>
    <row r="488" spans="1:1" x14ac:dyDescent="0.35">
      <c r="A488" t="str">
        <f t="shared" si="7"/>
        <v/>
      </c>
    </row>
    <row r="489" spans="1:1" x14ac:dyDescent="0.35">
      <c r="A489" t="str">
        <f t="shared" si="7"/>
        <v/>
      </c>
    </row>
    <row r="490" spans="1:1" x14ac:dyDescent="0.35">
      <c r="A490" t="str">
        <f t="shared" si="7"/>
        <v/>
      </c>
    </row>
    <row r="491" spans="1:1" x14ac:dyDescent="0.35">
      <c r="A491" t="str">
        <f t="shared" si="7"/>
        <v/>
      </c>
    </row>
    <row r="492" spans="1:1" x14ac:dyDescent="0.35">
      <c r="A492" t="str">
        <f t="shared" si="7"/>
        <v/>
      </c>
    </row>
    <row r="493" spans="1:1" x14ac:dyDescent="0.35">
      <c r="A493" t="str">
        <f t="shared" si="7"/>
        <v/>
      </c>
    </row>
    <row r="494" spans="1:1" x14ac:dyDescent="0.35">
      <c r="A494" t="str">
        <f t="shared" si="7"/>
        <v/>
      </c>
    </row>
    <row r="495" spans="1:1" x14ac:dyDescent="0.35">
      <c r="A495" t="str">
        <f t="shared" si="7"/>
        <v/>
      </c>
    </row>
    <row r="496" spans="1:1" x14ac:dyDescent="0.35">
      <c r="A496" t="str">
        <f t="shared" si="7"/>
        <v/>
      </c>
    </row>
    <row r="497" spans="1:1" x14ac:dyDescent="0.35">
      <c r="A497" t="str">
        <f t="shared" si="7"/>
        <v/>
      </c>
    </row>
    <row r="498" spans="1:1" x14ac:dyDescent="0.35">
      <c r="A498" t="str">
        <f t="shared" si="7"/>
        <v/>
      </c>
    </row>
    <row r="499" spans="1:1" x14ac:dyDescent="0.35">
      <c r="A499" t="str">
        <f t="shared" si="7"/>
        <v/>
      </c>
    </row>
    <row r="500" spans="1:1" x14ac:dyDescent="0.35">
      <c r="A500" t="str">
        <f t="shared" si="7"/>
        <v/>
      </c>
    </row>
    <row r="501" spans="1:1" x14ac:dyDescent="0.35">
      <c r="A501" t="str">
        <f t="shared" si="7"/>
        <v/>
      </c>
    </row>
    <row r="502" spans="1:1" x14ac:dyDescent="0.35">
      <c r="A502" t="str">
        <f t="shared" si="7"/>
        <v/>
      </c>
    </row>
    <row r="503" spans="1:1" x14ac:dyDescent="0.35">
      <c r="A503" t="str">
        <f t="shared" si="7"/>
        <v/>
      </c>
    </row>
    <row r="504" spans="1:1" x14ac:dyDescent="0.35">
      <c r="A504" t="str">
        <f t="shared" si="7"/>
        <v/>
      </c>
    </row>
    <row r="505" spans="1:1" x14ac:dyDescent="0.35">
      <c r="A505" t="str">
        <f t="shared" si="7"/>
        <v/>
      </c>
    </row>
    <row r="506" spans="1:1" x14ac:dyDescent="0.35">
      <c r="A506" t="str">
        <f t="shared" si="7"/>
        <v/>
      </c>
    </row>
    <row r="507" spans="1:1" x14ac:dyDescent="0.35">
      <c r="A507" t="str">
        <f t="shared" si="7"/>
        <v/>
      </c>
    </row>
    <row r="508" spans="1:1" x14ac:dyDescent="0.35">
      <c r="A508" t="str">
        <f t="shared" si="7"/>
        <v/>
      </c>
    </row>
    <row r="509" spans="1:1" x14ac:dyDescent="0.35">
      <c r="A509" t="str">
        <f t="shared" si="7"/>
        <v/>
      </c>
    </row>
    <row r="510" spans="1:1" x14ac:dyDescent="0.35">
      <c r="A510" t="str">
        <f t="shared" si="7"/>
        <v/>
      </c>
    </row>
    <row r="511" spans="1:1" x14ac:dyDescent="0.35">
      <c r="A511" t="str">
        <f t="shared" si="7"/>
        <v/>
      </c>
    </row>
    <row r="512" spans="1:1" x14ac:dyDescent="0.35">
      <c r="A512" t="str">
        <f t="shared" si="7"/>
        <v/>
      </c>
    </row>
    <row r="513" spans="1:1" x14ac:dyDescent="0.35">
      <c r="A513" t="str">
        <f t="shared" si="7"/>
        <v/>
      </c>
    </row>
    <row r="514" spans="1:1" x14ac:dyDescent="0.35">
      <c r="A514" t="str">
        <f t="shared" si="7"/>
        <v/>
      </c>
    </row>
    <row r="515" spans="1:1" x14ac:dyDescent="0.35">
      <c r="A515" t="str">
        <f t="shared" ref="A515:A578" si="8">C515&amp;D515&amp;E515&amp;G515&amp;H515&amp;I515</f>
        <v/>
      </c>
    </row>
    <row r="516" spans="1:1" x14ac:dyDescent="0.35">
      <c r="A516" t="str">
        <f t="shared" si="8"/>
        <v/>
      </c>
    </row>
    <row r="517" spans="1:1" x14ac:dyDescent="0.35">
      <c r="A517" t="str">
        <f t="shared" si="8"/>
        <v/>
      </c>
    </row>
    <row r="518" spans="1:1" x14ac:dyDescent="0.35">
      <c r="A518" t="str">
        <f t="shared" si="8"/>
        <v/>
      </c>
    </row>
    <row r="519" spans="1:1" x14ac:dyDescent="0.35">
      <c r="A519" t="str">
        <f t="shared" si="8"/>
        <v/>
      </c>
    </row>
    <row r="520" spans="1:1" x14ac:dyDescent="0.35">
      <c r="A520" t="str">
        <f t="shared" si="8"/>
        <v/>
      </c>
    </row>
    <row r="521" spans="1:1" x14ac:dyDescent="0.35">
      <c r="A521" t="str">
        <f t="shared" si="8"/>
        <v/>
      </c>
    </row>
    <row r="522" spans="1:1" x14ac:dyDescent="0.35">
      <c r="A522" t="str">
        <f t="shared" si="8"/>
        <v/>
      </c>
    </row>
    <row r="523" spans="1:1" x14ac:dyDescent="0.35">
      <c r="A523" t="str">
        <f t="shared" si="8"/>
        <v/>
      </c>
    </row>
    <row r="524" spans="1:1" x14ac:dyDescent="0.35">
      <c r="A524" t="str">
        <f t="shared" si="8"/>
        <v/>
      </c>
    </row>
    <row r="525" spans="1:1" x14ac:dyDescent="0.35">
      <c r="A525" t="str">
        <f t="shared" si="8"/>
        <v/>
      </c>
    </row>
    <row r="526" spans="1:1" x14ac:dyDescent="0.35">
      <c r="A526" t="str">
        <f t="shared" si="8"/>
        <v/>
      </c>
    </row>
    <row r="527" spans="1:1" x14ac:dyDescent="0.35">
      <c r="A527" t="str">
        <f t="shared" si="8"/>
        <v/>
      </c>
    </row>
    <row r="528" spans="1:1" x14ac:dyDescent="0.35">
      <c r="A528" t="str">
        <f t="shared" si="8"/>
        <v/>
      </c>
    </row>
    <row r="529" spans="1:1" x14ac:dyDescent="0.35">
      <c r="A529" t="str">
        <f t="shared" si="8"/>
        <v/>
      </c>
    </row>
    <row r="530" spans="1:1" x14ac:dyDescent="0.35">
      <c r="A530" t="str">
        <f t="shared" si="8"/>
        <v/>
      </c>
    </row>
    <row r="531" spans="1:1" x14ac:dyDescent="0.35">
      <c r="A531" t="str">
        <f t="shared" si="8"/>
        <v/>
      </c>
    </row>
    <row r="532" spans="1:1" x14ac:dyDescent="0.35">
      <c r="A532" t="str">
        <f t="shared" si="8"/>
        <v/>
      </c>
    </row>
    <row r="533" spans="1:1" x14ac:dyDescent="0.35">
      <c r="A533" t="str">
        <f t="shared" si="8"/>
        <v/>
      </c>
    </row>
    <row r="534" spans="1:1" x14ac:dyDescent="0.35">
      <c r="A534" t="str">
        <f t="shared" si="8"/>
        <v/>
      </c>
    </row>
    <row r="535" spans="1:1" x14ac:dyDescent="0.35">
      <c r="A535" t="str">
        <f t="shared" si="8"/>
        <v/>
      </c>
    </row>
    <row r="536" spans="1:1" x14ac:dyDescent="0.35">
      <c r="A536" t="str">
        <f t="shared" si="8"/>
        <v/>
      </c>
    </row>
    <row r="537" spans="1:1" x14ac:dyDescent="0.35">
      <c r="A537" t="str">
        <f t="shared" si="8"/>
        <v/>
      </c>
    </row>
    <row r="538" spans="1:1" x14ac:dyDescent="0.35">
      <c r="A538" t="str">
        <f t="shared" si="8"/>
        <v/>
      </c>
    </row>
    <row r="539" spans="1:1" x14ac:dyDescent="0.35">
      <c r="A539" t="str">
        <f t="shared" si="8"/>
        <v/>
      </c>
    </row>
    <row r="540" spans="1:1" x14ac:dyDescent="0.35">
      <c r="A540" t="str">
        <f t="shared" si="8"/>
        <v/>
      </c>
    </row>
    <row r="541" spans="1:1" x14ac:dyDescent="0.35">
      <c r="A541" t="str">
        <f t="shared" si="8"/>
        <v/>
      </c>
    </row>
    <row r="542" spans="1:1" x14ac:dyDescent="0.35">
      <c r="A542" t="str">
        <f t="shared" si="8"/>
        <v/>
      </c>
    </row>
    <row r="543" spans="1:1" x14ac:dyDescent="0.35">
      <c r="A543" t="str">
        <f t="shared" si="8"/>
        <v/>
      </c>
    </row>
    <row r="544" spans="1:1" x14ac:dyDescent="0.35">
      <c r="A544" t="str">
        <f t="shared" si="8"/>
        <v/>
      </c>
    </row>
    <row r="545" spans="1:1" x14ac:dyDescent="0.35">
      <c r="A545" t="str">
        <f t="shared" si="8"/>
        <v/>
      </c>
    </row>
    <row r="546" spans="1:1" x14ac:dyDescent="0.35">
      <c r="A546" t="str">
        <f t="shared" si="8"/>
        <v/>
      </c>
    </row>
    <row r="547" spans="1:1" x14ac:dyDescent="0.35">
      <c r="A547" t="str">
        <f t="shared" si="8"/>
        <v/>
      </c>
    </row>
    <row r="548" spans="1:1" x14ac:dyDescent="0.35">
      <c r="A548" t="str">
        <f t="shared" si="8"/>
        <v/>
      </c>
    </row>
    <row r="549" spans="1:1" x14ac:dyDescent="0.35">
      <c r="A549" t="str">
        <f t="shared" si="8"/>
        <v/>
      </c>
    </row>
    <row r="550" spans="1:1" x14ac:dyDescent="0.35">
      <c r="A550" t="str">
        <f t="shared" si="8"/>
        <v/>
      </c>
    </row>
    <row r="551" spans="1:1" x14ac:dyDescent="0.35">
      <c r="A551" t="str">
        <f t="shared" si="8"/>
        <v/>
      </c>
    </row>
    <row r="552" spans="1:1" x14ac:dyDescent="0.35">
      <c r="A552" t="str">
        <f t="shared" si="8"/>
        <v/>
      </c>
    </row>
    <row r="553" spans="1:1" x14ac:dyDescent="0.35">
      <c r="A553" t="str">
        <f t="shared" si="8"/>
        <v/>
      </c>
    </row>
    <row r="554" spans="1:1" x14ac:dyDescent="0.35">
      <c r="A554" t="str">
        <f t="shared" si="8"/>
        <v/>
      </c>
    </row>
    <row r="555" spans="1:1" x14ac:dyDescent="0.35">
      <c r="A555" t="str">
        <f t="shared" si="8"/>
        <v/>
      </c>
    </row>
    <row r="556" spans="1:1" x14ac:dyDescent="0.35">
      <c r="A556" t="str">
        <f t="shared" si="8"/>
        <v/>
      </c>
    </row>
    <row r="557" spans="1:1" x14ac:dyDescent="0.35">
      <c r="A557" t="str">
        <f t="shared" si="8"/>
        <v/>
      </c>
    </row>
    <row r="558" spans="1:1" x14ac:dyDescent="0.35">
      <c r="A558" t="str">
        <f t="shared" si="8"/>
        <v/>
      </c>
    </row>
    <row r="559" spans="1:1" x14ac:dyDescent="0.35">
      <c r="A559" t="str">
        <f t="shared" si="8"/>
        <v/>
      </c>
    </row>
    <row r="560" spans="1:1" x14ac:dyDescent="0.35">
      <c r="A560" t="str">
        <f t="shared" si="8"/>
        <v/>
      </c>
    </row>
    <row r="561" spans="1:1" x14ac:dyDescent="0.35">
      <c r="A561" t="str">
        <f t="shared" si="8"/>
        <v/>
      </c>
    </row>
    <row r="562" spans="1:1" x14ac:dyDescent="0.35">
      <c r="A562" t="str">
        <f t="shared" si="8"/>
        <v/>
      </c>
    </row>
    <row r="563" spans="1:1" x14ac:dyDescent="0.35">
      <c r="A563" t="str">
        <f t="shared" si="8"/>
        <v/>
      </c>
    </row>
    <row r="564" spans="1:1" x14ac:dyDescent="0.35">
      <c r="A564" t="str">
        <f t="shared" si="8"/>
        <v/>
      </c>
    </row>
    <row r="565" spans="1:1" x14ac:dyDescent="0.35">
      <c r="A565" t="str">
        <f t="shared" si="8"/>
        <v/>
      </c>
    </row>
    <row r="566" spans="1:1" x14ac:dyDescent="0.35">
      <c r="A566" t="str">
        <f t="shared" si="8"/>
        <v/>
      </c>
    </row>
    <row r="567" spans="1:1" x14ac:dyDescent="0.35">
      <c r="A567" t="str">
        <f t="shared" si="8"/>
        <v/>
      </c>
    </row>
    <row r="568" spans="1:1" x14ac:dyDescent="0.35">
      <c r="A568" t="str">
        <f t="shared" si="8"/>
        <v/>
      </c>
    </row>
    <row r="569" spans="1:1" x14ac:dyDescent="0.35">
      <c r="A569" t="str">
        <f t="shared" si="8"/>
        <v/>
      </c>
    </row>
    <row r="570" spans="1:1" x14ac:dyDescent="0.35">
      <c r="A570" t="str">
        <f t="shared" si="8"/>
        <v/>
      </c>
    </row>
    <row r="571" spans="1:1" x14ac:dyDescent="0.35">
      <c r="A571" t="str">
        <f t="shared" si="8"/>
        <v/>
      </c>
    </row>
    <row r="572" spans="1:1" x14ac:dyDescent="0.35">
      <c r="A572" t="str">
        <f t="shared" si="8"/>
        <v/>
      </c>
    </row>
    <row r="573" spans="1:1" x14ac:dyDescent="0.35">
      <c r="A573" t="str">
        <f t="shared" si="8"/>
        <v/>
      </c>
    </row>
    <row r="574" spans="1:1" x14ac:dyDescent="0.35">
      <c r="A574" t="str">
        <f t="shared" si="8"/>
        <v/>
      </c>
    </row>
    <row r="575" spans="1:1" x14ac:dyDescent="0.35">
      <c r="A575" t="str">
        <f t="shared" si="8"/>
        <v/>
      </c>
    </row>
    <row r="576" spans="1:1" x14ac:dyDescent="0.35">
      <c r="A576" t="str">
        <f t="shared" si="8"/>
        <v/>
      </c>
    </row>
    <row r="577" spans="1:1" x14ac:dyDescent="0.35">
      <c r="A577" t="str">
        <f t="shared" si="8"/>
        <v/>
      </c>
    </row>
    <row r="578" spans="1:1" x14ac:dyDescent="0.35">
      <c r="A578" t="str">
        <f t="shared" si="8"/>
        <v/>
      </c>
    </row>
    <row r="579" spans="1:1" x14ac:dyDescent="0.35">
      <c r="A579" t="str">
        <f t="shared" ref="A579:A642" si="9">C579&amp;D579&amp;E579&amp;G579&amp;H579&amp;I579</f>
        <v/>
      </c>
    </row>
    <row r="580" spans="1:1" x14ac:dyDescent="0.35">
      <c r="A580" t="str">
        <f t="shared" si="9"/>
        <v/>
      </c>
    </row>
    <row r="581" spans="1:1" x14ac:dyDescent="0.35">
      <c r="A581" t="str">
        <f t="shared" si="9"/>
        <v/>
      </c>
    </row>
    <row r="582" spans="1:1" x14ac:dyDescent="0.35">
      <c r="A582" t="str">
        <f t="shared" si="9"/>
        <v/>
      </c>
    </row>
    <row r="583" spans="1:1" x14ac:dyDescent="0.35">
      <c r="A583" t="str">
        <f t="shared" si="9"/>
        <v/>
      </c>
    </row>
    <row r="584" spans="1:1" x14ac:dyDescent="0.35">
      <c r="A584" t="str">
        <f t="shared" si="9"/>
        <v/>
      </c>
    </row>
    <row r="585" spans="1:1" x14ac:dyDescent="0.35">
      <c r="A585" t="str">
        <f t="shared" si="9"/>
        <v/>
      </c>
    </row>
    <row r="586" spans="1:1" x14ac:dyDescent="0.35">
      <c r="A586" t="str">
        <f t="shared" si="9"/>
        <v/>
      </c>
    </row>
    <row r="587" spans="1:1" x14ac:dyDescent="0.35">
      <c r="A587" t="str">
        <f t="shared" si="9"/>
        <v/>
      </c>
    </row>
    <row r="588" spans="1:1" x14ac:dyDescent="0.35">
      <c r="A588" t="str">
        <f t="shared" si="9"/>
        <v/>
      </c>
    </row>
    <row r="589" spans="1:1" x14ac:dyDescent="0.35">
      <c r="A589" t="str">
        <f t="shared" si="9"/>
        <v/>
      </c>
    </row>
    <row r="590" spans="1:1" x14ac:dyDescent="0.35">
      <c r="A590" t="str">
        <f t="shared" si="9"/>
        <v/>
      </c>
    </row>
    <row r="591" spans="1:1" x14ac:dyDescent="0.35">
      <c r="A591" t="str">
        <f t="shared" si="9"/>
        <v/>
      </c>
    </row>
    <row r="592" spans="1:1" x14ac:dyDescent="0.35">
      <c r="A592" t="str">
        <f t="shared" si="9"/>
        <v/>
      </c>
    </row>
    <row r="593" spans="1:1" x14ac:dyDescent="0.35">
      <c r="A593" t="str">
        <f t="shared" si="9"/>
        <v/>
      </c>
    </row>
    <row r="594" spans="1:1" x14ac:dyDescent="0.35">
      <c r="A594" t="str">
        <f t="shared" si="9"/>
        <v/>
      </c>
    </row>
    <row r="595" spans="1:1" x14ac:dyDescent="0.35">
      <c r="A595" t="str">
        <f t="shared" si="9"/>
        <v/>
      </c>
    </row>
    <row r="596" spans="1:1" x14ac:dyDescent="0.35">
      <c r="A596" t="str">
        <f t="shared" si="9"/>
        <v/>
      </c>
    </row>
    <row r="597" spans="1:1" x14ac:dyDescent="0.35">
      <c r="A597" t="str">
        <f t="shared" si="9"/>
        <v/>
      </c>
    </row>
    <row r="598" spans="1:1" x14ac:dyDescent="0.35">
      <c r="A598" t="str">
        <f t="shared" si="9"/>
        <v/>
      </c>
    </row>
    <row r="599" spans="1:1" x14ac:dyDescent="0.35">
      <c r="A599" t="str">
        <f t="shared" si="9"/>
        <v/>
      </c>
    </row>
    <row r="600" spans="1:1" x14ac:dyDescent="0.35">
      <c r="A600" t="str">
        <f t="shared" si="9"/>
        <v/>
      </c>
    </row>
    <row r="601" spans="1:1" x14ac:dyDescent="0.35">
      <c r="A601" t="str">
        <f t="shared" si="9"/>
        <v/>
      </c>
    </row>
    <row r="602" spans="1:1" x14ac:dyDescent="0.35">
      <c r="A602" t="str">
        <f t="shared" si="9"/>
        <v/>
      </c>
    </row>
    <row r="603" spans="1:1" x14ac:dyDescent="0.35">
      <c r="A603" t="str">
        <f t="shared" si="9"/>
        <v/>
      </c>
    </row>
    <row r="604" spans="1:1" x14ac:dyDescent="0.35">
      <c r="A604" t="str">
        <f t="shared" si="9"/>
        <v/>
      </c>
    </row>
    <row r="605" spans="1:1" x14ac:dyDescent="0.35">
      <c r="A605" t="str">
        <f t="shared" si="9"/>
        <v/>
      </c>
    </row>
    <row r="606" spans="1:1" x14ac:dyDescent="0.35">
      <c r="A606" t="str">
        <f t="shared" si="9"/>
        <v/>
      </c>
    </row>
    <row r="607" spans="1:1" x14ac:dyDescent="0.35">
      <c r="A607" t="str">
        <f t="shared" si="9"/>
        <v/>
      </c>
    </row>
    <row r="608" spans="1:1" x14ac:dyDescent="0.35">
      <c r="A608" t="str">
        <f t="shared" si="9"/>
        <v/>
      </c>
    </row>
    <row r="609" spans="1:1" x14ac:dyDescent="0.35">
      <c r="A609" t="str">
        <f t="shared" si="9"/>
        <v/>
      </c>
    </row>
    <row r="610" spans="1:1" x14ac:dyDescent="0.35">
      <c r="A610" t="str">
        <f t="shared" si="9"/>
        <v/>
      </c>
    </row>
    <row r="611" spans="1:1" x14ac:dyDescent="0.35">
      <c r="A611" t="str">
        <f t="shared" si="9"/>
        <v/>
      </c>
    </row>
    <row r="612" spans="1:1" x14ac:dyDescent="0.35">
      <c r="A612" t="str">
        <f t="shared" si="9"/>
        <v/>
      </c>
    </row>
    <row r="613" spans="1:1" x14ac:dyDescent="0.35">
      <c r="A613" t="str">
        <f t="shared" si="9"/>
        <v/>
      </c>
    </row>
    <row r="614" spans="1:1" x14ac:dyDescent="0.35">
      <c r="A614" t="str">
        <f t="shared" si="9"/>
        <v/>
      </c>
    </row>
    <row r="615" spans="1:1" x14ac:dyDescent="0.35">
      <c r="A615" t="str">
        <f t="shared" si="9"/>
        <v/>
      </c>
    </row>
    <row r="616" spans="1:1" x14ac:dyDescent="0.35">
      <c r="A616" t="str">
        <f t="shared" si="9"/>
        <v/>
      </c>
    </row>
    <row r="617" spans="1:1" x14ac:dyDescent="0.35">
      <c r="A617" t="str">
        <f t="shared" si="9"/>
        <v/>
      </c>
    </row>
    <row r="618" spans="1:1" x14ac:dyDescent="0.35">
      <c r="A618" t="str">
        <f t="shared" si="9"/>
        <v/>
      </c>
    </row>
    <row r="619" spans="1:1" x14ac:dyDescent="0.35">
      <c r="A619" t="str">
        <f t="shared" si="9"/>
        <v/>
      </c>
    </row>
    <row r="620" spans="1:1" x14ac:dyDescent="0.35">
      <c r="A620" t="str">
        <f t="shared" si="9"/>
        <v/>
      </c>
    </row>
    <row r="621" spans="1:1" x14ac:dyDescent="0.35">
      <c r="A621" t="str">
        <f t="shared" si="9"/>
        <v/>
      </c>
    </row>
    <row r="622" spans="1:1" x14ac:dyDescent="0.35">
      <c r="A622" t="str">
        <f t="shared" si="9"/>
        <v/>
      </c>
    </row>
    <row r="623" spans="1:1" x14ac:dyDescent="0.35">
      <c r="A623" t="str">
        <f t="shared" si="9"/>
        <v/>
      </c>
    </row>
    <row r="624" spans="1:1" x14ac:dyDescent="0.35">
      <c r="A624" t="str">
        <f t="shared" si="9"/>
        <v/>
      </c>
    </row>
    <row r="625" spans="1:1" x14ac:dyDescent="0.35">
      <c r="A625" t="str">
        <f t="shared" si="9"/>
        <v/>
      </c>
    </row>
    <row r="626" spans="1:1" x14ac:dyDescent="0.35">
      <c r="A626" t="str">
        <f t="shared" si="9"/>
        <v/>
      </c>
    </row>
    <row r="627" spans="1:1" x14ac:dyDescent="0.35">
      <c r="A627" t="str">
        <f t="shared" si="9"/>
        <v/>
      </c>
    </row>
    <row r="628" spans="1:1" x14ac:dyDescent="0.35">
      <c r="A628" t="str">
        <f t="shared" si="9"/>
        <v/>
      </c>
    </row>
    <row r="629" spans="1:1" x14ac:dyDescent="0.35">
      <c r="A629" t="str">
        <f t="shared" si="9"/>
        <v/>
      </c>
    </row>
    <row r="630" spans="1:1" x14ac:dyDescent="0.35">
      <c r="A630" t="str">
        <f t="shared" si="9"/>
        <v/>
      </c>
    </row>
    <row r="631" spans="1:1" x14ac:dyDescent="0.35">
      <c r="A631" t="str">
        <f t="shared" si="9"/>
        <v/>
      </c>
    </row>
    <row r="632" spans="1:1" x14ac:dyDescent="0.35">
      <c r="A632" t="str">
        <f t="shared" si="9"/>
        <v/>
      </c>
    </row>
    <row r="633" spans="1:1" x14ac:dyDescent="0.35">
      <c r="A633" t="str">
        <f t="shared" si="9"/>
        <v/>
      </c>
    </row>
    <row r="634" spans="1:1" x14ac:dyDescent="0.35">
      <c r="A634" t="str">
        <f t="shared" si="9"/>
        <v/>
      </c>
    </row>
    <row r="635" spans="1:1" x14ac:dyDescent="0.35">
      <c r="A635" t="str">
        <f t="shared" si="9"/>
        <v/>
      </c>
    </row>
    <row r="636" spans="1:1" x14ac:dyDescent="0.35">
      <c r="A636" t="str">
        <f t="shared" si="9"/>
        <v/>
      </c>
    </row>
    <row r="637" spans="1:1" x14ac:dyDescent="0.35">
      <c r="A637" t="str">
        <f t="shared" si="9"/>
        <v/>
      </c>
    </row>
    <row r="638" spans="1:1" x14ac:dyDescent="0.35">
      <c r="A638" t="str">
        <f t="shared" si="9"/>
        <v/>
      </c>
    </row>
    <row r="639" spans="1:1" x14ac:dyDescent="0.35">
      <c r="A639" t="str">
        <f t="shared" si="9"/>
        <v/>
      </c>
    </row>
    <row r="640" spans="1:1" x14ac:dyDescent="0.35">
      <c r="A640" t="str">
        <f t="shared" si="9"/>
        <v/>
      </c>
    </row>
    <row r="641" spans="1:1" x14ac:dyDescent="0.35">
      <c r="A641" t="str">
        <f t="shared" si="9"/>
        <v/>
      </c>
    </row>
    <row r="642" spans="1:1" x14ac:dyDescent="0.35">
      <c r="A642" t="str">
        <f t="shared" si="9"/>
        <v/>
      </c>
    </row>
    <row r="643" spans="1:1" x14ac:dyDescent="0.35">
      <c r="A643" t="str">
        <f t="shared" ref="A643:A706" si="10">C643&amp;D643&amp;E643&amp;G643&amp;H643&amp;I643</f>
        <v/>
      </c>
    </row>
    <row r="644" spans="1:1" x14ac:dyDescent="0.35">
      <c r="A644" t="str">
        <f t="shared" si="10"/>
        <v/>
      </c>
    </row>
    <row r="645" spans="1:1" x14ac:dyDescent="0.35">
      <c r="A645" t="str">
        <f t="shared" si="10"/>
        <v/>
      </c>
    </row>
    <row r="646" spans="1:1" x14ac:dyDescent="0.35">
      <c r="A646" t="str">
        <f t="shared" si="10"/>
        <v/>
      </c>
    </row>
    <row r="647" spans="1:1" x14ac:dyDescent="0.35">
      <c r="A647" t="str">
        <f t="shared" si="10"/>
        <v/>
      </c>
    </row>
    <row r="648" spans="1:1" x14ac:dyDescent="0.35">
      <c r="A648" t="str">
        <f t="shared" si="10"/>
        <v/>
      </c>
    </row>
    <row r="649" spans="1:1" x14ac:dyDescent="0.35">
      <c r="A649" t="str">
        <f t="shared" si="10"/>
        <v/>
      </c>
    </row>
    <row r="650" spans="1:1" x14ac:dyDescent="0.35">
      <c r="A650" t="str">
        <f t="shared" si="10"/>
        <v/>
      </c>
    </row>
    <row r="651" spans="1:1" x14ac:dyDescent="0.35">
      <c r="A651" t="str">
        <f t="shared" si="10"/>
        <v/>
      </c>
    </row>
    <row r="652" spans="1:1" x14ac:dyDescent="0.35">
      <c r="A652" t="str">
        <f t="shared" si="10"/>
        <v/>
      </c>
    </row>
    <row r="653" spans="1:1" x14ac:dyDescent="0.35">
      <c r="A653" t="str">
        <f t="shared" si="10"/>
        <v/>
      </c>
    </row>
    <row r="654" spans="1:1" x14ac:dyDescent="0.35">
      <c r="A654" t="str">
        <f t="shared" si="10"/>
        <v/>
      </c>
    </row>
    <row r="655" spans="1:1" x14ac:dyDescent="0.35">
      <c r="A655" t="str">
        <f t="shared" si="10"/>
        <v/>
      </c>
    </row>
    <row r="656" spans="1:1" x14ac:dyDescent="0.35">
      <c r="A656" t="str">
        <f t="shared" si="10"/>
        <v/>
      </c>
    </row>
    <row r="657" spans="1:1" x14ac:dyDescent="0.35">
      <c r="A657" t="str">
        <f t="shared" si="10"/>
        <v/>
      </c>
    </row>
    <row r="658" spans="1:1" x14ac:dyDescent="0.35">
      <c r="A658" t="str">
        <f t="shared" si="10"/>
        <v/>
      </c>
    </row>
    <row r="659" spans="1:1" x14ac:dyDescent="0.35">
      <c r="A659" t="str">
        <f t="shared" si="10"/>
        <v/>
      </c>
    </row>
    <row r="660" spans="1:1" x14ac:dyDescent="0.35">
      <c r="A660" t="str">
        <f t="shared" si="10"/>
        <v/>
      </c>
    </row>
    <row r="661" spans="1:1" x14ac:dyDescent="0.35">
      <c r="A661" t="str">
        <f t="shared" si="10"/>
        <v/>
      </c>
    </row>
    <row r="662" spans="1:1" x14ac:dyDescent="0.35">
      <c r="A662" t="str">
        <f t="shared" si="10"/>
        <v/>
      </c>
    </row>
    <row r="663" spans="1:1" x14ac:dyDescent="0.35">
      <c r="A663" t="str">
        <f t="shared" si="10"/>
        <v/>
      </c>
    </row>
    <row r="664" spans="1:1" x14ac:dyDescent="0.35">
      <c r="A664" t="str">
        <f t="shared" si="10"/>
        <v/>
      </c>
    </row>
    <row r="665" spans="1:1" x14ac:dyDescent="0.35">
      <c r="A665" t="str">
        <f t="shared" si="10"/>
        <v/>
      </c>
    </row>
    <row r="666" spans="1:1" x14ac:dyDescent="0.35">
      <c r="A666" t="str">
        <f t="shared" si="10"/>
        <v/>
      </c>
    </row>
    <row r="667" spans="1:1" x14ac:dyDescent="0.35">
      <c r="A667" t="str">
        <f t="shared" si="10"/>
        <v/>
      </c>
    </row>
    <row r="668" spans="1:1" x14ac:dyDescent="0.35">
      <c r="A668" t="str">
        <f t="shared" si="10"/>
        <v/>
      </c>
    </row>
    <row r="669" spans="1:1" x14ac:dyDescent="0.35">
      <c r="A669" t="str">
        <f t="shared" si="10"/>
        <v/>
      </c>
    </row>
    <row r="670" spans="1:1" x14ac:dyDescent="0.35">
      <c r="A670" t="str">
        <f t="shared" si="10"/>
        <v/>
      </c>
    </row>
    <row r="671" spans="1:1" x14ac:dyDescent="0.35">
      <c r="A671" t="str">
        <f t="shared" si="10"/>
        <v/>
      </c>
    </row>
    <row r="672" spans="1:1" x14ac:dyDescent="0.35">
      <c r="A672" t="str">
        <f t="shared" si="10"/>
        <v/>
      </c>
    </row>
    <row r="673" spans="1:1" x14ac:dyDescent="0.35">
      <c r="A673" t="str">
        <f t="shared" si="10"/>
        <v/>
      </c>
    </row>
    <row r="674" spans="1:1" x14ac:dyDescent="0.35">
      <c r="A674" t="str">
        <f t="shared" si="10"/>
        <v/>
      </c>
    </row>
    <row r="675" spans="1:1" x14ac:dyDescent="0.35">
      <c r="A675" t="str">
        <f t="shared" si="10"/>
        <v/>
      </c>
    </row>
    <row r="676" spans="1:1" x14ac:dyDescent="0.35">
      <c r="A676" t="str">
        <f t="shared" si="10"/>
        <v/>
      </c>
    </row>
    <row r="677" spans="1:1" x14ac:dyDescent="0.35">
      <c r="A677" t="str">
        <f t="shared" si="10"/>
        <v/>
      </c>
    </row>
    <row r="678" spans="1:1" x14ac:dyDescent="0.35">
      <c r="A678" t="str">
        <f t="shared" si="10"/>
        <v/>
      </c>
    </row>
    <row r="679" spans="1:1" x14ac:dyDescent="0.35">
      <c r="A679" t="str">
        <f t="shared" si="10"/>
        <v/>
      </c>
    </row>
    <row r="680" spans="1:1" x14ac:dyDescent="0.35">
      <c r="A680" t="str">
        <f t="shared" si="10"/>
        <v/>
      </c>
    </row>
    <row r="681" spans="1:1" x14ac:dyDescent="0.35">
      <c r="A681" t="str">
        <f t="shared" si="10"/>
        <v/>
      </c>
    </row>
    <row r="682" spans="1:1" x14ac:dyDescent="0.35">
      <c r="A682" t="str">
        <f t="shared" si="10"/>
        <v/>
      </c>
    </row>
    <row r="683" spans="1:1" x14ac:dyDescent="0.35">
      <c r="A683" t="str">
        <f t="shared" si="10"/>
        <v/>
      </c>
    </row>
    <row r="684" spans="1:1" x14ac:dyDescent="0.35">
      <c r="A684" t="str">
        <f t="shared" si="10"/>
        <v/>
      </c>
    </row>
    <row r="685" spans="1:1" x14ac:dyDescent="0.35">
      <c r="A685" t="str">
        <f t="shared" si="10"/>
        <v/>
      </c>
    </row>
    <row r="686" spans="1:1" x14ac:dyDescent="0.35">
      <c r="A686" t="str">
        <f t="shared" si="10"/>
        <v/>
      </c>
    </row>
    <row r="687" spans="1:1" x14ac:dyDescent="0.35">
      <c r="A687" t="str">
        <f t="shared" si="10"/>
        <v/>
      </c>
    </row>
    <row r="688" spans="1:1" x14ac:dyDescent="0.35">
      <c r="A688" t="str">
        <f t="shared" si="10"/>
        <v/>
      </c>
    </row>
    <row r="689" spans="1:1" x14ac:dyDescent="0.35">
      <c r="A689" t="str">
        <f t="shared" si="10"/>
        <v/>
      </c>
    </row>
    <row r="690" spans="1:1" x14ac:dyDescent="0.35">
      <c r="A690" t="str">
        <f t="shared" si="10"/>
        <v/>
      </c>
    </row>
    <row r="691" spans="1:1" x14ac:dyDescent="0.35">
      <c r="A691" t="str">
        <f t="shared" si="10"/>
        <v/>
      </c>
    </row>
    <row r="692" spans="1:1" x14ac:dyDescent="0.35">
      <c r="A692" t="str">
        <f t="shared" si="10"/>
        <v/>
      </c>
    </row>
    <row r="693" spans="1:1" x14ac:dyDescent="0.35">
      <c r="A693" t="str">
        <f t="shared" si="10"/>
        <v/>
      </c>
    </row>
    <row r="694" spans="1:1" x14ac:dyDescent="0.35">
      <c r="A694" t="str">
        <f t="shared" si="10"/>
        <v/>
      </c>
    </row>
    <row r="695" spans="1:1" x14ac:dyDescent="0.35">
      <c r="A695" t="str">
        <f t="shared" si="10"/>
        <v/>
      </c>
    </row>
    <row r="696" spans="1:1" x14ac:dyDescent="0.35">
      <c r="A696" t="str">
        <f t="shared" si="10"/>
        <v/>
      </c>
    </row>
    <row r="697" spans="1:1" x14ac:dyDescent="0.35">
      <c r="A697" t="str">
        <f t="shared" si="10"/>
        <v/>
      </c>
    </row>
    <row r="698" spans="1:1" x14ac:dyDescent="0.35">
      <c r="A698" t="str">
        <f t="shared" si="10"/>
        <v/>
      </c>
    </row>
    <row r="699" spans="1:1" x14ac:dyDescent="0.35">
      <c r="A699" t="str">
        <f t="shared" si="10"/>
        <v/>
      </c>
    </row>
    <row r="700" spans="1:1" x14ac:dyDescent="0.35">
      <c r="A700" t="str">
        <f t="shared" si="10"/>
        <v/>
      </c>
    </row>
    <row r="701" spans="1:1" x14ac:dyDescent="0.35">
      <c r="A701" t="str">
        <f t="shared" si="10"/>
        <v/>
      </c>
    </row>
    <row r="702" spans="1:1" x14ac:dyDescent="0.35">
      <c r="A702" t="str">
        <f t="shared" si="10"/>
        <v/>
      </c>
    </row>
    <row r="703" spans="1:1" x14ac:dyDescent="0.35">
      <c r="A703" t="str">
        <f t="shared" si="10"/>
        <v/>
      </c>
    </row>
    <row r="704" spans="1:1" x14ac:dyDescent="0.35">
      <c r="A704" t="str">
        <f t="shared" si="10"/>
        <v/>
      </c>
    </row>
    <row r="705" spans="1:1" x14ac:dyDescent="0.35">
      <c r="A705" t="str">
        <f t="shared" si="10"/>
        <v/>
      </c>
    </row>
    <row r="706" spans="1:1" x14ac:dyDescent="0.35">
      <c r="A706" t="str">
        <f t="shared" si="10"/>
        <v/>
      </c>
    </row>
    <row r="707" spans="1:1" x14ac:dyDescent="0.35">
      <c r="A707" t="str">
        <f t="shared" ref="A707:A770" si="11">C707&amp;D707&amp;E707&amp;G707&amp;H707&amp;I707</f>
        <v/>
      </c>
    </row>
    <row r="708" spans="1:1" x14ac:dyDescent="0.35">
      <c r="A708" t="str">
        <f t="shared" si="11"/>
        <v/>
      </c>
    </row>
    <row r="709" spans="1:1" x14ac:dyDescent="0.35">
      <c r="A709" t="str">
        <f t="shared" si="11"/>
        <v/>
      </c>
    </row>
    <row r="710" spans="1:1" x14ac:dyDescent="0.35">
      <c r="A710" t="str">
        <f t="shared" si="11"/>
        <v/>
      </c>
    </row>
    <row r="711" spans="1:1" x14ac:dyDescent="0.35">
      <c r="A711" t="str">
        <f t="shared" si="11"/>
        <v/>
      </c>
    </row>
    <row r="712" spans="1:1" x14ac:dyDescent="0.35">
      <c r="A712" t="str">
        <f t="shared" si="11"/>
        <v/>
      </c>
    </row>
    <row r="713" spans="1:1" x14ac:dyDescent="0.35">
      <c r="A713" t="str">
        <f t="shared" si="11"/>
        <v/>
      </c>
    </row>
    <row r="714" spans="1:1" x14ac:dyDescent="0.35">
      <c r="A714" t="str">
        <f t="shared" si="11"/>
        <v/>
      </c>
    </row>
    <row r="715" spans="1:1" x14ac:dyDescent="0.35">
      <c r="A715" t="str">
        <f t="shared" si="11"/>
        <v/>
      </c>
    </row>
    <row r="716" spans="1:1" x14ac:dyDescent="0.35">
      <c r="A716" t="str">
        <f t="shared" si="11"/>
        <v/>
      </c>
    </row>
    <row r="717" spans="1:1" x14ac:dyDescent="0.35">
      <c r="A717" t="str">
        <f t="shared" si="11"/>
        <v/>
      </c>
    </row>
    <row r="718" spans="1:1" x14ac:dyDescent="0.35">
      <c r="A718" t="str">
        <f t="shared" si="11"/>
        <v/>
      </c>
    </row>
    <row r="719" spans="1:1" x14ac:dyDescent="0.35">
      <c r="A719" t="str">
        <f t="shared" si="11"/>
        <v/>
      </c>
    </row>
    <row r="720" spans="1:1" x14ac:dyDescent="0.35">
      <c r="A720" t="str">
        <f t="shared" si="11"/>
        <v/>
      </c>
    </row>
    <row r="721" spans="1:1" x14ac:dyDescent="0.35">
      <c r="A721" t="str">
        <f t="shared" si="11"/>
        <v/>
      </c>
    </row>
    <row r="722" spans="1:1" x14ac:dyDescent="0.35">
      <c r="A722" t="str">
        <f t="shared" si="11"/>
        <v/>
      </c>
    </row>
    <row r="723" spans="1:1" x14ac:dyDescent="0.35">
      <c r="A723" t="str">
        <f t="shared" si="11"/>
        <v/>
      </c>
    </row>
    <row r="724" spans="1:1" x14ac:dyDescent="0.35">
      <c r="A724" t="str">
        <f t="shared" si="11"/>
        <v/>
      </c>
    </row>
    <row r="725" spans="1:1" x14ac:dyDescent="0.35">
      <c r="A725" t="str">
        <f t="shared" si="11"/>
        <v/>
      </c>
    </row>
    <row r="726" spans="1:1" x14ac:dyDescent="0.35">
      <c r="A726" t="str">
        <f t="shared" si="11"/>
        <v/>
      </c>
    </row>
    <row r="727" spans="1:1" x14ac:dyDescent="0.35">
      <c r="A727" t="str">
        <f t="shared" si="11"/>
        <v/>
      </c>
    </row>
    <row r="728" spans="1:1" x14ac:dyDescent="0.35">
      <c r="A728" t="str">
        <f t="shared" si="11"/>
        <v/>
      </c>
    </row>
    <row r="729" spans="1:1" x14ac:dyDescent="0.35">
      <c r="A729" t="str">
        <f t="shared" si="11"/>
        <v/>
      </c>
    </row>
    <row r="730" spans="1:1" x14ac:dyDescent="0.35">
      <c r="A730" t="str">
        <f t="shared" si="11"/>
        <v/>
      </c>
    </row>
    <row r="731" spans="1:1" x14ac:dyDescent="0.35">
      <c r="A731" t="str">
        <f t="shared" si="11"/>
        <v/>
      </c>
    </row>
    <row r="732" spans="1:1" x14ac:dyDescent="0.35">
      <c r="A732" t="str">
        <f t="shared" si="11"/>
        <v/>
      </c>
    </row>
    <row r="733" spans="1:1" x14ac:dyDescent="0.35">
      <c r="A733" t="str">
        <f t="shared" si="11"/>
        <v/>
      </c>
    </row>
    <row r="734" spans="1:1" x14ac:dyDescent="0.35">
      <c r="A734" t="str">
        <f t="shared" si="11"/>
        <v/>
      </c>
    </row>
    <row r="735" spans="1:1" x14ac:dyDescent="0.35">
      <c r="A735" t="str">
        <f t="shared" si="11"/>
        <v/>
      </c>
    </row>
    <row r="736" spans="1:1" x14ac:dyDescent="0.35">
      <c r="A736" t="str">
        <f t="shared" si="11"/>
        <v/>
      </c>
    </row>
    <row r="737" spans="1:1" x14ac:dyDescent="0.35">
      <c r="A737" t="str">
        <f t="shared" si="11"/>
        <v/>
      </c>
    </row>
    <row r="738" spans="1:1" x14ac:dyDescent="0.35">
      <c r="A738" t="str">
        <f t="shared" si="11"/>
        <v/>
      </c>
    </row>
    <row r="739" spans="1:1" x14ac:dyDescent="0.35">
      <c r="A739" t="str">
        <f t="shared" si="11"/>
        <v/>
      </c>
    </row>
    <row r="740" spans="1:1" x14ac:dyDescent="0.35">
      <c r="A740" t="str">
        <f t="shared" si="11"/>
        <v/>
      </c>
    </row>
    <row r="741" spans="1:1" x14ac:dyDescent="0.35">
      <c r="A741" t="str">
        <f t="shared" si="11"/>
        <v/>
      </c>
    </row>
    <row r="742" spans="1:1" x14ac:dyDescent="0.35">
      <c r="A742" t="str">
        <f t="shared" si="11"/>
        <v/>
      </c>
    </row>
    <row r="743" spans="1:1" x14ac:dyDescent="0.35">
      <c r="A743" t="str">
        <f t="shared" si="11"/>
        <v/>
      </c>
    </row>
    <row r="744" spans="1:1" x14ac:dyDescent="0.35">
      <c r="A744" t="str">
        <f t="shared" si="11"/>
        <v/>
      </c>
    </row>
    <row r="745" spans="1:1" x14ac:dyDescent="0.35">
      <c r="A745" t="str">
        <f t="shared" si="11"/>
        <v/>
      </c>
    </row>
    <row r="746" spans="1:1" x14ac:dyDescent="0.35">
      <c r="A746" t="str">
        <f t="shared" si="11"/>
        <v/>
      </c>
    </row>
    <row r="747" spans="1:1" x14ac:dyDescent="0.35">
      <c r="A747" t="str">
        <f t="shared" si="11"/>
        <v/>
      </c>
    </row>
    <row r="748" spans="1:1" x14ac:dyDescent="0.35">
      <c r="A748" t="str">
        <f t="shared" si="11"/>
        <v/>
      </c>
    </row>
    <row r="749" spans="1:1" x14ac:dyDescent="0.35">
      <c r="A749" t="str">
        <f t="shared" si="11"/>
        <v/>
      </c>
    </row>
    <row r="750" spans="1:1" x14ac:dyDescent="0.35">
      <c r="A750" t="str">
        <f t="shared" si="11"/>
        <v/>
      </c>
    </row>
    <row r="751" spans="1:1" x14ac:dyDescent="0.35">
      <c r="A751" t="str">
        <f t="shared" si="11"/>
        <v/>
      </c>
    </row>
    <row r="752" spans="1:1" x14ac:dyDescent="0.35">
      <c r="A752" t="str">
        <f t="shared" si="11"/>
        <v/>
      </c>
    </row>
    <row r="753" spans="1:1" x14ac:dyDescent="0.35">
      <c r="A753" t="str">
        <f t="shared" si="11"/>
        <v/>
      </c>
    </row>
    <row r="754" spans="1:1" x14ac:dyDescent="0.35">
      <c r="A754" t="str">
        <f t="shared" si="11"/>
        <v/>
      </c>
    </row>
    <row r="755" spans="1:1" x14ac:dyDescent="0.35">
      <c r="A755" t="str">
        <f t="shared" si="11"/>
        <v/>
      </c>
    </row>
    <row r="756" spans="1:1" x14ac:dyDescent="0.35">
      <c r="A756" t="str">
        <f t="shared" si="11"/>
        <v/>
      </c>
    </row>
    <row r="757" spans="1:1" x14ac:dyDescent="0.35">
      <c r="A757" t="str">
        <f t="shared" si="11"/>
        <v/>
      </c>
    </row>
    <row r="758" spans="1:1" x14ac:dyDescent="0.35">
      <c r="A758" t="str">
        <f t="shared" si="11"/>
        <v/>
      </c>
    </row>
    <row r="759" spans="1:1" x14ac:dyDescent="0.35">
      <c r="A759" t="str">
        <f t="shared" si="11"/>
        <v/>
      </c>
    </row>
    <row r="760" spans="1:1" x14ac:dyDescent="0.35">
      <c r="A760" t="str">
        <f t="shared" si="11"/>
        <v/>
      </c>
    </row>
    <row r="761" spans="1:1" x14ac:dyDescent="0.35">
      <c r="A761" t="str">
        <f t="shared" si="11"/>
        <v/>
      </c>
    </row>
    <row r="762" spans="1:1" x14ac:dyDescent="0.35">
      <c r="A762" t="str">
        <f t="shared" si="11"/>
        <v/>
      </c>
    </row>
    <row r="763" spans="1:1" x14ac:dyDescent="0.35">
      <c r="A763" t="str">
        <f t="shared" si="11"/>
        <v/>
      </c>
    </row>
    <row r="764" spans="1:1" x14ac:dyDescent="0.35">
      <c r="A764" t="str">
        <f t="shared" si="11"/>
        <v/>
      </c>
    </row>
    <row r="765" spans="1:1" x14ac:dyDescent="0.35">
      <c r="A765" t="str">
        <f t="shared" si="11"/>
        <v/>
      </c>
    </row>
    <row r="766" spans="1:1" x14ac:dyDescent="0.35">
      <c r="A766" t="str">
        <f t="shared" si="11"/>
        <v/>
      </c>
    </row>
    <row r="767" spans="1:1" x14ac:dyDescent="0.35">
      <c r="A767" t="str">
        <f t="shared" si="11"/>
        <v/>
      </c>
    </row>
    <row r="768" spans="1:1" x14ac:dyDescent="0.35">
      <c r="A768" t="str">
        <f t="shared" si="11"/>
        <v/>
      </c>
    </row>
    <row r="769" spans="1:1" x14ac:dyDescent="0.35">
      <c r="A769" t="str">
        <f t="shared" si="11"/>
        <v/>
      </c>
    </row>
    <row r="770" spans="1:1" x14ac:dyDescent="0.35">
      <c r="A770" t="str">
        <f t="shared" si="11"/>
        <v/>
      </c>
    </row>
    <row r="771" spans="1:1" x14ac:dyDescent="0.35">
      <c r="A771" t="str">
        <f t="shared" ref="A771:A834" si="12">C771&amp;D771&amp;E771&amp;G771&amp;H771&amp;I771</f>
        <v/>
      </c>
    </row>
    <row r="772" spans="1:1" x14ac:dyDescent="0.35">
      <c r="A772" t="str">
        <f t="shared" si="12"/>
        <v/>
      </c>
    </row>
    <row r="773" spans="1:1" x14ac:dyDescent="0.35">
      <c r="A773" t="str">
        <f t="shared" si="12"/>
        <v/>
      </c>
    </row>
    <row r="774" spans="1:1" x14ac:dyDescent="0.35">
      <c r="A774" t="str">
        <f t="shared" si="12"/>
        <v/>
      </c>
    </row>
    <row r="775" spans="1:1" x14ac:dyDescent="0.35">
      <c r="A775" t="str">
        <f t="shared" si="12"/>
        <v/>
      </c>
    </row>
    <row r="776" spans="1:1" x14ac:dyDescent="0.35">
      <c r="A776" t="str">
        <f t="shared" si="12"/>
        <v/>
      </c>
    </row>
    <row r="777" spans="1:1" x14ac:dyDescent="0.35">
      <c r="A777" t="str">
        <f t="shared" si="12"/>
        <v/>
      </c>
    </row>
    <row r="778" spans="1:1" x14ac:dyDescent="0.35">
      <c r="A778" t="str">
        <f t="shared" si="12"/>
        <v/>
      </c>
    </row>
    <row r="779" spans="1:1" x14ac:dyDescent="0.35">
      <c r="A779" t="str">
        <f t="shared" si="12"/>
        <v/>
      </c>
    </row>
    <row r="780" spans="1:1" x14ac:dyDescent="0.35">
      <c r="A780" t="str">
        <f t="shared" si="12"/>
        <v/>
      </c>
    </row>
    <row r="781" spans="1:1" x14ac:dyDescent="0.35">
      <c r="A781" t="str">
        <f t="shared" si="12"/>
        <v/>
      </c>
    </row>
    <row r="782" spans="1:1" x14ac:dyDescent="0.35">
      <c r="A782" t="str">
        <f t="shared" si="12"/>
        <v/>
      </c>
    </row>
    <row r="783" spans="1:1" x14ac:dyDescent="0.35">
      <c r="A783" t="str">
        <f t="shared" si="12"/>
        <v/>
      </c>
    </row>
    <row r="784" spans="1:1" x14ac:dyDescent="0.35">
      <c r="A784" t="str">
        <f t="shared" si="12"/>
        <v/>
      </c>
    </row>
    <row r="785" spans="1:1" x14ac:dyDescent="0.35">
      <c r="A785" t="str">
        <f t="shared" si="12"/>
        <v/>
      </c>
    </row>
    <row r="786" spans="1:1" x14ac:dyDescent="0.35">
      <c r="A786" t="str">
        <f t="shared" si="12"/>
        <v/>
      </c>
    </row>
    <row r="787" spans="1:1" x14ac:dyDescent="0.35">
      <c r="A787" t="str">
        <f t="shared" si="12"/>
        <v/>
      </c>
    </row>
    <row r="788" spans="1:1" x14ac:dyDescent="0.35">
      <c r="A788" t="str">
        <f t="shared" si="12"/>
        <v/>
      </c>
    </row>
    <row r="789" spans="1:1" x14ac:dyDescent="0.35">
      <c r="A789" t="str">
        <f t="shared" si="12"/>
        <v/>
      </c>
    </row>
    <row r="790" spans="1:1" x14ac:dyDescent="0.35">
      <c r="A790" t="str">
        <f t="shared" si="12"/>
        <v/>
      </c>
    </row>
    <row r="791" spans="1:1" x14ac:dyDescent="0.35">
      <c r="A791" t="str">
        <f t="shared" si="12"/>
        <v/>
      </c>
    </row>
    <row r="792" spans="1:1" x14ac:dyDescent="0.35">
      <c r="A792" t="str">
        <f t="shared" si="12"/>
        <v/>
      </c>
    </row>
    <row r="793" spans="1:1" x14ac:dyDescent="0.35">
      <c r="A793" t="str">
        <f t="shared" si="12"/>
        <v/>
      </c>
    </row>
    <row r="794" spans="1:1" x14ac:dyDescent="0.35">
      <c r="A794" t="str">
        <f t="shared" si="12"/>
        <v/>
      </c>
    </row>
    <row r="795" spans="1:1" x14ac:dyDescent="0.35">
      <c r="A795" t="str">
        <f t="shared" si="12"/>
        <v/>
      </c>
    </row>
    <row r="796" spans="1:1" x14ac:dyDescent="0.35">
      <c r="A796" t="str">
        <f t="shared" si="12"/>
        <v/>
      </c>
    </row>
    <row r="797" spans="1:1" x14ac:dyDescent="0.35">
      <c r="A797" t="str">
        <f t="shared" si="12"/>
        <v/>
      </c>
    </row>
    <row r="798" spans="1:1" x14ac:dyDescent="0.35">
      <c r="A798" t="str">
        <f t="shared" si="12"/>
        <v/>
      </c>
    </row>
    <row r="799" spans="1:1" x14ac:dyDescent="0.35">
      <c r="A799" t="str">
        <f t="shared" si="12"/>
        <v/>
      </c>
    </row>
    <row r="800" spans="1:1" x14ac:dyDescent="0.35">
      <c r="A800" t="str">
        <f t="shared" si="12"/>
        <v/>
      </c>
    </row>
    <row r="801" spans="1:1" x14ac:dyDescent="0.35">
      <c r="A801" t="str">
        <f t="shared" si="12"/>
        <v/>
      </c>
    </row>
    <row r="802" spans="1:1" x14ac:dyDescent="0.35">
      <c r="A802" t="str">
        <f t="shared" si="12"/>
        <v/>
      </c>
    </row>
    <row r="803" spans="1:1" x14ac:dyDescent="0.35">
      <c r="A803" t="str">
        <f t="shared" si="12"/>
        <v/>
      </c>
    </row>
    <row r="804" spans="1:1" x14ac:dyDescent="0.35">
      <c r="A804" t="str">
        <f t="shared" si="12"/>
        <v/>
      </c>
    </row>
    <row r="805" spans="1:1" x14ac:dyDescent="0.35">
      <c r="A805" t="str">
        <f t="shared" si="12"/>
        <v/>
      </c>
    </row>
    <row r="806" spans="1:1" x14ac:dyDescent="0.35">
      <c r="A806" t="str">
        <f t="shared" si="12"/>
        <v/>
      </c>
    </row>
    <row r="807" spans="1:1" x14ac:dyDescent="0.35">
      <c r="A807" t="str">
        <f t="shared" si="12"/>
        <v/>
      </c>
    </row>
    <row r="808" spans="1:1" x14ac:dyDescent="0.35">
      <c r="A808" t="str">
        <f t="shared" si="12"/>
        <v/>
      </c>
    </row>
    <row r="809" spans="1:1" x14ac:dyDescent="0.35">
      <c r="A809" t="str">
        <f t="shared" si="12"/>
        <v/>
      </c>
    </row>
    <row r="810" spans="1:1" x14ac:dyDescent="0.35">
      <c r="A810" t="str">
        <f t="shared" si="12"/>
        <v/>
      </c>
    </row>
    <row r="811" spans="1:1" x14ac:dyDescent="0.35">
      <c r="A811" t="str">
        <f t="shared" si="12"/>
        <v/>
      </c>
    </row>
    <row r="812" spans="1:1" x14ac:dyDescent="0.35">
      <c r="A812" t="str">
        <f t="shared" si="12"/>
        <v/>
      </c>
    </row>
    <row r="813" spans="1:1" x14ac:dyDescent="0.35">
      <c r="A813" t="str">
        <f t="shared" si="12"/>
        <v/>
      </c>
    </row>
    <row r="814" spans="1:1" x14ac:dyDescent="0.35">
      <c r="A814" t="str">
        <f t="shared" si="12"/>
        <v/>
      </c>
    </row>
    <row r="815" spans="1:1" x14ac:dyDescent="0.35">
      <c r="A815" t="str">
        <f t="shared" si="12"/>
        <v/>
      </c>
    </row>
    <row r="816" spans="1:1" x14ac:dyDescent="0.35">
      <c r="A816" t="str">
        <f t="shared" si="12"/>
        <v/>
      </c>
    </row>
    <row r="817" spans="1:1" x14ac:dyDescent="0.35">
      <c r="A817" t="str">
        <f t="shared" si="12"/>
        <v/>
      </c>
    </row>
    <row r="818" spans="1:1" x14ac:dyDescent="0.35">
      <c r="A818" t="str">
        <f t="shared" si="12"/>
        <v/>
      </c>
    </row>
    <row r="819" spans="1:1" x14ac:dyDescent="0.35">
      <c r="A819" t="str">
        <f t="shared" si="12"/>
        <v/>
      </c>
    </row>
    <row r="820" spans="1:1" x14ac:dyDescent="0.35">
      <c r="A820" t="str">
        <f t="shared" si="12"/>
        <v/>
      </c>
    </row>
    <row r="821" spans="1:1" x14ac:dyDescent="0.35">
      <c r="A821" t="str">
        <f t="shared" si="12"/>
        <v/>
      </c>
    </row>
    <row r="822" spans="1:1" x14ac:dyDescent="0.35">
      <c r="A822" t="str">
        <f t="shared" si="12"/>
        <v/>
      </c>
    </row>
    <row r="823" spans="1:1" x14ac:dyDescent="0.35">
      <c r="A823" t="str">
        <f t="shared" si="12"/>
        <v/>
      </c>
    </row>
    <row r="824" spans="1:1" x14ac:dyDescent="0.35">
      <c r="A824" t="str">
        <f t="shared" si="12"/>
        <v/>
      </c>
    </row>
    <row r="825" spans="1:1" x14ac:dyDescent="0.35">
      <c r="A825" t="str">
        <f t="shared" si="12"/>
        <v/>
      </c>
    </row>
    <row r="826" spans="1:1" x14ac:dyDescent="0.35">
      <c r="A826" t="str">
        <f t="shared" si="12"/>
        <v/>
      </c>
    </row>
    <row r="827" spans="1:1" x14ac:dyDescent="0.35">
      <c r="A827" t="str">
        <f t="shared" si="12"/>
        <v/>
      </c>
    </row>
    <row r="828" spans="1:1" x14ac:dyDescent="0.35">
      <c r="A828" t="str">
        <f t="shared" si="12"/>
        <v/>
      </c>
    </row>
    <row r="829" spans="1:1" x14ac:dyDescent="0.35">
      <c r="A829" t="str">
        <f t="shared" si="12"/>
        <v/>
      </c>
    </row>
    <row r="830" spans="1:1" x14ac:dyDescent="0.35">
      <c r="A830" t="str">
        <f t="shared" si="12"/>
        <v/>
      </c>
    </row>
    <row r="831" spans="1:1" x14ac:dyDescent="0.35">
      <c r="A831" t="str">
        <f t="shared" si="12"/>
        <v/>
      </c>
    </row>
    <row r="832" spans="1:1" x14ac:dyDescent="0.35">
      <c r="A832" t="str">
        <f t="shared" si="12"/>
        <v/>
      </c>
    </row>
    <row r="833" spans="1:1" x14ac:dyDescent="0.35">
      <c r="A833" t="str">
        <f t="shared" si="12"/>
        <v/>
      </c>
    </row>
    <row r="834" spans="1:1" x14ac:dyDescent="0.35">
      <c r="A834" t="str">
        <f t="shared" si="12"/>
        <v/>
      </c>
    </row>
    <row r="835" spans="1:1" x14ac:dyDescent="0.35">
      <c r="A835" t="str">
        <f t="shared" ref="A835:A898" si="13">C835&amp;D835&amp;E835&amp;G835&amp;H835&amp;I835</f>
        <v/>
      </c>
    </row>
    <row r="836" spans="1:1" x14ac:dyDescent="0.35">
      <c r="A836" t="str">
        <f t="shared" si="13"/>
        <v/>
      </c>
    </row>
    <row r="837" spans="1:1" x14ac:dyDescent="0.35">
      <c r="A837" t="str">
        <f t="shared" si="13"/>
        <v/>
      </c>
    </row>
    <row r="838" spans="1:1" x14ac:dyDescent="0.35">
      <c r="A838" t="str">
        <f t="shared" si="13"/>
        <v/>
      </c>
    </row>
    <row r="839" spans="1:1" x14ac:dyDescent="0.35">
      <c r="A839" t="str">
        <f t="shared" si="13"/>
        <v/>
      </c>
    </row>
    <row r="840" spans="1:1" x14ac:dyDescent="0.35">
      <c r="A840" t="str">
        <f t="shared" si="13"/>
        <v/>
      </c>
    </row>
    <row r="841" spans="1:1" x14ac:dyDescent="0.35">
      <c r="A841" t="str">
        <f t="shared" si="13"/>
        <v/>
      </c>
    </row>
    <row r="842" spans="1:1" x14ac:dyDescent="0.35">
      <c r="A842" t="str">
        <f t="shared" si="13"/>
        <v/>
      </c>
    </row>
    <row r="843" spans="1:1" x14ac:dyDescent="0.35">
      <c r="A843" t="str">
        <f t="shared" si="13"/>
        <v/>
      </c>
    </row>
    <row r="844" spans="1:1" x14ac:dyDescent="0.35">
      <c r="A844" t="str">
        <f t="shared" si="13"/>
        <v/>
      </c>
    </row>
    <row r="845" spans="1:1" x14ac:dyDescent="0.35">
      <c r="A845" t="str">
        <f t="shared" si="13"/>
        <v/>
      </c>
    </row>
    <row r="846" spans="1:1" x14ac:dyDescent="0.35">
      <c r="A846" t="str">
        <f t="shared" si="13"/>
        <v/>
      </c>
    </row>
    <row r="847" spans="1:1" x14ac:dyDescent="0.35">
      <c r="A847" t="str">
        <f t="shared" si="13"/>
        <v/>
      </c>
    </row>
    <row r="848" spans="1:1" x14ac:dyDescent="0.35">
      <c r="A848" t="str">
        <f t="shared" si="13"/>
        <v/>
      </c>
    </row>
    <row r="849" spans="1:1" x14ac:dyDescent="0.35">
      <c r="A849" t="str">
        <f t="shared" si="13"/>
        <v/>
      </c>
    </row>
    <row r="850" spans="1:1" x14ac:dyDescent="0.35">
      <c r="A850" t="str">
        <f t="shared" si="13"/>
        <v/>
      </c>
    </row>
    <row r="851" spans="1:1" x14ac:dyDescent="0.35">
      <c r="A851" t="str">
        <f t="shared" si="13"/>
        <v/>
      </c>
    </row>
    <row r="852" spans="1:1" x14ac:dyDescent="0.35">
      <c r="A852" t="str">
        <f t="shared" si="13"/>
        <v/>
      </c>
    </row>
    <row r="853" spans="1:1" x14ac:dyDescent="0.35">
      <c r="A853" t="str">
        <f t="shared" si="13"/>
        <v/>
      </c>
    </row>
    <row r="854" spans="1:1" x14ac:dyDescent="0.35">
      <c r="A854" t="str">
        <f t="shared" si="13"/>
        <v/>
      </c>
    </row>
    <row r="855" spans="1:1" x14ac:dyDescent="0.35">
      <c r="A855" t="str">
        <f t="shared" si="13"/>
        <v/>
      </c>
    </row>
    <row r="856" spans="1:1" x14ac:dyDescent="0.35">
      <c r="A856" t="str">
        <f t="shared" si="13"/>
        <v/>
      </c>
    </row>
    <row r="857" spans="1:1" x14ac:dyDescent="0.35">
      <c r="A857" t="str">
        <f t="shared" si="13"/>
        <v/>
      </c>
    </row>
    <row r="858" spans="1:1" x14ac:dyDescent="0.35">
      <c r="A858" t="str">
        <f t="shared" si="13"/>
        <v/>
      </c>
    </row>
    <row r="859" spans="1:1" x14ac:dyDescent="0.35">
      <c r="A859" t="str">
        <f t="shared" si="13"/>
        <v/>
      </c>
    </row>
    <row r="860" spans="1:1" x14ac:dyDescent="0.35">
      <c r="A860" t="str">
        <f t="shared" si="13"/>
        <v/>
      </c>
    </row>
    <row r="861" spans="1:1" x14ac:dyDescent="0.35">
      <c r="A861" t="str">
        <f t="shared" si="13"/>
        <v/>
      </c>
    </row>
    <row r="862" spans="1:1" x14ac:dyDescent="0.35">
      <c r="A862" t="str">
        <f t="shared" si="13"/>
        <v/>
      </c>
    </row>
    <row r="863" spans="1:1" x14ac:dyDescent="0.35">
      <c r="A863" t="str">
        <f t="shared" si="13"/>
        <v/>
      </c>
    </row>
    <row r="864" spans="1:1" x14ac:dyDescent="0.35">
      <c r="A864" t="str">
        <f t="shared" si="13"/>
        <v/>
      </c>
    </row>
    <row r="865" spans="1:1" x14ac:dyDescent="0.35">
      <c r="A865" t="str">
        <f t="shared" si="13"/>
        <v/>
      </c>
    </row>
    <row r="866" spans="1:1" x14ac:dyDescent="0.35">
      <c r="A866" t="str">
        <f t="shared" si="13"/>
        <v/>
      </c>
    </row>
    <row r="867" spans="1:1" x14ac:dyDescent="0.35">
      <c r="A867" t="str">
        <f t="shared" si="13"/>
        <v/>
      </c>
    </row>
    <row r="868" spans="1:1" x14ac:dyDescent="0.35">
      <c r="A868" t="str">
        <f t="shared" si="13"/>
        <v/>
      </c>
    </row>
    <row r="869" spans="1:1" x14ac:dyDescent="0.35">
      <c r="A869" t="str">
        <f t="shared" si="13"/>
        <v/>
      </c>
    </row>
    <row r="870" spans="1:1" x14ac:dyDescent="0.35">
      <c r="A870" t="str">
        <f t="shared" si="13"/>
        <v/>
      </c>
    </row>
    <row r="871" spans="1:1" x14ac:dyDescent="0.35">
      <c r="A871" t="str">
        <f t="shared" si="13"/>
        <v/>
      </c>
    </row>
    <row r="872" spans="1:1" x14ac:dyDescent="0.35">
      <c r="A872" t="str">
        <f t="shared" si="13"/>
        <v/>
      </c>
    </row>
    <row r="873" spans="1:1" x14ac:dyDescent="0.35">
      <c r="A873" t="str">
        <f t="shared" si="13"/>
        <v/>
      </c>
    </row>
    <row r="874" spans="1:1" x14ac:dyDescent="0.35">
      <c r="A874" t="str">
        <f t="shared" si="13"/>
        <v/>
      </c>
    </row>
    <row r="875" spans="1:1" x14ac:dyDescent="0.35">
      <c r="A875" t="str">
        <f t="shared" si="13"/>
        <v/>
      </c>
    </row>
    <row r="876" spans="1:1" x14ac:dyDescent="0.35">
      <c r="A876" t="str">
        <f t="shared" si="13"/>
        <v/>
      </c>
    </row>
    <row r="877" spans="1:1" x14ac:dyDescent="0.35">
      <c r="A877" t="str">
        <f t="shared" si="13"/>
        <v/>
      </c>
    </row>
    <row r="878" spans="1:1" x14ac:dyDescent="0.35">
      <c r="A878" t="str">
        <f t="shared" si="13"/>
        <v/>
      </c>
    </row>
    <row r="879" spans="1:1" x14ac:dyDescent="0.35">
      <c r="A879" t="str">
        <f t="shared" si="13"/>
        <v/>
      </c>
    </row>
    <row r="880" spans="1:1" x14ac:dyDescent="0.35">
      <c r="A880" t="str">
        <f t="shared" si="13"/>
        <v/>
      </c>
    </row>
    <row r="881" spans="1:1" x14ac:dyDescent="0.35">
      <c r="A881" t="str">
        <f t="shared" si="13"/>
        <v/>
      </c>
    </row>
    <row r="882" spans="1:1" x14ac:dyDescent="0.35">
      <c r="A882" t="str">
        <f t="shared" si="13"/>
        <v/>
      </c>
    </row>
    <row r="883" spans="1:1" x14ac:dyDescent="0.35">
      <c r="A883" t="str">
        <f t="shared" si="13"/>
        <v/>
      </c>
    </row>
    <row r="884" spans="1:1" x14ac:dyDescent="0.35">
      <c r="A884" t="str">
        <f t="shared" si="13"/>
        <v/>
      </c>
    </row>
    <row r="885" spans="1:1" x14ac:dyDescent="0.35">
      <c r="A885" t="str">
        <f t="shared" si="13"/>
        <v/>
      </c>
    </row>
    <row r="886" spans="1:1" x14ac:dyDescent="0.35">
      <c r="A886" t="str">
        <f t="shared" si="13"/>
        <v/>
      </c>
    </row>
    <row r="887" spans="1:1" x14ac:dyDescent="0.35">
      <c r="A887" t="str">
        <f t="shared" si="13"/>
        <v/>
      </c>
    </row>
    <row r="888" spans="1:1" x14ac:dyDescent="0.35">
      <c r="A888" t="str">
        <f t="shared" si="13"/>
        <v/>
      </c>
    </row>
    <row r="889" spans="1:1" x14ac:dyDescent="0.35">
      <c r="A889" t="str">
        <f t="shared" si="13"/>
        <v/>
      </c>
    </row>
    <row r="890" spans="1:1" x14ac:dyDescent="0.35">
      <c r="A890" t="str">
        <f t="shared" si="13"/>
        <v/>
      </c>
    </row>
    <row r="891" spans="1:1" x14ac:dyDescent="0.35">
      <c r="A891" t="str">
        <f t="shared" si="13"/>
        <v/>
      </c>
    </row>
    <row r="892" spans="1:1" x14ac:dyDescent="0.35">
      <c r="A892" t="str">
        <f t="shared" si="13"/>
        <v/>
      </c>
    </row>
    <row r="893" spans="1:1" x14ac:dyDescent="0.35">
      <c r="A893" t="str">
        <f t="shared" si="13"/>
        <v/>
      </c>
    </row>
    <row r="894" spans="1:1" x14ac:dyDescent="0.35">
      <c r="A894" t="str">
        <f t="shared" si="13"/>
        <v/>
      </c>
    </row>
    <row r="895" spans="1:1" x14ac:dyDescent="0.35">
      <c r="A895" t="str">
        <f t="shared" si="13"/>
        <v/>
      </c>
    </row>
    <row r="896" spans="1:1" x14ac:dyDescent="0.35">
      <c r="A896" t="str">
        <f t="shared" si="13"/>
        <v/>
      </c>
    </row>
    <row r="897" spans="1:1" x14ac:dyDescent="0.35">
      <c r="A897" t="str">
        <f t="shared" si="13"/>
        <v/>
      </c>
    </row>
    <row r="898" spans="1:1" x14ac:dyDescent="0.35">
      <c r="A898" t="str">
        <f t="shared" si="13"/>
        <v/>
      </c>
    </row>
    <row r="899" spans="1:1" x14ac:dyDescent="0.35">
      <c r="A899" t="str">
        <f t="shared" ref="A899:A962" si="14">C899&amp;D899&amp;E899&amp;G899&amp;H899&amp;I899</f>
        <v/>
      </c>
    </row>
    <row r="900" spans="1:1" x14ac:dyDescent="0.35">
      <c r="A900" t="str">
        <f t="shared" si="14"/>
        <v/>
      </c>
    </row>
    <row r="901" spans="1:1" x14ac:dyDescent="0.35">
      <c r="A901" t="str">
        <f t="shared" si="14"/>
        <v/>
      </c>
    </row>
    <row r="902" spans="1:1" x14ac:dyDescent="0.35">
      <c r="A902" t="str">
        <f t="shared" si="14"/>
        <v/>
      </c>
    </row>
    <row r="903" spans="1:1" x14ac:dyDescent="0.35">
      <c r="A903" t="str">
        <f t="shared" si="14"/>
        <v/>
      </c>
    </row>
    <row r="904" spans="1:1" x14ac:dyDescent="0.35">
      <c r="A904" t="str">
        <f t="shared" si="14"/>
        <v/>
      </c>
    </row>
    <row r="905" spans="1:1" x14ac:dyDescent="0.35">
      <c r="A905" t="str">
        <f t="shared" si="14"/>
        <v/>
      </c>
    </row>
    <row r="906" spans="1:1" x14ac:dyDescent="0.35">
      <c r="A906" t="str">
        <f t="shared" si="14"/>
        <v/>
      </c>
    </row>
    <row r="907" spans="1:1" x14ac:dyDescent="0.35">
      <c r="A907" t="str">
        <f t="shared" si="14"/>
        <v/>
      </c>
    </row>
    <row r="908" spans="1:1" x14ac:dyDescent="0.35">
      <c r="A908" t="str">
        <f t="shared" si="14"/>
        <v/>
      </c>
    </row>
    <row r="909" spans="1:1" x14ac:dyDescent="0.35">
      <c r="A909" t="str">
        <f t="shared" si="14"/>
        <v/>
      </c>
    </row>
    <row r="910" spans="1:1" x14ac:dyDescent="0.35">
      <c r="A910" t="str">
        <f t="shared" si="14"/>
        <v/>
      </c>
    </row>
    <row r="911" spans="1:1" x14ac:dyDescent="0.35">
      <c r="A911" t="str">
        <f t="shared" si="14"/>
        <v/>
      </c>
    </row>
    <row r="912" spans="1:1" x14ac:dyDescent="0.35">
      <c r="A912" t="str">
        <f t="shared" si="14"/>
        <v/>
      </c>
    </row>
    <row r="913" spans="1:1" x14ac:dyDescent="0.35">
      <c r="A913" t="str">
        <f t="shared" si="14"/>
        <v/>
      </c>
    </row>
    <row r="914" spans="1:1" x14ac:dyDescent="0.35">
      <c r="A914" t="str">
        <f t="shared" si="14"/>
        <v/>
      </c>
    </row>
    <row r="915" spans="1:1" x14ac:dyDescent="0.35">
      <c r="A915" t="str">
        <f t="shared" si="14"/>
        <v/>
      </c>
    </row>
    <row r="916" spans="1:1" x14ac:dyDescent="0.35">
      <c r="A916" t="str">
        <f t="shared" si="14"/>
        <v/>
      </c>
    </row>
    <row r="917" spans="1:1" x14ac:dyDescent="0.35">
      <c r="A917" t="str">
        <f t="shared" si="14"/>
        <v/>
      </c>
    </row>
    <row r="918" spans="1:1" x14ac:dyDescent="0.35">
      <c r="A918" t="str">
        <f t="shared" si="14"/>
        <v/>
      </c>
    </row>
    <row r="919" spans="1:1" x14ac:dyDescent="0.35">
      <c r="A919" t="str">
        <f t="shared" si="14"/>
        <v/>
      </c>
    </row>
    <row r="920" spans="1:1" x14ac:dyDescent="0.35">
      <c r="A920" t="str">
        <f t="shared" si="14"/>
        <v/>
      </c>
    </row>
    <row r="921" spans="1:1" x14ac:dyDescent="0.35">
      <c r="A921" t="str">
        <f t="shared" si="14"/>
        <v/>
      </c>
    </row>
    <row r="922" spans="1:1" x14ac:dyDescent="0.35">
      <c r="A922" t="str">
        <f t="shared" si="14"/>
        <v/>
      </c>
    </row>
    <row r="923" spans="1:1" x14ac:dyDescent="0.35">
      <c r="A923" t="str">
        <f t="shared" si="14"/>
        <v/>
      </c>
    </row>
    <row r="924" spans="1:1" x14ac:dyDescent="0.35">
      <c r="A924" t="str">
        <f t="shared" si="14"/>
        <v/>
      </c>
    </row>
    <row r="925" spans="1:1" x14ac:dyDescent="0.35">
      <c r="A925" t="str">
        <f t="shared" si="14"/>
        <v/>
      </c>
    </row>
    <row r="926" spans="1:1" x14ac:dyDescent="0.35">
      <c r="A926" t="str">
        <f t="shared" si="14"/>
        <v/>
      </c>
    </row>
    <row r="927" spans="1:1" x14ac:dyDescent="0.35">
      <c r="A927" t="str">
        <f t="shared" si="14"/>
        <v/>
      </c>
    </row>
    <row r="928" spans="1:1" x14ac:dyDescent="0.35">
      <c r="A928" t="str">
        <f t="shared" si="14"/>
        <v/>
      </c>
    </row>
    <row r="929" spans="1:1" x14ac:dyDescent="0.35">
      <c r="A929" t="str">
        <f t="shared" si="14"/>
        <v/>
      </c>
    </row>
    <row r="930" spans="1:1" x14ac:dyDescent="0.35">
      <c r="A930" t="str">
        <f t="shared" si="14"/>
        <v/>
      </c>
    </row>
    <row r="931" spans="1:1" x14ac:dyDescent="0.35">
      <c r="A931" t="str">
        <f t="shared" si="14"/>
        <v/>
      </c>
    </row>
    <row r="932" spans="1:1" x14ac:dyDescent="0.35">
      <c r="A932" t="str">
        <f t="shared" si="14"/>
        <v/>
      </c>
    </row>
    <row r="933" spans="1:1" x14ac:dyDescent="0.35">
      <c r="A933" t="str">
        <f t="shared" si="14"/>
        <v/>
      </c>
    </row>
    <row r="934" spans="1:1" x14ac:dyDescent="0.35">
      <c r="A934" t="str">
        <f t="shared" si="14"/>
        <v/>
      </c>
    </row>
    <row r="935" spans="1:1" x14ac:dyDescent="0.35">
      <c r="A935" t="str">
        <f t="shared" si="14"/>
        <v/>
      </c>
    </row>
    <row r="936" spans="1:1" x14ac:dyDescent="0.35">
      <c r="A936" t="str">
        <f t="shared" si="14"/>
        <v/>
      </c>
    </row>
    <row r="937" spans="1:1" x14ac:dyDescent="0.35">
      <c r="A937" t="str">
        <f t="shared" si="14"/>
        <v/>
      </c>
    </row>
    <row r="938" spans="1:1" x14ac:dyDescent="0.35">
      <c r="A938" t="str">
        <f t="shared" si="14"/>
        <v/>
      </c>
    </row>
    <row r="939" spans="1:1" x14ac:dyDescent="0.35">
      <c r="A939" t="str">
        <f t="shared" si="14"/>
        <v/>
      </c>
    </row>
    <row r="940" spans="1:1" x14ac:dyDescent="0.35">
      <c r="A940" t="str">
        <f t="shared" si="14"/>
        <v/>
      </c>
    </row>
    <row r="941" spans="1:1" x14ac:dyDescent="0.35">
      <c r="A941" t="str">
        <f t="shared" si="14"/>
        <v/>
      </c>
    </row>
    <row r="942" spans="1:1" x14ac:dyDescent="0.35">
      <c r="A942" t="str">
        <f t="shared" si="14"/>
        <v/>
      </c>
    </row>
    <row r="943" spans="1:1" x14ac:dyDescent="0.35">
      <c r="A943" t="str">
        <f t="shared" si="14"/>
        <v/>
      </c>
    </row>
    <row r="944" spans="1:1" x14ac:dyDescent="0.35">
      <c r="A944" t="str">
        <f t="shared" si="14"/>
        <v/>
      </c>
    </row>
    <row r="945" spans="1:1" x14ac:dyDescent="0.35">
      <c r="A945" t="str">
        <f t="shared" si="14"/>
        <v/>
      </c>
    </row>
    <row r="946" spans="1:1" x14ac:dyDescent="0.35">
      <c r="A946" t="str">
        <f t="shared" si="14"/>
        <v/>
      </c>
    </row>
    <row r="947" spans="1:1" x14ac:dyDescent="0.35">
      <c r="A947" t="str">
        <f t="shared" si="14"/>
        <v/>
      </c>
    </row>
    <row r="948" spans="1:1" x14ac:dyDescent="0.35">
      <c r="A948" t="str">
        <f t="shared" si="14"/>
        <v/>
      </c>
    </row>
    <row r="949" spans="1:1" x14ac:dyDescent="0.35">
      <c r="A949" t="str">
        <f t="shared" si="14"/>
        <v/>
      </c>
    </row>
    <row r="950" spans="1:1" x14ac:dyDescent="0.35">
      <c r="A950" t="str">
        <f t="shared" si="14"/>
        <v/>
      </c>
    </row>
    <row r="951" spans="1:1" x14ac:dyDescent="0.35">
      <c r="A951" t="str">
        <f t="shared" si="14"/>
        <v/>
      </c>
    </row>
    <row r="952" spans="1:1" x14ac:dyDescent="0.35">
      <c r="A952" t="str">
        <f t="shared" si="14"/>
        <v/>
      </c>
    </row>
    <row r="953" spans="1:1" x14ac:dyDescent="0.35">
      <c r="A953" t="str">
        <f t="shared" si="14"/>
        <v/>
      </c>
    </row>
    <row r="954" spans="1:1" x14ac:dyDescent="0.35">
      <c r="A954" t="str">
        <f t="shared" si="14"/>
        <v/>
      </c>
    </row>
    <row r="955" spans="1:1" x14ac:dyDescent="0.35">
      <c r="A955" t="str">
        <f t="shared" si="14"/>
        <v/>
      </c>
    </row>
    <row r="956" spans="1:1" x14ac:dyDescent="0.35">
      <c r="A956" t="str">
        <f t="shared" si="14"/>
        <v/>
      </c>
    </row>
    <row r="957" spans="1:1" x14ac:dyDescent="0.35">
      <c r="A957" t="str">
        <f t="shared" si="14"/>
        <v/>
      </c>
    </row>
    <row r="958" spans="1:1" x14ac:dyDescent="0.35">
      <c r="A958" t="str">
        <f t="shared" si="14"/>
        <v/>
      </c>
    </row>
    <row r="959" spans="1:1" x14ac:dyDescent="0.35">
      <c r="A959" t="str">
        <f t="shared" si="14"/>
        <v/>
      </c>
    </row>
    <row r="960" spans="1:1" x14ac:dyDescent="0.35">
      <c r="A960" t="str">
        <f t="shared" si="14"/>
        <v/>
      </c>
    </row>
    <row r="961" spans="1:1" x14ac:dyDescent="0.35">
      <c r="A961" t="str">
        <f t="shared" si="14"/>
        <v/>
      </c>
    </row>
    <row r="962" spans="1:1" x14ac:dyDescent="0.35">
      <c r="A962" t="str">
        <f t="shared" si="14"/>
        <v/>
      </c>
    </row>
    <row r="963" spans="1:1" x14ac:dyDescent="0.35">
      <c r="A963" t="str">
        <f t="shared" ref="A963:A1026" si="15">C963&amp;D963&amp;E963&amp;G963&amp;H963&amp;I963</f>
        <v/>
      </c>
    </row>
    <row r="964" spans="1:1" x14ac:dyDescent="0.35">
      <c r="A964" t="str">
        <f t="shared" si="15"/>
        <v/>
      </c>
    </row>
    <row r="965" spans="1:1" x14ac:dyDescent="0.35">
      <c r="A965" t="str">
        <f t="shared" si="15"/>
        <v/>
      </c>
    </row>
    <row r="966" spans="1:1" x14ac:dyDescent="0.35">
      <c r="A966" t="str">
        <f t="shared" si="15"/>
        <v/>
      </c>
    </row>
    <row r="967" spans="1:1" x14ac:dyDescent="0.35">
      <c r="A967" t="str">
        <f t="shared" si="15"/>
        <v/>
      </c>
    </row>
    <row r="968" spans="1:1" x14ac:dyDescent="0.35">
      <c r="A968" t="str">
        <f t="shared" si="15"/>
        <v/>
      </c>
    </row>
    <row r="969" spans="1:1" x14ac:dyDescent="0.35">
      <c r="A969" t="str">
        <f t="shared" si="15"/>
        <v/>
      </c>
    </row>
    <row r="970" spans="1:1" x14ac:dyDescent="0.35">
      <c r="A970" t="str">
        <f t="shared" si="15"/>
        <v/>
      </c>
    </row>
    <row r="971" spans="1:1" x14ac:dyDescent="0.35">
      <c r="A971" t="str">
        <f t="shared" si="15"/>
        <v/>
      </c>
    </row>
    <row r="972" spans="1:1" x14ac:dyDescent="0.35">
      <c r="A972" t="str">
        <f t="shared" si="15"/>
        <v/>
      </c>
    </row>
    <row r="973" spans="1:1" x14ac:dyDescent="0.35">
      <c r="A973" t="str">
        <f t="shared" si="15"/>
        <v/>
      </c>
    </row>
    <row r="974" spans="1:1" x14ac:dyDescent="0.35">
      <c r="A974" t="str">
        <f t="shared" si="15"/>
        <v/>
      </c>
    </row>
    <row r="975" spans="1:1" x14ac:dyDescent="0.35">
      <c r="A975" t="str">
        <f t="shared" si="15"/>
        <v/>
      </c>
    </row>
    <row r="976" spans="1:1" x14ac:dyDescent="0.35">
      <c r="A976" t="str">
        <f t="shared" si="15"/>
        <v/>
      </c>
    </row>
    <row r="977" spans="1:1" x14ac:dyDescent="0.35">
      <c r="A977" t="str">
        <f t="shared" si="15"/>
        <v/>
      </c>
    </row>
    <row r="978" spans="1:1" x14ac:dyDescent="0.35">
      <c r="A978" t="str">
        <f t="shared" si="15"/>
        <v/>
      </c>
    </row>
    <row r="979" spans="1:1" x14ac:dyDescent="0.35">
      <c r="A979" t="str">
        <f t="shared" si="15"/>
        <v/>
      </c>
    </row>
    <row r="980" spans="1:1" x14ac:dyDescent="0.35">
      <c r="A980" t="str">
        <f t="shared" si="15"/>
        <v/>
      </c>
    </row>
    <row r="981" spans="1:1" x14ac:dyDescent="0.35">
      <c r="A981" t="str">
        <f t="shared" si="15"/>
        <v/>
      </c>
    </row>
    <row r="982" spans="1:1" x14ac:dyDescent="0.35">
      <c r="A982" t="str">
        <f t="shared" si="15"/>
        <v/>
      </c>
    </row>
    <row r="983" spans="1:1" x14ac:dyDescent="0.35">
      <c r="A983" t="str">
        <f t="shared" si="15"/>
        <v/>
      </c>
    </row>
    <row r="984" spans="1:1" x14ac:dyDescent="0.35">
      <c r="A984" t="str">
        <f t="shared" si="15"/>
        <v/>
      </c>
    </row>
    <row r="985" spans="1:1" x14ac:dyDescent="0.35">
      <c r="A985" t="str">
        <f t="shared" si="15"/>
        <v/>
      </c>
    </row>
    <row r="986" spans="1:1" x14ac:dyDescent="0.35">
      <c r="A986" t="str">
        <f t="shared" si="15"/>
        <v/>
      </c>
    </row>
    <row r="987" spans="1:1" x14ac:dyDescent="0.35">
      <c r="A987" t="str">
        <f t="shared" si="15"/>
        <v/>
      </c>
    </row>
    <row r="988" spans="1:1" x14ac:dyDescent="0.35">
      <c r="A988" t="str">
        <f t="shared" si="15"/>
        <v/>
      </c>
    </row>
    <row r="989" spans="1:1" x14ac:dyDescent="0.35">
      <c r="A989" t="str">
        <f t="shared" si="15"/>
        <v/>
      </c>
    </row>
    <row r="990" spans="1:1" x14ac:dyDescent="0.35">
      <c r="A990" t="str">
        <f t="shared" si="15"/>
        <v/>
      </c>
    </row>
    <row r="991" spans="1:1" x14ac:dyDescent="0.35">
      <c r="A991" t="str">
        <f t="shared" si="15"/>
        <v/>
      </c>
    </row>
    <row r="992" spans="1:1" x14ac:dyDescent="0.35">
      <c r="A992" t="str">
        <f t="shared" si="15"/>
        <v/>
      </c>
    </row>
    <row r="993" spans="1:1" x14ac:dyDescent="0.35">
      <c r="A993" t="str">
        <f t="shared" si="15"/>
        <v/>
      </c>
    </row>
    <row r="994" spans="1:1" x14ac:dyDescent="0.35">
      <c r="A994" t="str">
        <f t="shared" si="15"/>
        <v/>
      </c>
    </row>
    <row r="995" spans="1:1" x14ac:dyDescent="0.35">
      <c r="A995" t="str">
        <f t="shared" si="15"/>
        <v/>
      </c>
    </row>
    <row r="996" spans="1:1" x14ac:dyDescent="0.35">
      <c r="A996" t="str">
        <f t="shared" si="15"/>
        <v/>
      </c>
    </row>
    <row r="997" spans="1:1" x14ac:dyDescent="0.35">
      <c r="A997" t="str">
        <f t="shared" si="15"/>
        <v/>
      </c>
    </row>
    <row r="998" spans="1:1" x14ac:dyDescent="0.35">
      <c r="A998" t="str">
        <f t="shared" si="15"/>
        <v/>
      </c>
    </row>
    <row r="999" spans="1:1" x14ac:dyDescent="0.35">
      <c r="A999" t="str">
        <f t="shared" si="15"/>
        <v/>
      </c>
    </row>
    <row r="1000" spans="1:1" x14ac:dyDescent="0.35">
      <c r="A1000" t="str">
        <f t="shared" si="15"/>
        <v/>
      </c>
    </row>
    <row r="1001" spans="1:1" x14ac:dyDescent="0.35">
      <c r="A1001" t="str">
        <f t="shared" si="15"/>
        <v/>
      </c>
    </row>
    <row r="1002" spans="1:1" x14ac:dyDescent="0.35">
      <c r="A1002" t="str">
        <f t="shared" si="15"/>
        <v/>
      </c>
    </row>
    <row r="1003" spans="1:1" x14ac:dyDescent="0.35">
      <c r="A1003" t="str">
        <f t="shared" si="15"/>
        <v/>
      </c>
    </row>
    <row r="1004" spans="1:1" x14ac:dyDescent="0.35">
      <c r="A1004" t="str">
        <f t="shared" si="15"/>
        <v/>
      </c>
    </row>
    <row r="1005" spans="1:1" x14ac:dyDescent="0.35">
      <c r="A1005" t="str">
        <f t="shared" si="15"/>
        <v/>
      </c>
    </row>
    <row r="1006" spans="1:1" x14ac:dyDescent="0.35">
      <c r="A1006" t="str">
        <f t="shared" si="15"/>
        <v/>
      </c>
    </row>
    <row r="1007" spans="1:1" x14ac:dyDescent="0.35">
      <c r="A1007" t="str">
        <f t="shared" si="15"/>
        <v/>
      </c>
    </row>
    <row r="1008" spans="1:1" x14ac:dyDescent="0.35">
      <c r="A1008" t="str">
        <f t="shared" si="15"/>
        <v/>
      </c>
    </row>
    <row r="1009" spans="1:1" x14ac:dyDescent="0.35">
      <c r="A1009" t="str">
        <f t="shared" si="15"/>
        <v/>
      </c>
    </row>
    <row r="1010" spans="1:1" x14ac:dyDescent="0.35">
      <c r="A1010" t="str">
        <f t="shared" si="15"/>
        <v/>
      </c>
    </row>
    <row r="1011" spans="1:1" x14ac:dyDescent="0.35">
      <c r="A1011" t="str">
        <f t="shared" si="15"/>
        <v/>
      </c>
    </row>
    <row r="1012" spans="1:1" x14ac:dyDescent="0.35">
      <c r="A1012" t="str">
        <f t="shared" si="15"/>
        <v/>
      </c>
    </row>
    <row r="1013" spans="1:1" x14ac:dyDescent="0.35">
      <c r="A1013" t="str">
        <f t="shared" si="15"/>
        <v/>
      </c>
    </row>
    <row r="1014" spans="1:1" x14ac:dyDescent="0.35">
      <c r="A1014" t="str">
        <f t="shared" si="15"/>
        <v/>
      </c>
    </row>
    <row r="1015" spans="1:1" x14ac:dyDescent="0.35">
      <c r="A1015" t="str">
        <f t="shared" si="15"/>
        <v/>
      </c>
    </row>
    <row r="1016" spans="1:1" x14ac:dyDescent="0.35">
      <c r="A1016" t="str">
        <f t="shared" si="15"/>
        <v/>
      </c>
    </row>
    <row r="1017" spans="1:1" x14ac:dyDescent="0.35">
      <c r="A1017" t="str">
        <f t="shared" si="15"/>
        <v/>
      </c>
    </row>
    <row r="1018" spans="1:1" x14ac:dyDescent="0.35">
      <c r="A1018" t="str">
        <f t="shared" si="15"/>
        <v/>
      </c>
    </row>
    <row r="1019" spans="1:1" x14ac:dyDescent="0.35">
      <c r="A1019" t="str">
        <f t="shared" si="15"/>
        <v/>
      </c>
    </row>
    <row r="1020" spans="1:1" x14ac:dyDescent="0.35">
      <c r="A1020" t="str">
        <f t="shared" si="15"/>
        <v/>
      </c>
    </row>
    <row r="1021" spans="1:1" x14ac:dyDescent="0.35">
      <c r="A1021" t="str">
        <f t="shared" si="15"/>
        <v/>
      </c>
    </row>
    <row r="1022" spans="1:1" x14ac:dyDescent="0.35">
      <c r="A1022" t="str">
        <f t="shared" si="15"/>
        <v/>
      </c>
    </row>
    <row r="1023" spans="1:1" x14ac:dyDescent="0.35">
      <c r="A1023" t="str">
        <f t="shared" si="15"/>
        <v/>
      </c>
    </row>
    <row r="1024" spans="1:1" x14ac:dyDescent="0.35">
      <c r="A1024" t="str">
        <f t="shared" si="15"/>
        <v/>
      </c>
    </row>
    <row r="1025" spans="1:1" x14ac:dyDescent="0.35">
      <c r="A1025" t="str">
        <f t="shared" si="15"/>
        <v/>
      </c>
    </row>
    <row r="1026" spans="1:1" x14ac:dyDescent="0.35">
      <c r="A1026" t="str">
        <f t="shared" si="15"/>
        <v/>
      </c>
    </row>
    <row r="1027" spans="1:1" x14ac:dyDescent="0.35">
      <c r="A1027" t="str">
        <f t="shared" ref="A1027:A1090" si="16">C1027&amp;D1027&amp;E1027&amp;G1027&amp;H1027&amp;I1027</f>
        <v/>
      </c>
    </row>
    <row r="1028" spans="1:1" x14ac:dyDescent="0.35">
      <c r="A1028" t="str">
        <f t="shared" si="16"/>
        <v/>
      </c>
    </row>
    <row r="1029" spans="1:1" x14ac:dyDescent="0.35">
      <c r="A1029" t="str">
        <f t="shared" si="16"/>
        <v/>
      </c>
    </row>
    <row r="1030" spans="1:1" x14ac:dyDescent="0.35">
      <c r="A1030" t="str">
        <f t="shared" si="16"/>
        <v/>
      </c>
    </row>
    <row r="1031" spans="1:1" x14ac:dyDescent="0.35">
      <c r="A1031" t="str">
        <f t="shared" si="16"/>
        <v/>
      </c>
    </row>
    <row r="1032" spans="1:1" x14ac:dyDescent="0.35">
      <c r="A1032" t="str">
        <f t="shared" si="16"/>
        <v/>
      </c>
    </row>
    <row r="1033" spans="1:1" x14ac:dyDescent="0.35">
      <c r="A1033" t="str">
        <f t="shared" si="16"/>
        <v/>
      </c>
    </row>
    <row r="1034" spans="1:1" x14ac:dyDescent="0.35">
      <c r="A1034" t="str">
        <f t="shared" si="16"/>
        <v/>
      </c>
    </row>
    <row r="1035" spans="1:1" x14ac:dyDescent="0.35">
      <c r="A1035" t="str">
        <f t="shared" si="16"/>
        <v/>
      </c>
    </row>
    <row r="1036" spans="1:1" x14ac:dyDescent="0.35">
      <c r="A1036" t="str">
        <f t="shared" si="16"/>
        <v/>
      </c>
    </row>
    <row r="1037" spans="1:1" x14ac:dyDescent="0.35">
      <c r="A1037" t="str">
        <f t="shared" si="16"/>
        <v/>
      </c>
    </row>
    <row r="1038" spans="1:1" x14ac:dyDescent="0.35">
      <c r="A1038" t="str">
        <f t="shared" si="16"/>
        <v/>
      </c>
    </row>
    <row r="1039" spans="1:1" x14ac:dyDescent="0.35">
      <c r="A1039" t="str">
        <f t="shared" si="16"/>
        <v/>
      </c>
    </row>
    <row r="1040" spans="1:1" x14ac:dyDescent="0.35">
      <c r="A1040" t="str">
        <f t="shared" si="16"/>
        <v/>
      </c>
    </row>
    <row r="1041" spans="1:1" x14ac:dyDescent="0.35">
      <c r="A1041" t="str">
        <f t="shared" si="16"/>
        <v/>
      </c>
    </row>
    <row r="1042" spans="1:1" x14ac:dyDescent="0.35">
      <c r="A1042" t="str">
        <f t="shared" si="16"/>
        <v/>
      </c>
    </row>
    <row r="1043" spans="1:1" x14ac:dyDescent="0.35">
      <c r="A1043" t="str">
        <f t="shared" si="16"/>
        <v/>
      </c>
    </row>
    <row r="1044" spans="1:1" x14ac:dyDescent="0.35">
      <c r="A1044" t="str">
        <f t="shared" si="16"/>
        <v/>
      </c>
    </row>
    <row r="1045" spans="1:1" x14ac:dyDescent="0.35">
      <c r="A1045" t="str">
        <f t="shared" si="16"/>
        <v/>
      </c>
    </row>
    <row r="1046" spans="1:1" x14ac:dyDescent="0.35">
      <c r="A1046" t="str">
        <f t="shared" si="16"/>
        <v/>
      </c>
    </row>
    <row r="1047" spans="1:1" x14ac:dyDescent="0.35">
      <c r="A1047" t="str">
        <f t="shared" si="16"/>
        <v/>
      </c>
    </row>
    <row r="1048" spans="1:1" x14ac:dyDescent="0.35">
      <c r="A1048" t="str">
        <f t="shared" si="16"/>
        <v/>
      </c>
    </row>
    <row r="1049" spans="1:1" x14ac:dyDescent="0.35">
      <c r="A1049" t="str">
        <f t="shared" si="16"/>
        <v/>
      </c>
    </row>
    <row r="1050" spans="1:1" x14ac:dyDescent="0.35">
      <c r="A1050" t="str">
        <f t="shared" si="16"/>
        <v/>
      </c>
    </row>
    <row r="1051" spans="1:1" x14ac:dyDescent="0.35">
      <c r="A1051" t="str">
        <f t="shared" si="16"/>
        <v/>
      </c>
    </row>
    <row r="1052" spans="1:1" x14ac:dyDescent="0.35">
      <c r="A1052" t="str">
        <f t="shared" si="16"/>
        <v/>
      </c>
    </row>
    <row r="1053" spans="1:1" x14ac:dyDescent="0.35">
      <c r="A1053" t="str">
        <f t="shared" si="16"/>
        <v/>
      </c>
    </row>
    <row r="1054" spans="1:1" x14ac:dyDescent="0.35">
      <c r="A1054" t="str">
        <f t="shared" si="16"/>
        <v/>
      </c>
    </row>
    <row r="1055" spans="1:1" x14ac:dyDescent="0.35">
      <c r="A1055" t="str">
        <f t="shared" si="16"/>
        <v/>
      </c>
    </row>
    <row r="1056" spans="1:1" x14ac:dyDescent="0.35">
      <c r="A1056" t="str">
        <f t="shared" si="16"/>
        <v/>
      </c>
    </row>
    <row r="1057" spans="1:1" x14ac:dyDescent="0.35">
      <c r="A1057" t="str">
        <f t="shared" si="16"/>
        <v/>
      </c>
    </row>
    <row r="1058" spans="1:1" x14ac:dyDescent="0.35">
      <c r="A1058" t="str">
        <f t="shared" si="16"/>
        <v/>
      </c>
    </row>
    <row r="1059" spans="1:1" x14ac:dyDescent="0.35">
      <c r="A1059" t="str">
        <f t="shared" si="16"/>
        <v/>
      </c>
    </row>
    <row r="1060" spans="1:1" x14ac:dyDescent="0.35">
      <c r="A1060" t="str">
        <f t="shared" si="16"/>
        <v/>
      </c>
    </row>
    <row r="1061" spans="1:1" x14ac:dyDescent="0.35">
      <c r="A1061" t="str">
        <f t="shared" si="16"/>
        <v/>
      </c>
    </row>
    <row r="1062" spans="1:1" x14ac:dyDescent="0.35">
      <c r="A1062" t="str">
        <f t="shared" si="16"/>
        <v/>
      </c>
    </row>
    <row r="1063" spans="1:1" x14ac:dyDescent="0.35">
      <c r="A1063" t="str">
        <f t="shared" si="16"/>
        <v/>
      </c>
    </row>
    <row r="1064" spans="1:1" x14ac:dyDescent="0.35">
      <c r="A1064" t="str">
        <f t="shared" si="16"/>
        <v/>
      </c>
    </row>
    <row r="1065" spans="1:1" x14ac:dyDescent="0.35">
      <c r="A1065" t="str">
        <f t="shared" si="16"/>
        <v/>
      </c>
    </row>
    <row r="1066" spans="1:1" x14ac:dyDescent="0.35">
      <c r="A1066" t="str">
        <f t="shared" si="16"/>
        <v/>
      </c>
    </row>
    <row r="1067" spans="1:1" x14ac:dyDescent="0.35">
      <c r="A1067" t="str">
        <f t="shared" si="16"/>
        <v/>
      </c>
    </row>
    <row r="1068" spans="1:1" x14ac:dyDescent="0.35">
      <c r="A1068" t="str">
        <f t="shared" si="16"/>
        <v/>
      </c>
    </row>
    <row r="1069" spans="1:1" x14ac:dyDescent="0.35">
      <c r="A1069" t="str">
        <f t="shared" si="16"/>
        <v/>
      </c>
    </row>
    <row r="1070" spans="1:1" x14ac:dyDescent="0.35">
      <c r="A1070" t="str">
        <f t="shared" si="16"/>
        <v/>
      </c>
    </row>
    <row r="1071" spans="1:1" x14ac:dyDescent="0.35">
      <c r="A1071" t="str">
        <f t="shared" si="16"/>
        <v/>
      </c>
    </row>
    <row r="1072" spans="1:1" x14ac:dyDescent="0.35">
      <c r="A1072" t="str">
        <f t="shared" si="16"/>
        <v/>
      </c>
    </row>
    <row r="1073" spans="1:1" x14ac:dyDescent="0.35">
      <c r="A1073" t="str">
        <f t="shared" si="16"/>
        <v/>
      </c>
    </row>
    <row r="1074" spans="1:1" x14ac:dyDescent="0.35">
      <c r="A1074" t="str">
        <f t="shared" si="16"/>
        <v/>
      </c>
    </row>
    <row r="1075" spans="1:1" x14ac:dyDescent="0.35">
      <c r="A1075" t="str">
        <f t="shared" si="16"/>
        <v/>
      </c>
    </row>
    <row r="1076" spans="1:1" x14ac:dyDescent="0.35">
      <c r="A1076" t="str">
        <f t="shared" si="16"/>
        <v/>
      </c>
    </row>
    <row r="1077" spans="1:1" x14ac:dyDescent="0.35">
      <c r="A1077" t="str">
        <f t="shared" si="16"/>
        <v/>
      </c>
    </row>
    <row r="1078" spans="1:1" x14ac:dyDescent="0.35">
      <c r="A1078" t="str">
        <f t="shared" si="16"/>
        <v/>
      </c>
    </row>
    <row r="1079" spans="1:1" x14ac:dyDescent="0.35">
      <c r="A1079" t="str">
        <f t="shared" si="16"/>
        <v/>
      </c>
    </row>
    <row r="1080" spans="1:1" x14ac:dyDescent="0.35">
      <c r="A1080" t="str">
        <f t="shared" si="16"/>
        <v/>
      </c>
    </row>
    <row r="1081" spans="1:1" x14ac:dyDescent="0.35">
      <c r="A1081" t="str">
        <f t="shared" si="16"/>
        <v/>
      </c>
    </row>
    <row r="1082" spans="1:1" x14ac:dyDescent="0.35">
      <c r="A1082" t="str">
        <f t="shared" si="16"/>
        <v/>
      </c>
    </row>
    <row r="1083" spans="1:1" x14ac:dyDescent="0.35">
      <c r="A1083" t="str">
        <f t="shared" si="16"/>
        <v/>
      </c>
    </row>
    <row r="1084" spans="1:1" x14ac:dyDescent="0.35">
      <c r="A1084" t="str">
        <f t="shared" si="16"/>
        <v/>
      </c>
    </row>
    <row r="1085" spans="1:1" x14ac:dyDescent="0.35">
      <c r="A1085" t="str">
        <f t="shared" si="16"/>
        <v/>
      </c>
    </row>
    <row r="1086" spans="1:1" x14ac:dyDescent="0.35">
      <c r="A1086" t="str">
        <f t="shared" si="16"/>
        <v/>
      </c>
    </row>
    <row r="1087" spans="1:1" x14ac:dyDescent="0.35">
      <c r="A1087" t="str">
        <f t="shared" si="16"/>
        <v/>
      </c>
    </row>
    <row r="1088" spans="1:1" x14ac:dyDescent="0.35">
      <c r="A1088" t="str">
        <f t="shared" si="16"/>
        <v/>
      </c>
    </row>
    <row r="1089" spans="1:1" x14ac:dyDescent="0.35">
      <c r="A1089" t="str">
        <f t="shared" si="16"/>
        <v/>
      </c>
    </row>
    <row r="1090" spans="1:1" x14ac:dyDescent="0.35">
      <c r="A1090" t="str">
        <f t="shared" si="16"/>
        <v/>
      </c>
    </row>
    <row r="1091" spans="1:1" x14ac:dyDescent="0.35">
      <c r="A1091" t="str">
        <f t="shared" ref="A1091:A1154" si="17">C1091&amp;D1091&amp;E1091&amp;G1091&amp;H1091&amp;I1091</f>
        <v/>
      </c>
    </row>
    <row r="1092" spans="1:1" x14ac:dyDescent="0.35">
      <c r="A1092" t="str">
        <f t="shared" si="17"/>
        <v/>
      </c>
    </row>
    <row r="1093" spans="1:1" x14ac:dyDescent="0.35">
      <c r="A1093" t="str">
        <f t="shared" si="17"/>
        <v/>
      </c>
    </row>
    <row r="1094" spans="1:1" x14ac:dyDescent="0.35">
      <c r="A1094" t="str">
        <f t="shared" si="17"/>
        <v/>
      </c>
    </row>
    <row r="1095" spans="1:1" x14ac:dyDescent="0.35">
      <c r="A1095" t="str">
        <f t="shared" si="17"/>
        <v/>
      </c>
    </row>
    <row r="1096" spans="1:1" x14ac:dyDescent="0.35">
      <c r="A1096" t="str">
        <f t="shared" si="17"/>
        <v/>
      </c>
    </row>
    <row r="1097" spans="1:1" x14ac:dyDescent="0.35">
      <c r="A1097" t="str">
        <f t="shared" si="17"/>
        <v/>
      </c>
    </row>
    <row r="1098" spans="1:1" x14ac:dyDescent="0.35">
      <c r="A1098" t="str">
        <f t="shared" si="17"/>
        <v/>
      </c>
    </row>
    <row r="1099" spans="1:1" x14ac:dyDescent="0.35">
      <c r="A1099" t="str">
        <f t="shared" si="17"/>
        <v/>
      </c>
    </row>
    <row r="1100" spans="1:1" x14ac:dyDescent="0.35">
      <c r="A1100" t="str">
        <f t="shared" si="17"/>
        <v/>
      </c>
    </row>
    <row r="1101" spans="1:1" x14ac:dyDescent="0.35">
      <c r="A1101" t="str">
        <f t="shared" si="17"/>
        <v/>
      </c>
    </row>
    <row r="1102" spans="1:1" x14ac:dyDescent="0.35">
      <c r="A1102" t="str">
        <f t="shared" si="17"/>
        <v/>
      </c>
    </row>
    <row r="1103" spans="1:1" x14ac:dyDescent="0.35">
      <c r="A1103" t="str">
        <f t="shared" si="17"/>
        <v/>
      </c>
    </row>
    <row r="1104" spans="1:1" x14ac:dyDescent="0.35">
      <c r="A1104" t="str">
        <f t="shared" si="17"/>
        <v/>
      </c>
    </row>
    <row r="1105" spans="1:1" x14ac:dyDescent="0.35">
      <c r="A1105" t="str">
        <f t="shared" si="17"/>
        <v/>
      </c>
    </row>
    <row r="1106" spans="1:1" x14ac:dyDescent="0.35">
      <c r="A1106" t="str">
        <f t="shared" si="17"/>
        <v/>
      </c>
    </row>
    <row r="1107" spans="1:1" x14ac:dyDescent="0.35">
      <c r="A1107" t="str">
        <f t="shared" si="17"/>
        <v/>
      </c>
    </row>
    <row r="1108" spans="1:1" x14ac:dyDescent="0.35">
      <c r="A1108" t="str">
        <f t="shared" si="17"/>
        <v/>
      </c>
    </row>
    <row r="1109" spans="1:1" x14ac:dyDescent="0.35">
      <c r="A1109" t="str">
        <f t="shared" si="17"/>
        <v/>
      </c>
    </row>
    <row r="1110" spans="1:1" x14ac:dyDescent="0.35">
      <c r="A1110" t="str">
        <f t="shared" si="17"/>
        <v/>
      </c>
    </row>
    <row r="1111" spans="1:1" x14ac:dyDescent="0.35">
      <c r="A1111" t="str">
        <f t="shared" si="17"/>
        <v/>
      </c>
    </row>
    <row r="1112" spans="1:1" x14ac:dyDescent="0.35">
      <c r="A1112" t="str">
        <f t="shared" si="17"/>
        <v/>
      </c>
    </row>
    <row r="1113" spans="1:1" x14ac:dyDescent="0.35">
      <c r="A1113" t="str">
        <f t="shared" si="17"/>
        <v/>
      </c>
    </row>
    <row r="1114" spans="1:1" x14ac:dyDescent="0.35">
      <c r="A1114" t="str">
        <f t="shared" si="17"/>
        <v/>
      </c>
    </row>
    <row r="1115" spans="1:1" x14ac:dyDescent="0.35">
      <c r="A1115" t="str">
        <f t="shared" si="17"/>
        <v/>
      </c>
    </row>
    <row r="1116" spans="1:1" x14ac:dyDescent="0.35">
      <c r="A1116" t="str">
        <f t="shared" si="17"/>
        <v/>
      </c>
    </row>
    <row r="1117" spans="1:1" x14ac:dyDescent="0.35">
      <c r="A1117" t="str">
        <f t="shared" si="17"/>
        <v/>
      </c>
    </row>
    <row r="1118" spans="1:1" x14ac:dyDescent="0.35">
      <c r="A1118" t="str">
        <f t="shared" si="17"/>
        <v/>
      </c>
    </row>
    <row r="1119" spans="1:1" x14ac:dyDescent="0.35">
      <c r="A1119" t="str">
        <f t="shared" si="17"/>
        <v/>
      </c>
    </row>
    <row r="1120" spans="1:1" x14ac:dyDescent="0.35">
      <c r="A1120" t="str">
        <f t="shared" si="17"/>
        <v/>
      </c>
    </row>
    <row r="1121" spans="1:1" x14ac:dyDescent="0.35">
      <c r="A1121" t="str">
        <f t="shared" si="17"/>
        <v/>
      </c>
    </row>
    <row r="1122" spans="1:1" x14ac:dyDescent="0.35">
      <c r="A1122" t="str">
        <f t="shared" si="17"/>
        <v/>
      </c>
    </row>
    <row r="1123" spans="1:1" x14ac:dyDescent="0.35">
      <c r="A1123" t="str">
        <f t="shared" si="17"/>
        <v/>
      </c>
    </row>
    <row r="1124" spans="1:1" x14ac:dyDescent="0.35">
      <c r="A1124" t="str">
        <f t="shared" si="17"/>
        <v/>
      </c>
    </row>
    <row r="1125" spans="1:1" x14ac:dyDescent="0.35">
      <c r="A1125" t="str">
        <f t="shared" si="17"/>
        <v/>
      </c>
    </row>
    <row r="1126" spans="1:1" x14ac:dyDescent="0.35">
      <c r="A1126" t="str">
        <f t="shared" si="17"/>
        <v/>
      </c>
    </row>
    <row r="1127" spans="1:1" x14ac:dyDescent="0.35">
      <c r="A1127" t="str">
        <f t="shared" si="17"/>
        <v/>
      </c>
    </row>
    <row r="1128" spans="1:1" x14ac:dyDescent="0.35">
      <c r="A1128" t="str">
        <f t="shared" si="17"/>
        <v/>
      </c>
    </row>
    <row r="1129" spans="1:1" x14ac:dyDescent="0.35">
      <c r="A1129" t="str">
        <f t="shared" si="17"/>
        <v/>
      </c>
    </row>
    <row r="1130" spans="1:1" x14ac:dyDescent="0.35">
      <c r="A1130" t="str">
        <f t="shared" si="17"/>
        <v/>
      </c>
    </row>
    <row r="1131" spans="1:1" x14ac:dyDescent="0.35">
      <c r="A1131" t="str">
        <f t="shared" si="17"/>
        <v/>
      </c>
    </row>
    <row r="1132" spans="1:1" x14ac:dyDescent="0.35">
      <c r="A1132" t="str">
        <f t="shared" si="17"/>
        <v/>
      </c>
    </row>
    <row r="1133" spans="1:1" x14ac:dyDescent="0.35">
      <c r="A1133" t="str">
        <f t="shared" si="17"/>
        <v/>
      </c>
    </row>
    <row r="1134" spans="1:1" x14ac:dyDescent="0.35">
      <c r="A1134" t="str">
        <f t="shared" si="17"/>
        <v/>
      </c>
    </row>
    <row r="1135" spans="1:1" x14ac:dyDescent="0.35">
      <c r="A1135" t="str">
        <f t="shared" si="17"/>
        <v/>
      </c>
    </row>
    <row r="1136" spans="1:1" x14ac:dyDescent="0.35">
      <c r="A1136" t="str">
        <f t="shared" si="17"/>
        <v/>
      </c>
    </row>
    <row r="1137" spans="1:1" x14ac:dyDescent="0.35">
      <c r="A1137" t="str">
        <f t="shared" si="17"/>
        <v/>
      </c>
    </row>
    <row r="1138" spans="1:1" x14ac:dyDescent="0.35">
      <c r="A1138" t="str">
        <f t="shared" si="17"/>
        <v/>
      </c>
    </row>
    <row r="1139" spans="1:1" x14ac:dyDescent="0.35">
      <c r="A1139" t="str">
        <f t="shared" si="17"/>
        <v/>
      </c>
    </row>
    <row r="1140" spans="1:1" x14ac:dyDescent="0.35">
      <c r="A1140" t="str">
        <f t="shared" si="17"/>
        <v/>
      </c>
    </row>
    <row r="1141" spans="1:1" x14ac:dyDescent="0.35">
      <c r="A1141" t="str">
        <f t="shared" si="17"/>
        <v/>
      </c>
    </row>
    <row r="1142" spans="1:1" x14ac:dyDescent="0.35">
      <c r="A1142" t="str">
        <f t="shared" si="17"/>
        <v/>
      </c>
    </row>
    <row r="1143" spans="1:1" x14ac:dyDescent="0.35">
      <c r="A1143" t="str">
        <f t="shared" si="17"/>
        <v/>
      </c>
    </row>
    <row r="1144" spans="1:1" x14ac:dyDescent="0.35">
      <c r="A1144" t="str">
        <f t="shared" si="17"/>
        <v/>
      </c>
    </row>
    <row r="1145" spans="1:1" x14ac:dyDescent="0.35">
      <c r="A1145" t="str">
        <f t="shared" si="17"/>
        <v/>
      </c>
    </row>
    <row r="1146" spans="1:1" x14ac:dyDescent="0.35">
      <c r="A1146" t="str">
        <f t="shared" si="17"/>
        <v/>
      </c>
    </row>
    <row r="1147" spans="1:1" x14ac:dyDescent="0.35">
      <c r="A1147" t="str">
        <f t="shared" si="17"/>
        <v/>
      </c>
    </row>
    <row r="1148" spans="1:1" x14ac:dyDescent="0.35">
      <c r="A1148" t="str">
        <f t="shared" si="17"/>
        <v/>
      </c>
    </row>
    <row r="1149" spans="1:1" x14ac:dyDescent="0.35">
      <c r="A1149" t="str">
        <f t="shared" si="17"/>
        <v/>
      </c>
    </row>
    <row r="1150" spans="1:1" x14ac:dyDescent="0.35">
      <c r="A1150" t="str">
        <f t="shared" si="17"/>
        <v/>
      </c>
    </row>
    <row r="1151" spans="1:1" x14ac:dyDescent="0.35">
      <c r="A1151" t="str">
        <f t="shared" si="17"/>
        <v/>
      </c>
    </row>
    <row r="1152" spans="1:1" x14ac:dyDescent="0.35">
      <c r="A1152" t="str">
        <f t="shared" si="17"/>
        <v/>
      </c>
    </row>
    <row r="1153" spans="1:1" x14ac:dyDescent="0.35">
      <c r="A1153" t="str">
        <f t="shared" si="17"/>
        <v/>
      </c>
    </row>
    <row r="1154" spans="1:1" x14ac:dyDescent="0.35">
      <c r="A1154" t="str">
        <f t="shared" si="17"/>
        <v/>
      </c>
    </row>
    <row r="1155" spans="1:1" x14ac:dyDescent="0.35">
      <c r="A1155" t="str">
        <f t="shared" ref="A1155:A1218" si="18">C1155&amp;D1155&amp;E1155&amp;G1155&amp;H1155&amp;I1155</f>
        <v/>
      </c>
    </row>
    <row r="1156" spans="1:1" x14ac:dyDescent="0.35">
      <c r="A1156" t="str">
        <f t="shared" si="18"/>
        <v/>
      </c>
    </row>
    <row r="1157" spans="1:1" x14ac:dyDescent="0.35">
      <c r="A1157" t="str">
        <f t="shared" si="18"/>
        <v/>
      </c>
    </row>
    <row r="1158" spans="1:1" x14ac:dyDescent="0.35">
      <c r="A1158" t="str">
        <f t="shared" si="18"/>
        <v/>
      </c>
    </row>
    <row r="1159" spans="1:1" x14ac:dyDescent="0.35">
      <c r="A1159" t="str">
        <f t="shared" si="18"/>
        <v/>
      </c>
    </row>
    <row r="1160" spans="1:1" x14ac:dyDescent="0.35">
      <c r="A1160" t="str">
        <f t="shared" si="18"/>
        <v/>
      </c>
    </row>
    <row r="1161" spans="1:1" x14ac:dyDescent="0.35">
      <c r="A1161" t="str">
        <f t="shared" si="18"/>
        <v/>
      </c>
    </row>
    <row r="1162" spans="1:1" x14ac:dyDescent="0.35">
      <c r="A1162" t="str">
        <f t="shared" si="18"/>
        <v/>
      </c>
    </row>
    <row r="1163" spans="1:1" x14ac:dyDescent="0.35">
      <c r="A1163" t="str">
        <f t="shared" si="18"/>
        <v/>
      </c>
    </row>
    <row r="1164" spans="1:1" x14ac:dyDescent="0.35">
      <c r="A1164" t="str">
        <f t="shared" si="18"/>
        <v/>
      </c>
    </row>
    <row r="1165" spans="1:1" x14ac:dyDescent="0.35">
      <c r="A1165" t="str">
        <f t="shared" si="18"/>
        <v/>
      </c>
    </row>
    <row r="1166" spans="1:1" x14ac:dyDescent="0.35">
      <c r="A1166" t="str">
        <f t="shared" si="18"/>
        <v/>
      </c>
    </row>
    <row r="1167" spans="1:1" x14ac:dyDescent="0.35">
      <c r="A1167" t="str">
        <f t="shared" si="18"/>
        <v/>
      </c>
    </row>
    <row r="1168" spans="1:1" x14ac:dyDescent="0.35">
      <c r="A1168" t="str">
        <f t="shared" si="18"/>
        <v/>
      </c>
    </row>
    <row r="1169" spans="1:1" x14ac:dyDescent="0.35">
      <c r="A1169" t="str">
        <f t="shared" si="18"/>
        <v/>
      </c>
    </row>
    <row r="1170" spans="1:1" x14ac:dyDescent="0.35">
      <c r="A1170" t="str">
        <f t="shared" si="18"/>
        <v/>
      </c>
    </row>
    <row r="1171" spans="1:1" x14ac:dyDescent="0.35">
      <c r="A1171" t="str">
        <f t="shared" si="18"/>
        <v/>
      </c>
    </row>
    <row r="1172" spans="1:1" x14ac:dyDescent="0.35">
      <c r="A1172" t="str">
        <f t="shared" si="18"/>
        <v/>
      </c>
    </row>
    <row r="1173" spans="1:1" x14ac:dyDescent="0.35">
      <c r="A1173" t="str">
        <f t="shared" si="18"/>
        <v/>
      </c>
    </row>
    <row r="1174" spans="1:1" x14ac:dyDescent="0.35">
      <c r="A1174" t="str">
        <f t="shared" si="18"/>
        <v/>
      </c>
    </row>
    <row r="1175" spans="1:1" x14ac:dyDescent="0.35">
      <c r="A1175" t="str">
        <f t="shared" si="18"/>
        <v/>
      </c>
    </row>
    <row r="1176" spans="1:1" x14ac:dyDescent="0.35">
      <c r="A1176" t="str">
        <f t="shared" si="18"/>
        <v/>
      </c>
    </row>
    <row r="1177" spans="1:1" x14ac:dyDescent="0.35">
      <c r="A1177" t="str">
        <f t="shared" si="18"/>
        <v/>
      </c>
    </row>
    <row r="1178" spans="1:1" x14ac:dyDescent="0.35">
      <c r="A1178" t="str">
        <f t="shared" si="18"/>
        <v/>
      </c>
    </row>
    <row r="1179" spans="1:1" x14ac:dyDescent="0.35">
      <c r="A1179" t="str">
        <f t="shared" si="18"/>
        <v/>
      </c>
    </row>
    <row r="1180" spans="1:1" x14ac:dyDescent="0.35">
      <c r="A1180" t="str">
        <f t="shared" si="18"/>
        <v/>
      </c>
    </row>
    <row r="1181" spans="1:1" x14ac:dyDescent="0.35">
      <c r="A1181" t="str">
        <f t="shared" si="18"/>
        <v/>
      </c>
    </row>
    <row r="1182" spans="1:1" x14ac:dyDescent="0.35">
      <c r="A1182" t="str">
        <f t="shared" si="18"/>
        <v/>
      </c>
    </row>
    <row r="1183" spans="1:1" x14ac:dyDescent="0.35">
      <c r="A1183" t="str">
        <f t="shared" si="18"/>
        <v/>
      </c>
    </row>
    <row r="1184" spans="1:1" x14ac:dyDescent="0.35">
      <c r="A1184" t="str">
        <f t="shared" si="18"/>
        <v/>
      </c>
    </row>
    <row r="1185" spans="1:1" x14ac:dyDescent="0.35">
      <c r="A1185" t="str">
        <f t="shared" si="18"/>
        <v/>
      </c>
    </row>
    <row r="1186" spans="1:1" x14ac:dyDescent="0.35">
      <c r="A1186" t="str">
        <f t="shared" si="18"/>
        <v/>
      </c>
    </row>
    <row r="1187" spans="1:1" x14ac:dyDescent="0.35">
      <c r="A1187" t="str">
        <f t="shared" si="18"/>
        <v/>
      </c>
    </row>
    <row r="1188" spans="1:1" x14ac:dyDescent="0.35">
      <c r="A1188" t="str">
        <f t="shared" si="18"/>
        <v/>
      </c>
    </row>
    <row r="1189" spans="1:1" x14ac:dyDescent="0.35">
      <c r="A1189" t="str">
        <f t="shared" si="18"/>
        <v/>
      </c>
    </row>
    <row r="1190" spans="1:1" x14ac:dyDescent="0.35">
      <c r="A1190" t="str">
        <f t="shared" si="18"/>
        <v/>
      </c>
    </row>
    <row r="1191" spans="1:1" x14ac:dyDescent="0.35">
      <c r="A1191" t="str">
        <f t="shared" si="18"/>
        <v/>
      </c>
    </row>
    <row r="1192" spans="1:1" x14ac:dyDescent="0.35">
      <c r="A1192" t="str">
        <f t="shared" si="18"/>
        <v/>
      </c>
    </row>
    <row r="1193" spans="1:1" x14ac:dyDescent="0.35">
      <c r="A1193" t="str">
        <f t="shared" si="18"/>
        <v/>
      </c>
    </row>
    <row r="1194" spans="1:1" x14ac:dyDescent="0.35">
      <c r="A1194" t="str">
        <f t="shared" si="18"/>
        <v/>
      </c>
    </row>
    <row r="1195" spans="1:1" x14ac:dyDescent="0.35">
      <c r="A1195" t="str">
        <f t="shared" si="18"/>
        <v/>
      </c>
    </row>
    <row r="1196" spans="1:1" x14ac:dyDescent="0.35">
      <c r="A1196" t="str">
        <f t="shared" si="18"/>
        <v/>
      </c>
    </row>
    <row r="1197" spans="1:1" x14ac:dyDescent="0.35">
      <c r="A1197" t="str">
        <f t="shared" si="18"/>
        <v/>
      </c>
    </row>
    <row r="1198" spans="1:1" x14ac:dyDescent="0.35">
      <c r="A1198" t="str">
        <f t="shared" si="18"/>
        <v/>
      </c>
    </row>
    <row r="1199" spans="1:1" x14ac:dyDescent="0.35">
      <c r="A1199" t="str">
        <f t="shared" si="18"/>
        <v/>
      </c>
    </row>
    <row r="1200" spans="1:1" x14ac:dyDescent="0.35">
      <c r="A1200" t="str">
        <f t="shared" si="18"/>
        <v/>
      </c>
    </row>
    <row r="1201" spans="1:1" x14ac:dyDescent="0.35">
      <c r="A1201" t="str">
        <f t="shared" si="18"/>
        <v/>
      </c>
    </row>
    <row r="1202" spans="1:1" x14ac:dyDescent="0.35">
      <c r="A1202" t="str">
        <f t="shared" si="18"/>
        <v/>
      </c>
    </row>
    <row r="1203" spans="1:1" x14ac:dyDescent="0.35">
      <c r="A1203" t="str">
        <f t="shared" si="18"/>
        <v/>
      </c>
    </row>
    <row r="1204" spans="1:1" x14ac:dyDescent="0.35">
      <c r="A1204" t="str">
        <f t="shared" si="18"/>
        <v/>
      </c>
    </row>
    <row r="1205" spans="1:1" x14ac:dyDescent="0.35">
      <c r="A1205" t="str">
        <f t="shared" si="18"/>
        <v/>
      </c>
    </row>
    <row r="1206" spans="1:1" x14ac:dyDescent="0.35">
      <c r="A1206" t="str">
        <f t="shared" si="18"/>
        <v/>
      </c>
    </row>
    <row r="1207" spans="1:1" x14ac:dyDescent="0.35">
      <c r="A1207" t="str">
        <f t="shared" si="18"/>
        <v/>
      </c>
    </row>
    <row r="1208" spans="1:1" x14ac:dyDescent="0.35">
      <c r="A1208" t="str">
        <f t="shared" si="18"/>
        <v/>
      </c>
    </row>
    <row r="1209" spans="1:1" x14ac:dyDescent="0.35">
      <c r="A1209" t="str">
        <f t="shared" si="18"/>
        <v/>
      </c>
    </row>
    <row r="1210" spans="1:1" x14ac:dyDescent="0.35">
      <c r="A1210" t="str">
        <f t="shared" si="18"/>
        <v/>
      </c>
    </row>
    <row r="1211" spans="1:1" x14ac:dyDescent="0.35">
      <c r="A1211" t="str">
        <f t="shared" si="18"/>
        <v/>
      </c>
    </row>
    <row r="1212" spans="1:1" x14ac:dyDescent="0.35">
      <c r="A1212" t="str">
        <f t="shared" si="18"/>
        <v/>
      </c>
    </row>
    <row r="1213" spans="1:1" x14ac:dyDescent="0.35">
      <c r="A1213" t="str">
        <f t="shared" si="18"/>
        <v/>
      </c>
    </row>
    <row r="1214" spans="1:1" x14ac:dyDescent="0.35">
      <c r="A1214" t="str">
        <f t="shared" si="18"/>
        <v/>
      </c>
    </row>
    <row r="1215" spans="1:1" x14ac:dyDescent="0.35">
      <c r="A1215" t="str">
        <f t="shared" si="18"/>
        <v/>
      </c>
    </row>
    <row r="1216" spans="1:1" x14ac:dyDescent="0.35">
      <c r="A1216" t="str">
        <f t="shared" si="18"/>
        <v/>
      </c>
    </row>
    <row r="1217" spans="1:1" x14ac:dyDescent="0.35">
      <c r="A1217" t="str">
        <f t="shared" si="18"/>
        <v/>
      </c>
    </row>
    <row r="1218" spans="1:1" x14ac:dyDescent="0.35">
      <c r="A1218" t="str">
        <f t="shared" si="18"/>
        <v/>
      </c>
    </row>
    <row r="1219" spans="1:1" x14ac:dyDescent="0.35">
      <c r="A1219" t="str">
        <f t="shared" ref="A1219:A1282" si="19">C1219&amp;D1219&amp;E1219&amp;G1219&amp;H1219&amp;I1219</f>
        <v/>
      </c>
    </row>
    <row r="1220" spans="1:1" x14ac:dyDescent="0.35">
      <c r="A1220" t="str">
        <f t="shared" si="19"/>
        <v/>
      </c>
    </row>
    <row r="1221" spans="1:1" x14ac:dyDescent="0.35">
      <c r="A1221" t="str">
        <f t="shared" si="19"/>
        <v/>
      </c>
    </row>
    <row r="1222" spans="1:1" x14ac:dyDescent="0.35">
      <c r="A1222" t="str">
        <f t="shared" si="19"/>
        <v/>
      </c>
    </row>
    <row r="1223" spans="1:1" x14ac:dyDescent="0.35">
      <c r="A1223" t="str">
        <f t="shared" si="19"/>
        <v/>
      </c>
    </row>
    <row r="1224" spans="1:1" x14ac:dyDescent="0.35">
      <c r="A1224" t="str">
        <f t="shared" si="19"/>
        <v/>
      </c>
    </row>
    <row r="1225" spans="1:1" x14ac:dyDescent="0.35">
      <c r="A1225" t="str">
        <f t="shared" si="19"/>
        <v/>
      </c>
    </row>
    <row r="1226" spans="1:1" x14ac:dyDescent="0.35">
      <c r="A1226" t="str">
        <f t="shared" si="19"/>
        <v/>
      </c>
    </row>
    <row r="1227" spans="1:1" x14ac:dyDescent="0.35">
      <c r="A1227" t="str">
        <f t="shared" si="19"/>
        <v/>
      </c>
    </row>
    <row r="1228" spans="1:1" x14ac:dyDescent="0.35">
      <c r="A1228" t="str">
        <f t="shared" si="19"/>
        <v/>
      </c>
    </row>
    <row r="1229" spans="1:1" x14ac:dyDescent="0.35">
      <c r="A1229" t="str">
        <f t="shared" si="19"/>
        <v/>
      </c>
    </row>
    <row r="1230" spans="1:1" x14ac:dyDescent="0.35">
      <c r="A1230" t="str">
        <f t="shared" si="19"/>
        <v/>
      </c>
    </row>
    <row r="1231" spans="1:1" x14ac:dyDescent="0.35">
      <c r="A1231" t="str">
        <f t="shared" si="19"/>
        <v/>
      </c>
    </row>
    <row r="1232" spans="1:1" x14ac:dyDescent="0.35">
      <c r="A1232" t="str">
        <f t="shared" si="19"/>
        <v/>
      </c>
    </row>
    <row r="1233" spans="1:1" x14ac:dyDescent="0.35">
      <c r="A1233" t="str">
        <f t="shared" si="19"/>
        <v/>
      </c>
    </row>
    <row r="1234" spans="1:1" x14ac:dyDescent="0.35">
      <c r="A1234" t="str">
        <f t="shared" si="19"/>
        <v/>
      </c>
    </row>
    <row r="1235" spans="1:1" x14ac:dyDescent="0.35">
      <c r="A1235" t="str">
        <f t="shared" si="19"/>
        <v/>
      </c>
    </row>
    <row r="1236" spans="1:1" x14ac:dyDescent="0.35">
      <c r="A1236" t="str">
        <f t="shared" si="19"/>
        <v/>
      </c>
    </row>
    <row r="1237" spans="1:1" x14ac:dyDescent="0.35">
      <c r="A1237" t="str">
        <f t="shared" si="19"/>
        <v/>
      </c>
    </row>
    <row r="1238" spans="1:1" x14ac:dyDescent="0.35">
      <c r="A1238" t="str">
        <f t="shared" si="19"/>
        <v/>
      </c>
    </row>
    <row r="1239" spans="1:1" x14ac:dyDescent="0.35">
      <c r="A1239" t="str">
        <f t="shared" si="19"/>
        <v/>
      </c>
    </row>
    <row r="1240" spans="1:1" x14ac:dyDescent="0.35">
      <c r="A1240" t="str">
        <f t="shared" si="19"/>
        <v/>
      </c>
    </row>
    <row r="1241" spans="1:1" x14ac:dyDescent="0.35">
      <c r="A1241" t="str">
        <f t="shared" si="19"/>
        <v/>
      </c>
    </row>
    <row r="1242" spans="1:1" x14ac:dyDescent="0.35">
      <c r="A1242" t="str">
        <f t="shared" si="19"/>
        <v/>
      </c>
    </row>
    <row r="1243" spans="1:1" x14ac:dyDescent="0.35">
      <c r="A1243" t="str">
        <f t="shared" si="19"/>
        <v/>
      </c>
    </row>
    <row r="1244" spans="1:1" x14ac:dyDescent="0.35">
      <c r="A1244" t="str">
        <f t="shared" si="19"/>
        <v/>
      </c>
    </row>
    <row r="1245" spans="1:1" x14ac:dyDescent="0.35">
      <c r="A1245" t="str">
        <f t="shared" si="19"/>
        <v/>
      </c>
    </row>
    <row r="1246" spans="1:1" x14ac:dyDescent="0.35">
      <c r="A1246" t="str">
        <f t="shared" si="19"/>
        <v/>
      </c>
    </row>
    <row r="1247" spans="1:1" x14ac:dyDescent="0.35">
      <c r="A1247" t="str">
        <f t="shared" si="19"/>
        <v/>
      </c>
    </row>
    <row r="1248" spans="1:1" x14ac:dyDescent="0.35">
      <c r="A1248" t="str">
        <f t="shared" si="19"/>
        <v/>
      </c>
    </row>
    <row r="1249" spans="1:1" x14ac:dyDescent="0.35">
      <c r="A1249" t="str">
        <f t="shared" si="19"/>
        <v/>
      </c>
    </row>
    <row r="1250" spans="1:1" x14ac:dyDescent="0.35">
      <c r="A1250" t="str">
        <f t="shared" si="19"/>
        <v/>
      </c>
    </row>
    <row r="1251" spans="1:1" x14ac:dyDescent="0.35">
      <c r="A1251" t="str">
        <f t="shared" si="19"/>
        <v/>
      </c>
    </row>
    <row r="1252" spans="1:1" x14ac:dyDescent="0.35">
      <c r="A1252" t="str">
        <f t="shared" si="19"/>
        <v/>
      </c>
    </row>
    <row r="1253" spans="1:1" x14ac:dyDescent="0.35">
      <c r="A1253" t="str">
        <f t="shared" si="19"/>
        <v/>
      </c>
    </row>
    <row r="1254" spans="1:1" x14ac:dyDescent="0.35">
      <c r="A1254" t="str">
        <f t="shared" si="19"/>
        <v/>
      </c>
    </row>
    <row r="1255" spans="1:1" x14ac:dyDescent="0.35">
      <c r="A1255" t="str">
        <f t="shared" si="19"/>
        <v/>
      </c>
    </row>
    <row r="1256" spans="1:1" x14ac:dyDescent="0.35">
      <c r="A1256" t="str">
        <f t="shared" si="19"/>
        <v/>
      </c>
    </row>
    <row r="1257" spans="1:1" x14ac:dyDescent="0.35">
      <c r="A1257" t="str">
        <f t="shared" si="19"/>
        <v/>
      </c>
    </row>
    <row r="1258" spans="1:1" x14ac:dyDescent="0.35">
      <c r="A1258" t="str">
        <f t="shared" si="19"/>
        <v/>
      </c>
    </row>
    <row r="1259" spans="1:1" x14ac:dyDescent="0.35">
      <c r="A1259" t="str">
        <f t="shared" si="19"/>
        <v/>
      </c>
    </row>
    <row r="1260" spans="1:1" x14ac:dyDescent="0.35">
      <c r="A1260" t="str">
        <f t="shared" si="19"/>
        <v/>
      </c>
    </row>
    <row r="1261" spans="1:1" x14ac:dyDescent="0.35">
      <c r="A1261" t="str">
        <f t="shared" si="19"/>
        <v/>
      </c>
    </row>
    <row r="1262" spans="1:1" x14ac:dyDescent="0.35">
      <c r="A1262" t="str">
        <f t="shared" si="19"/>
        <v/>
      </c>
    </row>
    <row r="1263" spans="1:1" x14ac:dyDescent="0.35">
      <c r="A1263" t="str">
        <f t="shared" si="19"/>
        <v/>
      </c>
    </row>
    <row r="1264" spans="1:1" x14ac:dyDescent="0.35">
      <c r="A1264" t="str">
        <f t="shared" si="19"/>
        <v/>
      </c>
    </row>
    <row r="1265" spans="1:1" x14ac:dyDescent="0.35">
      <c r="A1265" t="str">
        <f t="shared" si="19"/>
        <v/>
      </c>
    </row>
    <row r="1266" spans="1:1" x14ac:dyDescent="0.35">
      <c r="A1266" t="str">
        <f t="shared" si="19"/>
        <v/>
      </c>
    </row>
    <row r="1267" spans="1:1" x14ac:dyDescent="0.35">
      <c r="A1267" t="str">
        <f t="shared" si="19"/>
        <v/>
      </c>
    </row>
    <row r="1268" spans="1:1" x14ac:dyDescent="0.35">
      <c r="A1268" t="str">
        <f t="shared" si="19"/>
        <v/>
      </c>
    </row>
    <row r="1269" spans="1:1" x14ac:dyDescent="0.35">
      <c r="A1269" t="str">
        <f t="shared" si="19"/>
        <v/>
      </c>
    </row>
    <row r="1270" spans="1:1" x14ac:dyDescent="0.35">
      <c r="A1270" t="str">
        <f t="shared" si="19"/>
        <v/>
      </c>
    </row>
    <row r="1271" spans="1:1" x14ac:dyDescent="0.35">
      <c r="A1271" t="str">
        <f t="shared" si="19"/>
        <v/>
      </c>
    </row>
    <row r="1272" spans="1:1" x14ac:dyDescent="0.35">
      <c r="A1272" t="str">
        <f t="shared" si="19"/>
        <v/>
      </c>
    </row>
    <row r="1273" spans="1:1" x14ac:dyDescent="0.35">
      <c r="A1273" t="str">
        <f t="shared" si="19"/>
        <v/>
      </c>
    </row>
    <row r="1274" spans="1:1" x14ac:dyDescent="0.35">
      <c r="A1274" t="str">
        <f t="shared" si="19"/>
        <v/>
      </c>
    </row>
    <row r="1275" spans="1:1" x14ac:dyDescent="0.35">
      <c r="A1275" t="str">
        <f t="shared" si="19"/>
        <v/>
      </c>
    </row>
    <row r="1276" spans="1:1" x14ac:dyDescent="0.35">
      <c r="A1276" t="str">
        <f t="shared" si="19"/>
        <v/>
      </c>
    </row>
    <row r="1277" spans="1:1" x14ac:dyDescent="0.35">
      <c r="A1277" t="str">
        <f t="shared" si="19"/>
        <v/>
      </c>
    </row>
    <row r="1278" spans="1:1" x14ac:dyDescent="0.35">
      <c r="A1278" t="str">
        <f t="shared" si="19"/>
        <v/>
      </c>
    </row>
    <row r="1279" spans="1:1" x14ac:dyDescent="0.35">
      <c r="A1279" t="str">
        <f t="shared" si="19"/>
        <v/>
      </c>
    </row>
    <row r="1280" spans="1:1" x14ac:dyDescent="0.35">
      <c r="A1280" t="str">
        <f t="shared" si="19"/>
        <v/>
      </c>
    </row>
    <row r="1281" spans="1:1" x14ac:dyDescent="0.35">
      <c r="A1281" t="str">
        <f t="shared" si="19"/>
        <v/>
      </c>
    </row>
    <row r="1282" spans="1:1" x14ac:dyDescent="0.35">
      <c r="A1282" t="str">
        <f t="shared" si="19"/>
        <v/>
      </c>
    </row>
    <row r="1283" spans="1:1" x14ac:dyDescent="0.35">
      <c r="A1283" t="str">
        <f t="shared" ref="A1283:A1346" si="20">C1283&amp;D1283&amp;E1283&amp;G1283&amp;H1283&amp;I1283</f>
        <v/>
      </c>
    </row>
    <row r="1284" spans="1:1" x14ac:dyDescent="0.35">
      <c r="A1284" t="str">
        <f t="shared" si="20"/>
        <v/>
      </c>
    </row>
    <row r="1285" spans="1:1" x14ac:dyDescent="0.35">
      <c r="A1285" t="str">
        <f t="shared" si="20"/>
        <v/>
      </c>
    </row>
    <row r="1286" spans="1:1" x14ac:dyDescent="0.35">
      <c r="A1286" t="str">
        <f t="shared" si="20"/>
        <v/>
      </c>
    </row>
    <row r="1287" spans="1:1" x14ac:dyDescent="0.35">
      <c r="A1287" t="str">
        <f t="shared" si="20"/>
        <v/>
      </c>
    </row>
    <row r="1288" spans="1:1" x14ac:dyDescent="0.35">
      <c r="A1288" t="str">
        <f t="shared" si="20"/>
        <v/>
      </c>
    </row>
    <row r="1289" spans="1:1" x14ac:dyDescent="0.35">
      <c r="A1289" t="str">
        <f t="shared" si="20"/>
        <v/>
      </c>
    </row>
    <row r="1290" spans="1:1" x14ac:dyDescent="0.35">
      <c r="A1290" t="str">
        <f t="shared" si="20"/>
        <v/>
      </c>
    </row>
    <row r="1291" spans="1:1" x14ac:dyDescent="0.35">
      <c r="A1291" t="str">
        <f t="shared" si="20"/>
        <v/>
      </c>
    </row>
    <row r="1292" spans="1:1" x14ac:dyDescent="0.35">
      <c r="A1292" t="str">
        <f t="shared" si="20"/>
        <v/>
      </c>
    </row>
    <row r="1293" spans="1:1" x14ac:dyDescent="0.35">
      <c r="A1293" t="str">
        <f t="shared" si="20"/>
        <v/>
      </c>
    </row>
    <row r="1294" spans="1:1" x14ac:dyDescent="0.35">
      <c r="A1294" t="str">
        <f t="shared" si="20"/>
        <v/>
      </c>
    </row>
    <row r="1295" spans="1:1" x14ac:dyDescent="0.35">
      <c r="A1295" t="str">
        <f t="shared" si="20"/>
        <v/>
      </c>
    </row>
    <row r="1296" spans="1:1" x14ac:dyDescent="0.35">
      <c r="A1296" t="str">
        <f t="shared" si="20"/>
        <v/>
      </c>
    </row>
    <row r="1297" spans="1:1" x14ac:dyDescent="0.35">
      <c r="A1297" t="str">
        <f t="shared" si="20"/>
        <v/>
      </c>
    </row>
    <row r="1298" spans="1:1" x14ac:dyDescent="0.35">
      <c r="A1298" t="str">
        <f t="shared" si="20"/>
        <v/>
      </c>
    </row>
    <row r="1299" spans="1:1" x14ac:dyDescent="0.35">
      <c r="A1299" t="str">
        <f t="shared" si="20"/>
        <v/>
      </c>
    </row>
    <row r="1300" spans="1:1" x14ac:dyDescent="0.35">
      <c r="A1300" t="str">
        <f t="shared" si="20"/>
        <v/>
      </c>
    </row>
    <row r="1301" spans="1:1" x14ac:dyDescent="0.35">
      <c r="A1301" t="str">
        <f t="shared" si="20"/>
        <v/>
      </c>
    </row>
    <row r="1302" spans="1:1" x14ac:dyDescent="0.35">
      <c r="A1302" t="str">
        <f t="shared" si="20"/>
        <v/>
      </c>
    </row>
    <row r="1303" spans="1:1" x14ac:dyDescent="0.35">
      <c r="A1303" t="str">
        <f t="shared" si="20"/>
        <v/>
      </c>
    </row>
    <row r="1304" spans="1:1" x14ac:dyDescent="0.35">
      <c r="A1304" t="str">
        <f t="shared" si="20"/>
        <v/>
      </c>
    </row>
    <row r="1305" spans="1:1" x14ac:dyDescent="0.35">
      <c r="A1305" t="str">
        <f t="shared" si="20"/>
        <v/>
      </c>
    </row>
    <row r="1306" spans="1:1" x14ac:dyDescent="0.35">
      <c r="A1306" t="str">
        <f t="shared" si="20"/>
        <v/>
      </c>
    </row>
    <row r="1307" spans="1:1" x14ac:dyDescent="0.35">
      <c r="A1307" t="str">
        <f t="shared" si="20"/>
        <v/>
      </c>
    </row>
    <row r="1308" spans="1:1" x14ac:dyDescent="0.35">
      <c r="A1308" t="str">
        <f t="shared" si="20"/>
        <v/>
      </c>
    </row>
    <row r="1309" spans="1:1" x14ac:dyDescent="0.35">
      <c r="A1309" t="str">
        <f t="shared" si="20"/>
        <v/>
      </c>
    </row>
    <row r="1310" spans="1:1" x14ac:dyDescent="0.35">
      <c r="A1310" t="str">
        <f t="shared" si="20"/>
        <v/>
      </c>
    </row>
    <row r="1311" spans="1:1" x14ac:dyDescent="0.35">
      <c r="A1311" t="str">
        <f t="shared" si="20"/>
        <v/>
      </c>
    </row>
    <row r="1312" spans="1:1" x14ac:dyDescent="0.35">
      <c r="A1312" t="str">
        <f t="shared" si="20"/>
        <v/>
      </c>
    </row>
    <row r="1313" spans="1:1" x14ac:dyDescent="0.35">
      <c r="A1313" t="str">
        <f t="shared" si="20"/>
        <v/>
      </c>
    </row>
    <row r="1314" spans="1:1" x14ac:dyDescent="0.35">
      <c r="A1314" t="str">
        <f t="shared" si="20"/>
        <v/>
      </c>
    </row>
    <row r="1315" spans="1:1" x14ac:dyDescent="0.35">
      <c r="A1315" t="str">
        <f t="shared" si="20"/>
        <v/>
      </c>
    </row>
    <row r="1316" spans="1:1" x14ac:dyDescent="0.35">
      <c r="A1316" t="str">
        <f t="shared" si="20"/>
        <v/>
      </c>
    </row>
    <row r="1317" spans="1:1" x14ac:dyDescent="0.35">
      <c r="A1317" t="str">
        <f t="shared" si="20"/>
        <v/>
      </c>
    </row>
    <row r="1318" spans="1:1" x14ac:dyDescent="0.35">
      <c r="A1318" t="str">
        <f t="shared" si="20"/>
        <v/>
      </c>
    </row>
    <row r="1319" spans="1:1" x14ac:dyDescent="0.35">
      <c r="A1319" t="str">
        <f t="shared" si="20"/>
        <v/>
      </c>
    </row>
    <row r="1320" spans="1:1" x14ac:dyDescent="0.35">
      <c r="A1320" t="str">
        <f t="shared" si="20"/>
        <v/>
      </c>
    </row>
    <row r="1321" spans="1:1" x14ac:dyDescent="0.35">
      <c r="A1321" t="str">
        <f t="shared" si="20"/>
        <v/>
      </c>
    </row>
    <row r="1322" spans="1:1" x14ac:dyDescent="0.35">
      <c r="A1322" t="str">
        <f t="shared" si="20"/>
        <v/>
      </c>
    </row>
    <row r="1323" spans="1:1" x14ac:dyDescent="0.35">
      <c r="A1323" t="str">
        <f t="shared" si="20"/>
        <v/>
      </c>
    </row>
    <row r="1324" spans="1:1" x14ac:dyDescent="0.35">
      <c r="A1324" t="str">
        <f t="shared" si="20"/>
        <v/>
      </c>
    </row>
    <row r="1325" spans="1:1" x14ac:dyDescent="0.35">
      <c r="A1325" t="str">
        <f t="shared" si="20"/>
        <v/>
      </c>
    </row>
    <row r="1326" spans="1:1" x14ac:dyDescent="0.35">
      <c r="A1326" t="str">
        <f t="shared" si="20"/>
        <v/>
      </c>
    </row>
    <row r="1327" spans="1:1" x14ac:dyDescent="0.35">
      <c r="A1327" t="str">
        <f t="shared" si="20"/>
        <v/>
      </c>
    </row>
    <row r="1328" spans="1:1" x14ac:dyDescent="0.35">
      <c r="A1328" t="str">
        <f t="shared" si="20"/>
        <v/>
      </c>
    </row>
    <row r="1329" spans="1:1" x14ac:dyDescent="0.35">
      <c r="A1329" t="str">
        <f t="shared" si="20"/>
        <v/>
      </c>
    </row>
    <row r="1330" spans="1:1" x14ac:dyDescent="0.35">
      <c r="A1330" t="str">
        <f t="shared" si="20"/>
        <v/>
      </c>
    </row>
    <row r="1331" spans="1:1" x14ac:dyDescent="0.35">
      <c r="A1331" t="str">
        <f t="shared" si="20"/>
        <v/>
      </c>
    </row>
    <row r="1332" spans="1:1" x14ac:dyDescent="0.35">
      <c r="A1332" t="str">
        <f t="shared" si="20"/>
        <v/>
      </c>
    </row>
    <row r="1333" spans="1:1" x14ac:dyDescent="0.35">
      <c r="A1333" t="str">
        <f t="shared" si="20"/>
        <v/>
      </c>
    </row>
    <row r="1334" spans="1:1" x14ac:dyDescent="0.35">
      <c r="A1334" t="str">
        <f t="shared" si="20"/>
        <v/>
      </c>
    </row>
    <row r="1335" spans="1:1" x14ac:dyDescent="0.35">
      <c r="A1335" t="str">
        <f t="shared" si="20"/>
        <v/>
      </c>
    </row>
    <row r="1336" spans="1:1" x14ac:dyDescent="0.35">
      <c r="A1336" t="str">
        <f t="shared" si="20"/>
        <v/>
      </c>
    </row>
    <row r="1337" spans="1:1" x14ac:dyDescent="0.35">
      <c r="A1337" t="str">
        <f t="shared" si="20"/>
        <v/>
      </c>
    </row>
    <row r="1338" spans="1:1" x14ac:dyDescent="0.35">
      <c r="A1338" t="str">
        <f t="shared" si="20"/>
        <v/>
      </c>
    </row>
    <row r="1339" spans="1:1" x14ac:dyDescent="0.35">
      <c r="A1339" t="str">
        <f t="shared" si="20"/>
        <v/>
      </c>
    </row>
    <row r="1340" spans="1:1" x14ac:dyDescent="0.35">
      <c r="A1340" t="str">
        <f t="shared" si="20"/>
        <v/>
      </c>
    </row>
    <row r="1341" spans="1:1" x14ac:dyDescent="0.35">
      <c r="A1341" t="str">
        <f t="shared" si="20"/>
        <v/>
      </c>
    </row>
    <row r="1342" spans="1:1" x14ac:dyDescent="0.35">
      <c r="A1342" t="str">
        <f t="shared" si="20"/>
        <v/>
      </c>
    </row>
    <row r="1343" spans="1:1" x14ac:dyDescent="0.35">
      <c r="A1343" t="str">
        <f t="shared" si="20"/>
        <v/>
      </c>
    </row>
    <row r="1344" spans="1:1" x14ac:dyDescent="0.35">
      <c r="A1344" t="str">
        <f t="shared" si="20"/>
        <v/>
      </c>
    </row>
    <row r="1345" spans="1:1" x14ac:dyDescent="0.35">
      <c r="A1345" t="str">
        <f t="shared" si="20"/>
        <v/>
      </c>
    </row>
    <row r="1346" spans="1:1" x14ac:dyDescent="0.35">
      <c r="A1346" t="str">
        <f t="shared" si="20"/>
        <v/>
      </c>
    </row>
    <row r="1347" spans="1:1" x14ac:dyDescent="0.35">
      <c r="A1347" t="str">
        <f t="shared" ref="A1347:A1410" si="21">C1347&amp;D1347&amp;E1347&amp;G1347&amp;H1347&amp;I1347</f>
        <v/>
      </c>
    </row>
    <row r="1348" spans="1:1" x14ac:dyDescent="0.35">
      <c r="A1348" t="str">
        <f t="shared" si="21"/>
        <v/>
      </c>
    </row>
    <row r="1349" spans="1:1" x14ac:dyDescent="0.35">
      <c r="A1349" t="str">
        <f t="shared" si="21"/>
        <v/>
      </c>
    </row>
    <row r="1350" spans="1:1" x14ac:dyDescent="0.35">
      <c r="A1350" t="str">
        <f t="shared" si="21"/>
        <v/>
      </c>
    </row>
    <row r="1351" spans="1:1" x14ac:dyDescent="0.35">
      <c r="A1351" t="str">
        <f t="shared" si="21"/>
        <v/>
      </c>
    </row>
    <row r="1352" spans="1:1" x14ac:dyDescent="0.35">
      <c r="A1352" t="str">
        <f t="shared" si="21"/>
        <v/>
      </c>
    </row>
    <row r="1353" spans="1:1" x14ac:dyDescent="0.35">
      <c r="A1353" t="str">
        <f t="shared" si="21"/>
        <v/>
      </c>
    </row>
    <row r="1354" spans="1:1" x14ac:dyDescent="0.35">
      <c r="A1354" t="str">
        <f t="shared" si="21"/>
        <v/>
      </c>
    </row>
    <row r="1355" spans="1:1" x14ac:dyDescent="0.35">
      <c r="A1355" t="str">
        <f t="shared" si="21"/>
        <v/>
      </c>
    </row>
    <row r="1356" spans="1:1" x14ac:dyDescent="0.35">
      <c r="A1356" t="str">
        <f t="shared" si="21"/>
        <v/>
      </c>
    </row>
    <row r="1357" spans="1:1" x14ac:dyDescent="0.35">
      <c r="A1357" t="str">
        <f t="shared" si="21"/>
        <v/>
      </c>
    </row>
    <row r="1358" spans="1:1" x14ac:dyDescent="0.35">
      <c r="A1358" t="str">
        <f t="shared" si="21"/>
        <v/>
      </c>
    </row>
    <row r="1359" spans="1:1" x14ac:dyDescent="0.35">
      <c r="A1359" t="str">
        <f t="shared" si="21"/>
        <v/>
      </c>
    </row>
    <row r="1360" spans="1:1" x14ac:dyDescent="0.35">
      <c r="A1360" t="str">
        <f t="shared" si="21"/>
        <v/>
      </c>
    </row>
    <row r="1361" spans="1:1" x14ac:dyDescent="0.35">
      <c r="A1361" t="str">
        <f t="shared" si="21"/>
        <v/>
      </c>
    </row>
    <row r="1362" spans="1:1" x14ac:dyDescent="0.35">
      <c r="A1362" t="str">
        <f t="shared" si="21"/>
        <v/>
      </c>
    </row>
    <row r="1363" spans="1:1" x14ac:dyDescent="0.35">
      <c r="A1363" t="str">
        <f t="shared" si="21"/>
        <v/>
      </c>
    </row>
    <row r="1364" spans="1:1" x14ac:dyDescent="0.35">
      <c r="A1364" t="str">
        <f t="shared" si="21"/>
        <v/>
      </c>
    </row>
    <row r="1365" spans="1:1" x14ac:dyDescent="0.35">
      <c r="A1365" t="str">
        <f t="shared" si="21"/>
        <v/>
      </c>
    </row>
    <row r="1366" spans="1:1" x14ac:dyDescent="0.35">
      <c r="A1366" t="str">
        <f t="shared" si="21"/>
        <v/>
      </c>
    </row>
    <row r="1367" spans="1:1" x14ac:dyDescent="0.35">
      <c r="A1367" t="str">
        <f t="shared" si="21"/>
        <v/>
      </c>
    </row>
    <row r="1368" spans="1:1" x14ac:dyDescent="0.35">
      <c r="A1368" t="str">
        <f t="shared" si="21"/>
        <v/>
      </c>
    </row>
    <row r="1369" spans="1:1" x14ac:dyDescent="0.35">
      <c r="A1369" t="str">
        <f t="shared" si="21"/>
        <v/>
      </c>
    </row>
    <row r="1370" spans="1:1" x14ac:dyDescent="0.35">
      <c r="A1370" t="str">
        <f t="shared" si="21"/>
        <v/>
      </c>
    </row>
    <row r="1371" spans="1:1" x14ac:dyDescent="0.35">
      <c r="A1371" t="str">
        <f t="shared" si="21"/>
        <v/>
      </c>
    </row>
    <row r="1372" spans="1:1" x14ac:dyDescent="0.35">
      <c r="A1372" t="str">
        <f t="shared" si="21"/>
        <v/>
      </c>
    </row>
    <row r="1373" spans="1:1" x14ac:dyDescent="0.35">
      <c r="A1373" t="str">
        <f t="shared" si="21"/>
        <v/>
      </c>
    </row>
    <row r="1374" spans="1:1" x14ac:dyDescent="0.35">
      <c r="A1374" t="str">
        <f t="shared" si="21"/>
        <v/>
      </c>
    </row>
    <row r="1375" spans="1:1" x14ac:dyDescent="0.35">
      <c r="A1375" t="str">
        <f t="shared" si="21"/>
        <v/>
      </c>
    </row>
    <row r="1376" spans="1:1" x14ac:dyDescent="0.35">
      <c r="A1376" t="str">
        <f t="shared" si="21"/>
        <v/>
      </c>
    </row>
    <row r="1377" spans="1:1" x14ac:dyDescent="0.35">
      <c r="A1377" t="str">
        <f t="shared" si="21"/>
        <v/>
      </c>
    </row>
    <row r="1378" spans="1:1" x14ac:dyDescent="0.35">
      <c r="A1378" t="str">
        <f t="shared" si="21"/>
        <v/>
      </c>
    </row>
    <row r="1379" spans="1:1" x14ac:dyDescent="0.35">
      <c r="A1379" t="str">
        <f t="shared" si="21"/>
        <v/>
      </c>
    </row>
    <row r="1380" spans="1:1" x14ac:dyDescent="0.35">
      <c r="A1380" t="str">
        <f t="shared" si="21"/>
        <v/>
      </c>
    </row>
    <row r="1381" spans="1:1" x14ac:dyDescent="0.35">
      <c r="A1381" t="str">
        <f t="shared" si="21"/>
        <v/>
      </c>
    </row>
    <row r="1382" spans="1:1" x14ac:dyDescent="0.35">
      <c r="A1382" t="str">
        <f t="shared" si="21"/>
        <v/>
      </c>
    </row>
    <row r="1383" spans="1:1" x14ac:dyDescent="0.35">
      <c r="A1383" t="str">
        <f t="shared" si="21"/>
        <v/>
      </c>
    </row>
    <row r="1384" spans="1:1" x14ac:dyDescent="0.35">
      <c r="A1384" t="str">
        <f t="shared" si="21"/>
        <v/>
      </c>
    </row>
    <row r="1385" spans="1:1" x14ac:dyDescent="0.35">
      <c r="A1385" t="str">
        <f t="shared" si="21"/>
        <v/>
      </c>
    </row>
    <row r="1386" spans="1:1" x14ac:dyDescent="0.35">
      <c r="A1386" t="str">
        <f t="shared" si="21"/>
        <v/>
      </c>
    </row>
    <row r="1387" spans="1:1" x14ac:dyDescent="0.35">
      <c r="A1387" t="str">
        <f t="shared" si="21"/>
        <v/>
      </c>
    </row>
    <row r="1388" spans="1:1" x14ac:dyDescent="0.35">
      <c r="A1388" t="str">
        <f t="shared" si="21"/>
        <v/>
      </c>
    </row>
    <row r="1389" spans="1:1" x14ac:dyDescent="0.35">
      <c r="A1389" t="str">
        <f t="shared" si="21"/>
        <v/>
      </c>
    </row>
    <row r="1390" spans="1:1" x14ac:dyDescent="0.35">
      <c r="A1390" t="str">
        <f t="shared" si="21"/>
        <v/>
      </c>
    </row>
    <row r="1391" spans="1:1" x14ac:dyDescent="0.35">
      <c r="A1391" t="str">
        <f t="shared" si="21"/>
        <v/>
      </c>
    </row>
    <row r="1392" spans="1:1" x14ac:dyDescent="0.35">
      <c r="A1392" t="str">
        <f t="shared" si="21"/>
        <v/>
      </c>
    </row>
    <row r="1393" spans="1:1" x14ac:dyDescent="0.35">
      <c r="A1393" t="str">
        <f t="shared" si="21"/>
        <v/>
      </c>
    </row>
    <row r="1394" spans="1:1" x14ac:dyDescent="0.35">
      <c r="A1394" t="str">
        <f t="shared" si="21"/>
        <v/>
      </c>
    </row>
    <row r="1395" spans="1:1" x14ac:dyDescent="0.35">
      <c r="A1395" t="str">
        <f t="shared" si="21"/>
        <v/>
      </c>
    </row>
    <row r="1396" spans="1:1" x14ac:dyDescent="0.35">
      <c r="A1396" t="str">
        <f t="shared" si="21"/>
        <v/>
      </c>
    </row>
    <row r="1397" spans="1:1" x14ac:dyDescent="0.35">
      <c r="A1397" t="str">
        <f t="shared" si="21"/>
        <v/>
      </c>
    </row>
    <row r="1398" spans="1:1" x14ac:dyDescent="0.35">
      <c r="A1398" t="str">
        <f t="shared" si="21"/>
        <v/>
      </c>
    </row>
    <row r="1399" spans="1:1" x14ac:dyDescent="0.35">
      <c r="A1399" t="str">
        <f t="shared" si="21"/>
        <v/>
      </c>
    </row>
    <row r="1400" spans="1:1" x14ac:dyDescent="0.35">
      <c r="A1400" t="str">
        <f t="shared" si="21"/>
        <v/>
      </c>
    </row>
    <row r="1401" spans="1:1" x14ac:dyDescent="0.35">
      <c r="A1401" t="str">
        <f t="shared" si="21"/>
        <v/>
      </c>
    </row>
    <row r="1402" spans="1:1" x14ac:dyDescent="0.35">
      <c r="A1402" t="str">
        <f t="shared" si="21"/>
        <v/>
      </c>
    </row>
    <row r="1403" spans="1:1" x14ac:dyDescent="0.35">
      <c r="A1403" t="str">
        <f t="shared" si="21"/>
        <v/>
      </c>
    </row>
    <row r="1404" spans="1:1" x14ac:dyDescent="0.35">
      <c r="A1404" t="str">
        <f t="shared" si="21"/>
        <v/>
      </c>
    </row>
    <row r="1405" spans="1:1" x14ac:dyDescent="0.35">
      <c r="A1405" t="str">
        <f t="shared" si="21"/>
        <v/>
      </c>
    </row>
    <row r="1406" spans="1:1" x14ac:dyDescent="0.35">
      <c r="A1406" t="str">
        <f t="shared" si="21"/>
        <v/>
      </c>
    </row>
    <row r="1407" spans="1:1" x14ac:dyDescent="0.35">
      <c r="A1407" t="str">
        <f t="shared" si="21"/>
        <v/>
      </c>
    </row>
    <row r="1408" spans="1:1" x14ac:dyDescent="0.35">
      <c r="A1408" t="str">
        <f t="shared" si="21"/>
        <v/>
      </c>
    </row>
    <row r="1409" spans="1:1" x14ac:dyDescent="0.35">
      <c r="A1409" t="str">
        <f t="shared" si="21"/>
        <v/>
      </c>
    </row>
    <row r="1410" spans="1:1" x14ac:dyDescent="0.35">
      <c r="A1410" t="str">
        <f t="shared" si="21"/>
        <v/>
      </c>
    </row>
    <row r="1411" spans="1:1" x14ac:dyDescent="0.35">
      <c r="A1411" t="str">
        <f t="shared" ref="A1411:A1474" si="22">C1411&amp;D1411&amp;E1411&amp;G1411&amp;H1411&amp;I1411</f>
        <v/>
      </c>
    </row>
    <row r="1412" spans="1:1" x14ac:dyDescent="0.35">
      <c r="A1412" t="str">
        <f t="shared" si="22"/>
        <v/>
      </c>
    </row>
    <row r="1413" spans="1:1" x14ac:dyDescent="0.35">
      <c r="A1413" t="str">
        <f t="shared" si="22"/>
        <v/>
      </c>
    </row>
    <row r="1414" spans="1:1" x14ac:dyDescent="0.35">
      <c r="A1414" t="str">
        <f t="shared" si="22"/>
        <v/>
      </c>
    </row>
    <row r="1415" spans="1:1" x14ac:dyDescent="0.35">
      <c r="A1415" t="str">
        <f t="shared" si="22"/>
        <v/>
      </c>
    </row>
    <row r="1416" spans="1:1" x14ac:dyDescent="0.35">
      <c r="A1416" t="str">
        <f t="shared" si="22"/>
        <v/>
      </c>
    </row>
    <row r="1417" spans="1:1" x14ac:dyDescent="0.35">
      <c r="A1417" t="str">
        <f t="shared" si="22"/>
        <v/>
      </c>
    </row>
    <row r="1418" spans="1:1" x14ac:dyDescent="0.35">
      <c r="A1418" t="str">
        <f t="shared" si="22"/>
        <v/>
      </c>
    </row>
    <row r="1419" spans="1:1" x14ac:dyDescent="0.35">
      <c r="A1419" t="str">
        <f t="shared" si="22"/>
        <v/>
      </c>
    </row>
    <row r="1420" spans="1:1" x14ac:dyDescent="0.35">
      <c r="A1420" t="str">
        <f t="shared" si="22"/>
        <v/>
      </c>
    </row>
    <row r="1421" spans="1:1" x14ac:dyDescent="0.35">
      <c r="A1421" t="str">
        <f t="shared" si="22"/>
        <v/>
      </c>
    </row>
    <row r="1422" spans="1:1" x14ac:dyDescent="0.35">
      <c r="A1422" t="str">
        <f t="shared" si="22"/>
        <v/>
      </c>
    </row>
    <row r="1423" spans="1:1" x14ac:dyDescent="0.35">
      <c r="A1423" t="str">
        <f t="shared" si="22"/>
        <v/>
      </c>
    </row>
    <row r="1424" spans="1:1" x14ac:dyDescent="0.35">
      <c r="A1424" t="str">
        <f t="shared" si="22"/>
        <v/>
      </c>
    </row>
    <row r="1425" spans="1:1" x14ac:dyDescent="0.35">
      <c r="A1425" t="str">
        <f t="shared" si="22"/>
        <v/>
      </c>
    </row>
    <row r="1426" spans="1:1" x14ac:dyDescent="0.35">
      <c r="A1426" t="str">
        <f t="shared" si="22"/>
        <v/>
      </c>
    </row>
    <row r="1427" spans="1:1" x14ac:dyDescent="0.35">
      <c r="A1427" t="str">
        <f t="shared" si="22"/>
        <v/>
      </c>
    </row>
    <row r="1428" spans="1:1" x14ac:dyDescent="0.35">
      <c r="A1428" t="str">
        <f t="shared" si="22"/>
        <v/>
      </c>
    </row>
    <row r="1429" spans="1:1" x14ac:dyDescent="0.35">
      <c r="A1429" t="str">
        <f t="shared" si="22"/>
        <v/>
      </c>
    </row>
    <row r="1430" spans="1:1" x14ac:dyDescent="0.35">
      <c r="A1430" t="str">
        <f t="shared" si="22"/>
        <v/>
      </c>
    </row>
    <row r="1431" spans="1:1" x14ac:dyDescent="0.35">
      <c r="A1431" t="str">
        <f t="shared" si="22"/>
        <v/>
      </c>
    </row>
    <row r="1432" spans="1:1" x14ac:dyDescent="0.35">
      <c r="A1432" t="str">
        <f t="shared" si="22"/>
        <v/>
      </c>
    </row>
    <row r="1433" spans="1:1" x14ac:dyDescent="0.35">
      <c r="A1433" t="str">
        <f t="shared" si="22"/>
        <v/>
      </c>
    </row>
    <row r="1434" spans="1:1" x14ac:dyDescent="0.35">
      <c r="A1434" t="str">
        <f t="shared" si="22"/>
        <v/>
      </c>
    </row>
    <row r="1435" spans="1:1" x14ac:dyDescent="0.35">
      <c r="A1435" t="str">
        <f t="shared" si="22"/>
        <v/>
      </c>
    </row>
    <row r="1436" spans="1:1" x14ac:dyDescent="0.35">
      <c r="A1436" t="str">
        <f t="shared" si="22"/>
        <v/>
      </c>
    </row>
    <row r="1437" spans="1:1" x14ac:dyDescent="0.35">
      <c r="A1437" t="str">
        <f t="shared" si="22"/>
        <v/>
      </c>
    </row>
    <row r="1438" spans="1:1" x14ac:dyDescent="0.35">
      <c r="A1438" t="str">
        <f t="shared" si="22"/>
        <v/>
      </c>
    </row>
    <row r="1439" spans="1:1" x14ac:dyDescent="0.35">
      <c r="A1439" t="str">
        <f t="shared" si="22"/>
        <v/>
      </c>
    </row>
    <row r="1440" spans="1:1" x14ac:dyDescent="0.35">
      <c r="A1440" t="str">
        <f t="shared" si="22"/>
        <v/>
      </c>
    </row>
    <row r="1441" spans="1:1" x14ac:dyDescent="0.35">
      <c r="A1441" t="str">
        <f t="shared" si="22"/>
        <v/>
      </c>
    </row>
    <row r="1442" spans="1:1" x14ac:dyDescent="0.35">
      <c r="A1442" t="str">
        <f t="shared" si="22"/>
        <v/>
      </c>
    </row>
    <row r="1443" spans="1:1" x14ac:dyDescent="0.35">
      <c r="A1443" t="str">
        <f t="shared" si="22"/>
        <v/>
      </c>
    </row>
    <row r="1444" spans="1:1" x14ac:dyDescent="0.35">
      <c r="A1444" t="str">
        <f t="shared" si="22"/>
        <v/>
      </c>
    </row>
    <row r="1445" spans="1:1" x14ac:dyDescent="0.35">
      <c r="A1445" t="str">
        <f t="shared" si="22"/>
        <v/>
      </c>
    </row>
    <row r="1446" spans="1:1" x14ac:dyDescent="0.35">
      <c r="A1446" t="str">
        <f t="shared" si="22"/>
        <v/>
      </c>
    </row>
    <row r="1447" spans="1:1" x14ac:dyDescent="0.35">
      <c r="A1447" t="str">
        <f t="shared" si="22"/>
        <v/>
      </c>
    </row>
    <row r="1448" spans="1:1" x14ac:dyDescent="0.35">
      <c r="A1448" t="str">
        <f t="shared" si="22"/>
        <v/>
      </c>
    </row>
    <row r="1449" spans="1:1" x14ac:dyDescent="0.35">
      <c r="A1449" t="str">
        <f t="shared" si="22"/>
        <v/>
      </c>
    </row>
    <row r="1450" spans="1:1" x14ac:dyDescent="0.35">
      <c r="A1450" t="str">
        <f t="shared" si="22"/>
        <v/>
      </c>
    </row>
    <row r="1451" spans="1:1" x14ac:dyDescent="0.35">
      <c r="A1451" t="str">
        <f t="shared" si="22"/>
        <v/>
      </c>
    </row>
    <row r="1452" spans="1:1" x14ac:dyDescent="0.35">
      <c r="A1452" t="str">
        <f t="shared" si="22"/>
        <v/>
      </c>
    </row>
    <row r="1453" spans="1:1" x14ac:dyDescent="0.35">
      <c r="A1453" t="str">
        <f t="shared" si="22"/>
        <v/>
      </c>
    </row>
    <row r="1454" spans="1:1" x14ac:dyDescent="0.35">
      <c r="A1454" t="str">
        <f t="shared" si="22"/>
        <v/>
      </c>
    </row>
    <row r="1455" spans="1:1" x14ac:dyDescent="0.35">
      <c r="A1455" t="str">
        <f t="shared" si="22"/>
        <v/>
      </c>
    </row>
    <row r="1456" spans="1:1" x14ac:dyDescent="0.35">
      <c r="A1456" t="str">
        <f t="shared" si="22"/>
        <v/>
      </c>
    </row>
    <row r="1457" spans="1:1" x14ac:dyDescent="0.35">
      <c r="A1457" t="str">
        <f t="shared" si="22"/>
        <v/>
      </c>
    </row>
    <row r="1458" spans="1:1" x14ac:dyDescent="0.35">
      <c r="A1458" t="str">
        <f t="shared" si="22"/>
        <v/>
      </c>
    </row>
    <row r="1459" spans="1:1" x14ac:dyDescent="0.35">
      <c r="A1459" t="str">
        <f t="shared" si="22"/>
        <v/>
      </c>
    </row>
    <row r="1460" spans="1:1" x14ac:dyDescent="0.35">
      <c r="A1460" t="str">
        <f t="shared" si="22"/>
        <v/>
      </c>
    </row>
    <row r="1461" spans="1:1" x14ac:dyDescent="0.35">
      <c r="A1461" t="str">
        <f t="shared" si="22"/>
        <v/>
      </c>
    </row>
    <row r="1462" spans="1:1" x14ac:dyDescent="0.35">
      <c r="A1462" t="str">
        <f t="shared" si="22"/>
        <v/>
      </c>
    </row>
    <row r="1463" spans="1:1" x14ac:dyDescent="0.35">
      <c r="A1463" t="str">
        <f t="shared" si="22"/>
        <v/>
      </c>
    </row>
    <row r="1464" spans="1:1" x14ac:dyDescent="0.35">
      <c r="A1464" t="str">
        <f t="shared" si="22"/>
        <v/>
      </c>
    </row>
    <row r="1465" spans="1:1" x14ac:dyDescent="0.35">
      <c r="A1465" t="str">
        <f t="shared" si="22"/>
        <v/>
      </c>
    </row>
    <row r="1466" spans="1:1" x14ac:dyDescent="0.35">
      <c r="A1466" t="str">
        <f t="shared" si="22"/>
        <v/>
      </c>
    </row>
    <row r="1467" spans="1:1" x14ac:dyDescent="0.35">
      <c r="A1467" t="str">
        <f t="shared" si="22"/>
        <v/>
      </c>
    </row>
    <row r="1468" spans="1:1" x14ac:dyDescent="0.35">
      <c r="A1468" t="str">
        <f t="shared" si="22"/>
        <v/>
      </c>
    </row>
    <row r="1469" spans="1:1" x14ac:dyDescent="0.35">
      <c r="A1469" t="str">
        <f t="shared" si="22"/>
        <v/>
      </c>
    </row>
    <row r="1470" spans="1:1" x14ac:dyDescent="0.35">
      <c r="A1470" t="str">
        <f t="shared" si="22"/>
        <v/>
      </c>
    </row>
    <row r="1471" spans="1:1" x14ac:dyDescent="0.35">
      <c r="A1471" t="str">
        <f t="shared" si="22"/>
        <v/>
      </c>
    </row>
    <row r="1472" spans="1:1" x14ac:dyDescent="0.35">
      <c r="A1472" t="str">
        <f t="shared" si="22"/>
        <v/>
      </c>
    </row>
    <row r="1473" spans="1:1" x14ac:dyDescent="0.35">
      <c r="A1473" t="str">
        <f t="shared" si="22"/>
        <v/>
      </c>
    </row>
    <row r="1474" spans="1:1" x14ac:dyDescent="0.35">
      <c r="A1474" t="str">
        <f t="shared" si="22"/>
        <v/>
      </c>
    </row>
    <row r="1475" spans="1:1" x14ac:dyDescent="0.35">
      <c r="A1475" t="str">
        <f t="shared" ref="A1475:A1538" si="23">C1475&amp;D1475&amp;E1475&amp;G1475&amp;H1475&amp;I1475</f>
        <v/>
      </c>
    </row>
    <row r="1476" spans="1:1" x14ac:dyDescent="0.35">
      <c r="A1476" t="str">
        <f t="shared" si="23"/>
        <v/>
      </c>
    </row>
    <row r="1477" spans="1:1" x14ac:dyDescent="0.35">
      <c r="A1477" t="str">
        <f t="shared" si="23"/>
        <v/>
      </c>
    </row>
    <row r="1478" spans="1:1" x14ac:dyDescent="0.35">
      <c r="A1478" t="str">
        <f t="shared" si="23"/>
        <v/>
      </c>
    </row>
    <row r="1479" spans="1:1" x14ac:dyDescent="0.35">
      <c r="A1479" t="str">
        <f t="shared" si="23"/>
        <v/>
      </c>
    </row>
    <row r="1480" spans="1:1" x14ac:dyDescent="0.35">
      <c r="A1480" t="str">
        <f t="shared" si="23"/>
        <v/>
      </c>
    </row>
    <row r="1481" spans="1:1" x14ac:dyDescent="0.35">
      <c r="A1481" t="str">
        <f t="shared" si="23"/>
        <v/>
      </c>
    </row>
    <row r="1482" spans="1:1" x14ac:dyDescent="0.35">
      <c r="A1482" t="str">
        <f t="shared" si="23"/>
        <v/>
      </c>
    </row>
    <row r="1483" spans="1:1" x14ac:dyDescent="0.35">
      <c r="A1483" t="str">
        <f t="shared" si="23"/>
        <v/>
      </c>
    </row>
    <row r="1484" spans="1:1" x14ac:dyDescent="0.35">
      <c r="A1484" t="str">
        <f t="shared" si="23"/>
        <v/>
      </c>
    </row>
    <row r="1485" spans="1:1" x14ac:dyDescent="0.35">
      <c r="A1485" t="str">
        <f t="shared" si="23"/>
        <v/>
      </c>
    </row>
    <row r="1486" spans="1:1" x14ac:dyDescent="0.35">
      <c r="A1486" t="str">
        <f t="shared" si="23"/>
        <v/>
      </c>
    </row>
    <row r="1487" spans="1:1" x14ac:dyDescent="0.35">
      <c r="A1487" t="str">
        <f t="shared" si="23"/>
        <v/>
      </c>
    </row>
    <row r="1488" spans="1:1" x14ac:dyDescent="0.35">
      <c r="A1488" t="str">
        <f t="shared" si="23"/>
        <v/>
      </c>
    </row>
    <row r="1489" spans="1:1" x14ac:dyDescent="0.35">
      <c r="A1489" t="str">
        <f t="shared" si="23"/>
        <v/>
      </c>
    </row>
    <row r="1490" spans="1:1" x14ac:dyDescent="0.35">
      <c r="A1490" t="str">
        <f t="shared" si="23"/>
        <v/>
      </c>
    </row>
    <row r="1491" spans="1:1" x14ac:dyDescent="0.35">
      <c r="A1491" t="str">
        <f t="shared" si="23"/>
        <v/>
      </c>
    </row>
    <row r="1492" spans="1:1" x14ac:dyDescent="0.35">
      <c r="A1492" t="str">
        <f t="shared" si="23"/>
        <v/>
      </c>
    </row>
    <row r="1493" spans="1:1" x14ac:dyDescent="0.35">
      <c r="A1493" t="str">
        <f t="shared" si="23"/>
        <v/>
      </c>
    </row>
    <row r="1494" spans="1:1" x14ac:dyDescent="0.35">
      <c r="A1494" t="str">
        <f t="shared" si="23"/>
        <v/>
      </c>
    </row>
    <row r="1495" spans="1:1" x14ac:dyDescent="0.35">
      <c r="A1495" t="str">
        <f t="shared" si="23"/>
        <v/>
      </c>
    </row>
    <row r="1496" spans="1:1" x14ac:dyDescent="0.35">
      <c r="A1496" t="str">
        <f t="shared" si="23"/>
        <v/>
      </c>
    </row>
    <row r="1497" spans="1:1" x14ac:dyDescent="0.35">
      <c r="A1497" t="str">
        <f t="shared" si="23"/>
        <v/>
      </c>
    </row>
    <row r="1498" spans="1:1" x14ac:dyDescent="0.35">
      <c r="A1498" t="str">
        <f t="shared" si="23"/>
        <v/>
      </c>
    </row>
    <row r="1499" spans="1:1" x14ac:dyDescent="0.35">
      <c r="A1499" t="str">
        <f t="shared" si="23"/>
        <v/>
      </c>
    </row>
    <row r="1500" spans="1:1" x14ac:dyDescent="0.35">
      <c r="A1500" t="str">
        <f t="shared" si="23"/>
        <v/>
      </c>
    </row>
    <row r="1501" spans="1:1" x14ac:dyDescent="0.35">
      <c r="A1501" t="str">
        <f t="shared" si="23"/>
        <v/>
      </c>
    </row>
    <row r="1502" spans="1:1" x14ac:dyDescent="0.35">
      <c r="A1502" t="str">
        <f t="shared" si="23"/>
        <v/>
      </c>
    </row>
    <row r="1503" spans="1:1" x14ac:dyDescent="0.35">
      <c r="A1503" t="str">
        <f t="shared" si="23"/>
        <v/>
      </c>
    </row>
    <row r="1504" spans="1:1" x14ac:dyDescent="0.35">
      <c r="A1504" t="str">
        <f t="shared" si="23"/>
        <v/>
      </c>
    </row>
    <row r="1505" spans="1:1" x14ac:dyDescent="0.35">
      <c r="A1505" t="str">
        <f t="shared" si="23"/>
        <v/>
      </c>
    </row>
    <row r="1506" spans="1:1" x14ac:dyDescent="0.35">
      <c r="A1506" t="str">
        <f t="shared" si="23"/>
        <v/>
      </c>
    </row>
    <row r="1507" spans="1:1" x14ac:dyDescent="0.35">
      <c r="A1507" t="str">
        <f t="shared" si="23"/>
        <v/>
      </c>
    </row>
    <row r="1508" spans="1:1" x14ac:dyDescent="0.35">
      <c r="A1508" t="str">
        <f t="shared" si="23"/>
        <v/>
      </c>
    </row>
    <row r="1509" spans="1:1" x14ac:dyDescent="0.35">
      <c r="A1509" t="str">
        <f t="shared" si="23"/>
        <v/>
      </c>
    </row>
    <row r="1510" spans="1:1" x14ac:dyDescent="0.35">
      <c r="A1510" t="str">
        <f t="shared" si="23"/>
        <v/>
      </c>
    </row>
    <row r="1511" spans="1:1" x14ac:dyDescent="0.35">
      <c r="A1511" t="str">
        <f t="shared" si="23"/>
        <v/>
      </c>
    </row>
    <row r="1512" spans="1:1" x14ac:dyDescent="0.35">
      <c r="A1512" t="str">
        <f t="shared" si="23"/>
        <v/>
      </c>
    </row>
    <row r="1513" spans="1:1" x14ac:dyDescent="0.35">
      <c r="A1513" t="str">
        <f t="shared" si="23"/>
        <v/>
      </c>
    </row>
    <row r="1514" spans="1:1" x14ac:dyDescent="0.35">
      <c r="A1514" t="str">
        <f t="shared" si="23"/>
        <v/>
      </c>
    </row>
    <row r="1515" spans="1:1" x14ac:dyDescent="0.35">
      <c r="A1515" t="str">
        <f t="shared" si="23"/>
        <v/>
      </c>
    </row>
    <row r="1516" spans="1:1" x14ac:dyDescent="0.35">
      <c r="A1516" t="str">
        <f t="shared" si="23"/>
        <v/>
      </c>
    </row>
    <row r="1517" spans="1:1" x14ac:dyDescent="0.35">
      <c r="A1517" t="str">
        <f t="shared" si="23"/>
        <v/>
      </c>
    </row>
    <row r="1518" spans="1:1" x14ac:dyDescent="0.35">
      <c r="A1518" t="str">
        <f t="shared" si="23"/>
        <v/>
      </c>
    </row>
    <row r="1519" spans="1:1" x14ac:dyDescent="0.35">
      <c r="A1519" t="str">
        <f t="shared" si="23"/>
        <v/>
      </c>
    </row>
    <row r="1520" spans="1:1" x14ac:dyDescent="0.35">
      <c r="A1520" t="str">
        <f t="shared" si="23"/>
        <v/>
      </c>
    </row>
    <row r="1521" spans="1:1" x14ac:dyDescent="0.35">
      <c r="A1521" t="str">
        <f t="shared" si="23"/>
        <v/>
      </c>
    </row>
    <row r="1522" spans="1:1" x14ac:dyDescent="0.35">
      <c r="A1522" t="str">
        <f t="shared" si="23"/>
        <v/>
      </c>
    </row>
    <row r="1523" spans="1:1" x14ac:dyDescent="0.35">
      <c r="A1523" t="str">
        <f t="shared" si="23"/>
        <v/>
      </c>
    </row>
    <row r="1524" spans="1:1" x14ac:dyDescent="0.35">
      <c r="A1524" t="str">
        <f t="shared" si="23"/>
        <v/>
      </c>
    </row>
    <row r="1525" spans="1:1" x14ac:dyDescent="0.35">
      <c r="A1525" t="str">
        <f t="shared" si="23"/>
        <v/>
      </c>
    </row>
    <row r="1526" spans="1:1" x14ac:dyDescent="0.35">
      <c r="A1526" t="str">
        <f t="shared" si="23"/>
        <v/>
      </c>
    </row>
    <row r="1527" spans="1:1" x14ac:dyDescent="0.35">
      <c r="A1527" t="str">
        <f t="shared" si="23"/>
        <v/>
      </c>
    </row>
    <row r="1528" spans="1:1" x14ac:dyDescent="0.35">
      <c r="A1528" t="str">
        <f t="shared" si="23"/>
        <v/>
      </c>
    </row>
    <row r="1529" spans="1:1" x14ac:dyDescent="0.35">
      <c r="A1529" t="str">
        <f t="shared" si="23"/>
        <v/>
      </c>
    </row>
    <row r="1530" spans="1:1" x14ac:dyDescent="0.35">
      <c r="A1530" t="str">
        <f t="shared" si="23"/>
        <v/>
      </c>
    </row>
    <row r="1531" spans="1:1" x14ac:dyDescent="0.35">
      <c r="A1531" t="str">
        <f t="shared" si="23"/>
        <v/>
      </c>
    </row>
    <row r="1532" spans="1:1" x14ac:dyDescent="0.35">
      <c r="A1532" t="str">
        <f t="shared" si="23"/>
        <v/>
      </c>
    </row>
    <row r="1533" spans="1:1" x14ac:dyDescent="0.35">
      <c r="A1533" t="str">
        <f t="shared" si="23"/>
        <v/>
      </c>
    </row>
    <row r="1534" spans="1:1" x14ac:dyDescent="0.35">
      <c r="A1534" t="str">
        <f t="shared" si="23"/>
        <v/>
      </c>
    </row>
    <row r="1535" spans="1:1" x14ac:dyDescent="0.35">
      <c r="A1535" t="str">
        <f t="shared" si="23"/>
        <v/>
      </c>
    </row>
    <row r="1536" spans="1:1" x14ac:dyDescent="0.35">
      <c r="A1536" t="str">
        <f t="shared" si="23"/>
        <v/>
      </c>
    </row>
    <row r="1537" spans="1:1" x14ac:dyDescent="0.35">
      <c r="A1537" t="str">
        <f t="shared" si="23"/>
        <v/>
      </c>
    </row>
    <row r="1538" spans="1:1" x14ac:dyDescent="0.35">
      <c r="A1538" t="str">
        <f t="shared" si="23"/>
        <v/>
      </c>
    </row>
    <row r="1539" spans="1:1" x14ac:dyDescent="0.35">
      <c r="A1539" t="str">
        <f t="shared" ref="A1539:A1602" si="24">C1539&amp;D1539&amp;E1539&amp;G1539&amp;H1539&amp;I1539</f>
        <v/>
      </c>
    </row>
    <row r="1540" spans="1:1" x14ac:dyDescent="0.35">
      <c r="A1540" t="str">
        <f t="shared" si="24"/>
        <v/>
      </c>
    </row>
    <row r="1541" spans="1:1" x14ac:dyDescent="0.35">
      <c r="A1541" t="str">
        <f t="shared" si="24"/>
        <v/>
      </c>
    </row>
    <row r="1542" spans="1:1" x14ac:dyDescent="0.35">
      <c r="A1542" t="str">
        <f t="shared" si="24"/>
        <v/>
      </c>
    </row>
    <row r="1543" spans="1:1" x14ac:dyDescent="0.35">
      <c r="A1543" t="str">
        <f t="shared" si="24"/>
        <v/>
      </c>
    </row>
    <row r="1544" spans="1:1" x14ac:dyDescent="0.35">
      <c r="A1544" t="str">
        <f t="shared" si="24"/>
        <v/>
      </c>
    </row>
    <row r="1545" spans="1:1" x14ac:dyDescent="0.35">
      <c r="A1545" t="str">
        <f t="shared" si="24"/>
        <v/>
      </c>
    </row>
    <row r="1546" spans="1:1" x14ac:dyDescent="0.35">
      <c r="A1546" t="str">
        <f t="shared" si="24"/>
        <v/>
      </c>
    </row>
    <row r="1547" spans="1:1" x14ac:dyDescent="0.35">
      <c r="A1547" t="str">
        <f t="shared" si="24"/>
        <v/>
      </c>
    </row>
    <row r="1548" spans="1:1" x14ac:dyDescent="0.35">
      <c r="A1548" t="str">
        <f t="shared" si="24"/>
        <v/>
      </c>
    </row>
    <row r="1549" spans="1:1" x14ac:dyDescent="0.35">
      <c r="A1549" t="str">
        <f t="shared" si="24"/>
        <v/>
      </c>
    </row>
    <row r="1550" spans="1:1" x14ac:dyDescent="0.35">
      <c r="A1550" t="str">
        <f t="shared" si="24"/>
        <v/>
      </c>
    </row>
    <row r="1551" spans="1:1" x14ac:dyDescent="0.35">
      <c r="A1551" t="str">
        <f t="shared" si="24"/>
        <v/>
      </c>
    </row>
    <row r="1552" spans="1:1" x14ac:dyDescent="0.35">
      <c r="A1552" t="str">
        <f t="shared" si="24"/>
        <v/>
      </c>
    </row>
    <row r="1553" spans="1:1" x14ac:dyDescent="0.35">
      <c r="A1553" t="str">
        <f t="shared" si="24"/>
        <v/>
      </c>
    </row>
    <row r="1554" spans="1:1" x14ac:dyDescent="0.35">
      <c r="A1554" t="str">
        <f t="shared" si="24"/>
        <v/>
      </c>
    </row>
    <row r="1555" spans="1:1" x14ac:dyDescent="0.35">
      <c r="A1555" t="str">
        <f t="shared" si="24"/>
        <v/>
      </c>
    </row>
    <row r="1556" spans="1:1" x14ac:dyDescent="0.35">
      <c r="A1556" t="str">
        <f t="shared" si="24"/>
        <v/>
      </c>
    </row>
    <row r="1557" spans="1:1" x14ac:dyDescent="0.35">
      <c r="A1557" t="str">
        <f t="shared" si="24"/>
        <v/>
      </c>
    </row>
    <row r="1558" spans="1:1" x14ac:dyDescent="0.35">
      <c r="A1558" t="str">
        <f t="shared" si="24"/>
        <v/>
      </c>
    </row>
    <row r="1559" spans="1:1" x14ac:dyDescent="0.35">
      <c r="A1559" t="str">
        <f t="shared" si="24"/>
        <v/>
      </c>
    </row>
    <row r="1560" spans="1:1" x14ac:dyDescent="0.35">
      <c r="A1560" t="str">
        <f t="shared" si="24"/>
        <v/>
      </c>
    </row>
    <row r="1561" spans="1:1" x14ac:dyDescent="0.35">
      <c r="A1561" t="str">
        <f t="shared" si="24"/>
        <v/>
      </c>
    </row>
    <row r="1562" spans="1:1" x14ac:dyDescent="0.35">
      <c r="A1562" t="str">
        <f t="shared" si="24"/>
        <v/>
      </c>
    </row>
    <row r="1563" spans="1:1" x14ac:dyDescent="0.35">
      <c r="A1563" t="str">
        <f t="shared" si="24"/>
        <v/>
      </c>
    </row>
    <row r="1564" spans="1:1" x14ac:dyDescent="0.35">
      <c r="A1564" t="str">
        <f t="shared" si="24"/>
        <v/>
      </c>
    </row>
    <row r="1565" spans="1:1" x14ac:dyDescent="0.35">
      <c r="A1565" t="str">
        <f t="shared" si="24"/>
        <v/>
      </c>
    </row>
    <row r="1566" spans="1:1" x14ac:dyDescent="0.35">
      <c r="A1566" t="str">
        <f t="shared" si="24"/>
        <v/>
      </c>
    </row>
    <row r="1567" spans="1:1" x14ac:dyDescent="0.35">
      <c r="A1567" t="str">
        <f t="shared" si="24"/>
        <v/>
      </c>
    </row>
    <row r="1568" spans="1:1" x14ac:dyDescent="0.35">
      <c r="A1568" t="str">
        <f t="shared" si="24"/>
        <v/>
      </c>
    </row>
    <row r="1569" spans="1:1" x14ac:dyDescent="0.35">
      <c r="A1569" t="str">
        <f t="shared" si="24"/>
        <v/>
      </c>
    </row>
    <row r="1570" spans="1:1" x14ac:dyDescent="0.35">
      <c r="A1570" t="str">
        <f t="shared" si="24"/>
        <v/>
      </c>
    </row>
    <row r="1571" spans="1:1" x14ac:dyDescent="0.35">
      <c r="A1571" t="str">
        <f t="shared" si="24"/>
        <v/>
      </c>
    </row>
    <row r="1572" spans="1:1" x14ac:dyDescent="0.35">
      <c r="A1572" t="str">
        <f t="shared" si="24"/>
        <v/>
      </c>
    </row>
    <row r="1573" spans="1:1" x14ac:dyDescent="0.35">
      <c r="A1573" t="str">
        <f t="shared" si="24"/>
        <v/>
      </c>
    </row>
    <row r="1574" spans="1:1" x14ac:dyDescent="0.35">
      <c r="A1574" t="str">
        <f t="shared" si="24"/>
        <v/>
      </c>
    </row>
    <row r="1575" spans="1:1" x14ac:dyDescent="0.35">
      <c r="A1575" t="str">
        <f t="shared" si="24"/>
        <v/>
      </c>
    </row>
    <row r="1576" spans="1:1" x14ac:dyDescent="0.35">
      <c r="A1576" t="str">
        <f t="shared" si="24"/>
        <v/>
      </c>
    </row>
    <row r="1577" spans="1:1" x14ac:dyDescent="0.35">
      <c r="A1577" t="str">
        <f t="shared" si="24"/>
        <v/>
      </c>
    </row>
    <row r="1578" spans="1:1" x14ac:dyDescent="0.35">
      <c r="A1578" t="str">
        <f t="shared" si="24"/>
        <v/>
      </c>
    </row>
    <row r="1579" spans="1:1" x14ac:dyDescent="0.35">
      <c r="A1579" t="str">
        <f t="shared" si="24"/>
        <v/>
      </c>
    </row>
    <row r="1580" spans="1:1" x14ac:dyDescent="0.35">
      <c r="A1580" t="str">
        <f t="shared" si="24"/>
        <v/>
      </c>
    </row>
    <row r="1581" spans="1:1" x14ac:dyDescent="0.35">
      <c r="A1581" t="str">
        <f t="shared" si="24"/>
        <v/>
      </c>
    </row>
    <row r="1582" spans="1:1" x14ac:dyDescent="0.35">
      <c r="A1582" t="str">
        <f t="shared" si="24"/>
        <v/>
      </c>
    </row>
    <row r="1583" spans="1:1" x14ac:dyDescent="0.35">
      <c r="A1583" t="str">
        <f t="shared" si="24"/>
        <v/>
      </c>
    </row>
    <row r="1584" spans="1:1" x14ac:dyDescent="0.35">
      <c r="A1584" t="str">
        <f t="shared" si="24"/>
        <v/>
      </c>
    </row>
    <row r="1585" spans="1:1" x14ac:dyDescent="0.35">
      <c r="A1585" t="str">
        <f t="shared" si="24"/>
        <v/>
      </c>
    </row>
    <row r="1586" spans="1:1" x14ac:dyDescent="0.35">
      <c r="A1586" t="str">
        <f t="shared" si="24"/>
        <v/>
      </c>
    </row>
    <row r="1587" spans="1:1" x14ac:dyDescent="0.35">
      <c r="A1587" t="str">
        <f t="shared" si="24"/>
        <v/>
      </c>
    </row>
    <row r="1588" spans="1:1" x14ac:dyDescent="0.35">
      <c r="A1588" t="str">
        <f t="shared" si="24"/>
        <v/>
      </c>
    </row>
    <row r="1589" spans="1:1" x14ac:dyDescent="0.35">
      <c r="A1589" t="str">
        <f t="shared" si="24"/>
        <v/>
      </c>
    </row>
    <row r="1590" spans="1:1" x14ac:dyDescent="0.35">
      <c r="A1590" t="str">
        <f t="shared" si="24"/>
        <v/>
      </c>
    </row>
    <row r="1591" spans="1:1" x14ac:dyDescent="0.35">
      <c r="A1591" t="str">
        <f t="shared" si="24"/>
        <v/>
      </c>
    </row>
    <row r="1592" spans="1:1" x14ac:dyDescent="0.35">
      <c r="A1592" t="str">
        <f t="shared" si="24"/>
        <v/>
      </c>
    </row>
    <row r="1593" spans="1:1" x14ac:dyDescent="0.35">
      <c r="A1593" t="str">
        <f t="shared" si="24"/>
        <v/>
      </c>
    </row>
    <row r="1594" spans="1:1" x14ac:dyDescent="0.35">
      <c r="A1594" t="str">
        <f t="shared" si="24"/>
        <v/>
      </c>
    </row>
    <row r="1595" spans="1:1" x14ac:dyDescent="0.35">
      <c r="A1595" t="str">
        <f t="shared" si="24"/>
        <v/>
      </c>
    </row>
    <row r="1596" spans="1:1" x14ac:dyDescent="0.35">
      <c r="A1596" t="str">
        <f t="shared" si="24"/>
        <v/>
      </c>
    </row>
    <row r="1597" spans="1:1" x14ac:dyDescent="0.35">
      <c r="A1597" t="str">
        <f t="shared" si="24"/>
        <v/>
      </c>
    </row>
    <row r="1598" spans="1:1" x14ac:dyDescent="0.35">
      <c r="A1598" t="str">
        <f t="shared" si="24"/>
        <v/>
      </c>
    </row>
    <row r="1599" spans="1:1" x14ac:dyDescent="0.35">
      <c r="A1599" t="str">
        <f t="shared" si="24"/>
        <v/>
      </c>
    </row>
    <row r="1600" spans="1:1" x14ac:dyDescent="0.35">
      <c r="A1600" t="str">
        <f t="shared" si="24"/>
        <v/>
      </c>
    </row>
    <row r="1601" spans="1:1" x14ac:dyDescent="0.35">
      <c r="A1601" t="str">
        <f t="shared" si="24"/>
        <v/>
      </c>
    </row>
    <row r="1602" spans="1:1" x14ac:dyDescent="0.35">
      <c r="A1602" t="str">
        <f t="shared" si="24"/>
        <v/>
      </c>
    </row>
    <row r="1603" spans="1:1" x14ac:dyDescent="0.35">
      <c r="A1603" t="str">
        <f t="shared" ref="A1603:A1666" si="25">C1603&amp;D1603&amp;E1603&amp;G1603&amp;H1603&amp;I1603</f>
        <v/>
      </c>
    </row>
    <row r="1604" spans="1:1" x14ac:dyDescent="0.35">
      <c r="A1604" t="str">
        <f t="shared" si="25"/>
        <v/>
      </c>
    </row>
    <row r="1605" spans="1:1" x14ac:dyDescent="0.35">
      <c r="A1605" t="str">
        <f t="shared" si="25"/>
        <v/>
      </c>
    </row>
    <row r="1606" spans="1:1" x14ac:dyDescent="0.35">
      <c r="A1606" t="str">
        <f t="shared" si="25"/>
        <v/>
      </c>
    </row>
    <row r="1607" spans="1:1" x14ac:dyDescent="0.35">
      <c r="A1607" t="str">
        <f t="shared" si="25"/>
        <v/>
      </c>
    </row>
    <row r="1608" spans="1:1" x14ac:dyDescent="0.35">
      <c r="A1608" t="str">
        <f t="shared" si="25"/>
        <v/>
      </c>
    </row>
    <row r="1609" spans="1:1" x14ac:dyDescent="0.35">
      <c r="A1609" t="str">
        <f t="shared" si="25"/>
        <v/>
      </c>
    </row>
    <row r="1610" spans="1:1" x14ac:dyDescent="0.35">
      <c r="A1610" t="str">
        <f t="shared" si="25"/>
        <v/>
      </c>
    </row>
    <row r="1611" spans="1:1" x14ac:dyDescent="0.35">
      <c r="A1611" t="str">
        <f t="shared" si="25"/>
        <v/>
      </c>
    </row>
    <row r="1612" spans="1:1" x14ac:dyDescent="0.35">
      <c r="A1612" t="str">
        <f t="shared" si="25"/>
        <v/>
      </c>
    </row>
    <row r="1613" spans="1:1" x14ac:dyDescent="0.35">
      <c r="A1613" t="str">
        <f t="shared" si="25"/>
        <v/>
      </c>
    </row>
    <row r="1614" spans="1:1" x14ac:dyDescent="0.35">
      <c r="A1614" t="str">
        <f t="shared" si="25"/>
        <v/>
      </c>
    </row>
    <row r="1615" spans="1:1" x14ac:dyDescent="0.35">
      <c r="A1615" t="str">
        <f t="shared" si="25"/>
        <v/>
      </c>
    </row>
    <row r="1616" spans="1:1" x14ac:dyDescent="0.35">
      <c r="A1616" t="str">
        <f t="shared" si="25"/>
        <v/>
      </c>
    </row>
    <row r="1617" spans="1:1" x14ac:dyDescent="0.35">
      <c r="A1617" t="str">
        <f t="shared" si="25"/>
        <v/>
      </c>
    </row>
    <row r="1618" spans="1:1" x14ac:dyDescent="0.35">
      <c r="A1618" t="str">
        <f t="shared" si="25"/>
        <v/>
      </c>
    </row>
    <row r="1619" spans="1:1" x14ac:dyDescent="0.35">
      <c r="A1619" t="str">
        <f t="shared" si="25"/>
        <v/>
      </c>
    </row>
    <row r="1620" spans="1:1" x14ac:dyDescent="0.35">
      <c r="A1620" t="str">
        <f t="shared" si="25"/>
        <v/>
      </c>
    </row>
    <row r="1621" spans="1:1" x14ac:dyDescent="0.35">
      <c r="A1621" t="str">
        <f t="shared" si="25"/>
        <v/>
      </c>
    </row>
    <row r="1622" spans="1:1" x14ac:dyDescent="0.35">
      <c r="A1622" t="str">
        <f t="shared" si="25"/>
        <v/>
      </c>
    </row>
    <row r="1623" spans="1:1" x14ac:dyDescent="0.35">
      <c r="A1623" t="str">
        <f t="shared" si="25"/>
        <v/>
      </c>
    </row>
    <row r="1624" spans="1:1" x14ac:dyDescent="0.35">
      <c r="A1624" t="str">
        <f t="shared" si="25"/>
        <v/>
      </c>
    </row>
    <row r="1625" spans="1:1" x14ac:dyDescent="0.35">
      <c r="A1625" t="str">
        <f t="shared" si="25"/>
        <v/>
      </c>
    </row>
    <row r="1626" spans="1:1" x14ac:dyDescent="0.35">
      <c r="A1626" t="str">
        <f t="shared" si="25"/>
        <v/>
      </c>
    </row>
    <row r="1627" spans="1:1" x14ac:dyDescent="0.35">
      <c r="A1627" t="str">
        <f t="shared" si="25"/>
        <v/>
      </c>
    </row>
    <row r="1628" spans="1:1" x14ac:dyDescent="0.35">
      <c r="A1628" t="str">
        <f t="shared" si="25"/>
        <v/>
      </c>
    </row>
    <row r="1629" spans="1:1" x14ac:dyDescent="0.35">
      <c r="A1629" t="str">
        <f t="shared" si="25"/>
        <v/>
      </c>
    </row>
    <row r="1630" spans="1:1" x14ac:dyDescent="0.35">
      <c r="A1630" t="str">
        <f t="shared" si="25"/>
        <v/>
      </c>
    </row>
    <row r="1631" spans="1:1" x14ac:dyDescent="0.35">
      <c r="A1631" t="str">
        <f t="shared" si="25"/>
        <v/>
      </c>
    </row>
    <row r="1632" spans="1:1" x14ac:dyDescent="0.35">
      <c r="A1632" t="str">
        <f t="shared" si="25"/>
        <v/>
      </c>
    </row>
    <row r="1633" spans="1:1" x14ac:dyDescent="0.35">
      <c r="A1633" t="str">
        <f t="shared" si="25"/>
        <v/>
      </c>
    </row>
    <row r="1634" spans="1:1" x14ac:dyDescent="0.35">
      <c r="A1634" t="str">
        <f t="shared" si="25"/>
        <v/>
      </c>
    </row>
    <row r="1635" spans="1:1" x14ac:dyDescent="0.35">
      <c r="A1635" t="str">
        <f t="shared" si="25"/>
        <v/>
      </c>
    </row>
    <row r="1636" spans="1:1" x14ac:dyDescent="0.35">
      <c r="A1636" t="str">
        <f t="shared" si="25"/>
        <v/>
      </c>
    </row>
    <row r="1637" spans="1:1" x14ac:dyDescent="0.35">
      <c r="A1637" t="str">
        <f t="shared" si="25"/>
        <v/>
      </c>
    </row>
    <row r="1638" spans="1:1" x14ac:dyDescent="0.35">
      <c r="A1638" t="str">
        <f t="shared" si="25"/>
        <v/>
      </c>
    </row>
    <row r="1639" spans="1:1" x14ac:dyDescent="0.35">
      <c r="A1639" t="str">
        <f t="shared" si="25"/>
        <v/>
      </c>
    </row>
    <row r="1640" spans="1:1" x14ac:dyDescent="0.35">
      <c r="A1640" t="str">
        <f t="shared" si="25"/>
        <v/>
      </c>
    </row>
    <row r="1641" spans="1:1" x14ac:dyDescent="0.35">
      <c r="A1641" t="str">
        <f t="shared" si="25"/>
        <v/>
      </c>
    </row>
    <row r="1642" spans="1:1" x14ac:dyDescent="0.35">
      <c r="A1642" t="str">
        <f t="shared" si="25"/>
        <v/>
      </c>
    </row>
    <row r="1643" spans="1:1" x14ac:dyDescent="0.35">
      <c r="A1643" t="str">
        <f t="shared" si="25"/>
        <v/>
      </c>
    </row>
    <row r="1644" spans="1:1" x14ac:dyDescent="0.35">
      <c r="A1644" t="str">
        <f t="shared" si="25"/>
        <v/>
      </c>
    </row>
    <row r="1645" spans="1:1" x14ac:dyDescent="0.35">
      <c r="A1645" t="str">
        <f t="shared" si="25"/>
        <v/>
      </c>
    </row>
    <row r="1646" spans="1:1" x14ac:dyDescent="0.35">
      <c r="A1646" t="str">
        <f t="shared" si="25"/>
        <v/>
      </c>
    </row>
    <row r="1647" spans="1:1" x14ac:dyDescent="0.35">
      <c r="A1647" t="str">
        <f t="shared" si="25"/>
        <v/>
      </c>
    </row>
    <row r="1648" spans="1:1" x14ac:dyDescent="0.35">
      <c r="A1648" t="str">
        <f t="shared" si="25"/>
        <v/>
      </c>
    </row>
    <row r="1649" spans="1:1" x14ac:dyDescent="0.35">
      <c r="A1649" t="str">
        <f t="shared" si="25"/>
        <v/>
      </c>
    </row>
    <row r="1650" spans="1:1" x14ac:dyDescent="0.35">
      <c r="A1650" t="str">
        <f t="shared" si="25"/>
        <v/>
      </c>
    </row>
    <row r="1651" spans="1:1" x14ac:dyDescent="0.35">
      <c r="A1651" t="str">
        <f t="shared" si="25"/>
        <v/>
      </c>
    </row>
    <row r="1652" spans="1:1" x14ac:dyDescent="0.35">
      <c r="A1652" t="str">
        <f t="shared" si="25"/>
        <v/>
      </c>
    </row>
    <row r="1653" spans="1:1" x14ac:dyDescent="0.35">
      <c r="A1653" t="str">
        <f t="shared" si="25"/>
        <v/>
      </c>
    </row>
    <row r="1654" spans="1:1" x14ac:dyDescent="0.35">
      <c r="A1654" t="str">
        <f t="shared" si="25"/>
        <v/>
      </c>
    </row>
    <row r="1655" spans="1:1" x14ac:dyDescent="0.35">
      <c r="A1655" t="str">
        <f t="shared" si="25"/>
        <v/>
      </c>
    </row>
    <row r="1656" spans="1:1" x14ac:dyDescent="0.35">
      <c r="A1656" t="str">
        <f t="shared" si="25"/>
        <v/>
      </c>
    </row>
    <row r="1657" spans="1:1" x14ac:dyDescent="0.35">
      <c r="A1657" t="str">
        <f t="shared" si="25"/>
        <v/>
      </c>
    </row>
    <row r="1658" spans="1:1" x14ac:dyDescent="0.35">
      <c r="A1658" t="str">
        <f t="shared" si="25"/>
        <v/>
      </c>
    </row>
    <row r="1659" spans="1:1" x14ac:dyDescent="0.35">
      <c r="A1659" t="str">
        <f t="shared" si="25"/>
        <v/>
      </c>
    </row>
    <row r="1660" spans="1:1" x14ac:dyDescent="0.35">
      <c r="A1660" t="str">
        <f t="shared" si="25"/>
        <v/>
      </c>
    </row>
    <row r="1661" spans="1:1" x14ac:dyDescent="0.35">
      <c r="A1661" t="str">
        <f t="shared" si="25"/>
        <v/>
      </c>
    </row>
    <row r="1662" spans="1:1" x14ac:dyDescent="0.35">
      <c r="A1662" t="str">
        <f t="shared" si="25"/>
        <v/>
      </c>
    </row>
    <row r="1663" spans="1:1" x14ac:dyDescent="0.35">
      <c r="A1663" t="str">
        <f t="shared" si="25"/>
        <v/>
      </c>
    </row>
    <row r="1664" spans="1:1" x14ac:dyDescent="0.35">
      <c r="A1664" t="str">
        <f t="shared" si="25"/>
        <v/>
      </c>
    </row>
    <row r="1665" spans="1:1" x14ac:dyDescent="0.35">
      <c r="A1665" t="str">
        <f t="shared" si="25"/>
        <v/>
      </c>
    </row>
    <row r="1666" spans="1:1" x14ac:dyDescent="0.35">
      <c r="A1666" t="str">
        <f t="shared" si="25"/>
        <v/>
      </c>
    </row>
    <row r="1667" spans="1:1" x14ac:dyDescent="0.35">
      <c r="A1667" t="str">
        <f t="shared" ref="A1667:A1730" si="26">C1667&amp;D1667&amp;E1667&amp;G1667&amp;H1667&amp;I1667</f>
        <v/>
      </c>
    </row>
    <row r="1668" spans="1:1" x14ac:dyDescent="0.35">
      <c r="A1668" t="str">
        <f t="shared" si="26"/>
        <v/>
      </c>
    </row>
    <row r="1669" spans="1:1" x14ac:dyDescent="0.35">
      <c r="A1669" t="str">
        <f t="shared" si="26"/>
        <v/>
      </c>
    </row>
    <row r="1670" spans="1:1" x14ac:dyDescent="0.35">
      <c r="A1670" t="str">
        <f t="shared" si="26"/>
        <v/>
      </c>
    </row>
    <row r="1671" spans="1:1" x14ac:dyDescent="0.35">
      <c r="A1671" t="str">
        <f t="shared" si="26"/>
        <v/>
      </c>
    </row>
    <row r="1672" spans="1:1" x14ac:dyDescent="0.35">
      <c r="A1672" t="str">
        <f t="shared" si="26"/>
        <v/>
      </c>
    </row>
    <row r="1673" spans="1:1" x14ac:dyDescent="0.35">
      <c r="A1673" t="str">
        <f t="shared" si="26"/>
        <v/>
      </c>
    </row>
    <row r="1674" spans="1:1" x14ac:dyDescent="0.35">
      <c r="A1674" t="str">
        <f t="shared" si="26"/>
        <v/>
      </c>
    </row>
    <row r="1675" spans="1:1" x14ac:dyDescent="0.35">
      <c r="A1675" t="str">
        <f t="shared" si="26"/>
        <v/>
      </c>
    </row>
    <row r="1676" spans="1:1" x14ac:dyDescent="0.35">
      <c r="A1676" t="str">
        <f t="shared" si="26"/>
        <v/>
      </c>
    </row>
    <row r="1677" spans="1:1" x14ac:dyDescent="0.35">
      <c r="A1677" t="str">
        <f t="shared" si="26"/>
        <v/>
      </c>
    </row>
    <row r="1678" spans="1:1" x14ac:dyDescent="0.35">
      <c r="A1678" t="str">
        <f t="shared" si="26"/>
        <v/>
      </c>
    </row>
    <row r="1679" spans="1:1" x14ac:dyDescent="0.35">
      <c r="A1679" t="str">
        <f t="shared" si="26"/>
        <v/>
      </c>
    </row>
    <row r="1680" spans="1:1" x14ac:dyDescent="0.35">
      <c r="A1680" t="str">
        <f t="shared" si="26"/>
        <v/>
      </c>
    </row>
    <row r="1681" spans="1:1" x14ac:dyDescent="0.35">
      <c r="A1681" t="str">
        <f t="shared" si="26"/>
        <v/>
      </c>
    </row>
    <row r="1682" spans="1:1" x14ac:dyDescent="0.35">
      <c r="A1682" t="str">
        <f t="shared" si="26"/>
        <v/>
      </c>
    </row>
    <row r="1683" spans="1:1" x14ac:dyDescent="0.35">
      <c r="A1683" t="str">
        <f t="shared" si="26"/>
        <v/>
      </c>
    </row>
    <row r="1684" spans="1:1" x14ac:dyDescent="0.35">
      <c r="A1684" t="str">
        <f t="shared" si="26"/>
        <v/>
      </c>
    </row>
    <row r="1685" spans="1:1" x14ac:dyDescent="0.35">
      <c r="A1685" t="str">
        <f t="shared" si="26"/>
        <v/>
      </c>
    </row>
    <row r="1686" spans="1:1" x14ac:dyDescent="0.35">
      <c r="A1686" t="str">
        <f t="shared" si="26"/>
        <v/>
      </c>
    </row>
    <row r="1687" spans="1:1" x14ac:dyDescent="0.35">
      <c r="A1687" t="str">
        <f t="shared" si="26"/>
        <v/>
      </c>
    </row>
    <row r="1688" spans="1:1" x14ac:dyDescent="0.35">
      <c r="A1688" t="str">
        <f t="shared" si="26"/>
        <v/>
      </c>
    </row>
    <row r="1689" spans="1:1" x14ac:dyDescent="0.35">
      <c r="A1689" t="str">
        <f t="shared" si="26"/>
        <v/>
      </c>
    </row>
    <row r="1690" spans="1:1" x14ac:dyDescent="0.35">
      <c r="A1690" t="str">
        <f t="shared" si="26"/>
        <v/>
      </c>
    </row>
    <row r="1691" spans="1:1" x14ac:dyDescent="0.35">
      <c r="A1691" t="str">
        <f t="shared" si="26"/>
        <v/>
      </c>
    </row>
    <row r="1692" spans="1:1" x14ac:dyDescent="0.35">
      <c r="A1692" t="str">
        <f t="shared" si="26"/>
        <v/>
      </c>
    </row>
    <row r="1693" spans="1:1" x14ac:dyDescent="0.35">
      <c r="A1693" t="str">
        <f t="shared" si="26"/>
        <v/>
      </c>
    </row>
    <row r="1694" spans="1:1" x14ac:dyDescent="0.35">
      <c r="A1694" t="str">
        <f t="shared" si="26"/>
        <v/>
      </c>
    </row>
    <row r="1695" spans="1:1" x14ac:dyDescent="0.35">
      <c r="A1695" t="str">
        <f t="shared" si="26"/>
        <v/>
      </c>
    </row>
    <row r="1696" spans="1:1" x14ac:dyDescent="0.35">
      <c r="A1696" t="str">
        <f t="shared" si="26"/>
        <v/>
      </c>
    </row>
    <row r="1697" spans="1:1" x14ac:dyDescent="0.35">
      <c r="A1697" t="str">
        <f t="shared" si="26"/>
        <v/>
      </c>
    </row>
    <row r="1698" spans="1:1" x14ac:dyDescent="0.35">
      <c r="A1698" t="str">
        <f t="shared" si="26"/>
        <v/>
      </c>
    </row>
    <row r="1699" spans="1:1" x14ac:dyDescent="0.35">
      <c r="A1699" t="str">
        <f t="shared" si="26"/>
        <v/>
      </c>
    </row>
    <row r="1700" spans="1:1" x14ac:dyDescent="0.35">
      <c r="A1700" t="str">
        <f t="shared" si="26"/>
        <v/>
      </c>
    </row>
    <row r="1701" spans="1:1" x14ac:dyDescent="0.35">
      <c r="A1701" t="str">
        <f t="shared" si="26"/>
        <v/>
      </c>
    </row>
    <row r="1702" spans="1:1" x14ac:dyDescent="0.35">
      <c r="A1702" t="str">
        <f t="shared" si="26"/>
        <v/>
      </c>
    </row>
    <row r="1703" spans="1:1" x14ac:dyDescent="0.35">
      <c r="A1703" t="str">
        <f t="shared" si="26"/>
        <v/>
      </c>
    </row>
    <row r="1704" spans="1:1" x14ac:dyDescent="0.35">
      <c r="A1704" t="str">
        <f t="shared" si="26"/>
        <v/>
      </c>
    </row>
    <row r="1705" spans="1:1" x14ac:dyDescent="0.35">
      <c r="A1705" t="str">
        <f t="shared" si="26"/>
        <v/>
      </c>
    </row>
    <row r="1706" spans="1:1" x14ac:dyDescent="0.35">
      <c r="A1706" t="str">
        <f t="shared" si="26"/>
        <v/>
      </c>
    </row>
    <row r="1707" spans="1:1" x14ac:dyDescent="0.35">
      <c r="A1707" t="str">
        <f t="shared" si="26"/>
        <v/>
      </c>
    </row>
    <row r="1708" spans="1:1" x14ac:dyDescent="0.35">
      <c r="A1708" t="str">
        <f t="shared" si="26"/>
        <v/>
      </c>
    </row>
    <row r="1709" spans="1:1" x14ac:dyDescent="0.35">
      <c r="A1709" t="str">
        <f t="shared" si="26"/>
        <v/>
      </c>
    </row>
    <row r="1710" spans="1:1" x14ac:dyDescent="0.35">
      <c r="A1710" t="str">
        <f t="shared" si="26"/>
        <v/>
      </c>
    </row>
    <row r="1711" spans="1:1" x14ac:dyDescent="0.35">
      <c r="A1711" t="str">
        <f t="shared" si="26"/>
        <v/>
      </c>
    </row>
    <row r="1712" spans="1:1" x14ac:dyDescent="0.35">
      <c r="A1712" t="str">
        <f t="shared" si="26"/>
        <v/>
      </c>
    </row>
    <row r="1713" spans="1:1" x14ac:dyDescent="0.35">
      <c r="A1713" t="str">
        <f t="shared" si="26"/>
        <v/>
      </c>
    </row>
    <row r="1714" spans="1:1" x14ac:dyDescent="0.35">
      <c r="A1714" t="str">
        <f t="shared" si="26"/>
        <v/>
      </c>
    </row>
    <row r="1715" spans="1:1" x14ac:dyDescent="0.35">
      <c r="A1715" t="str">
        <f t="shared" si="26"/>
        <v/>
      </c>
    </row>
    <row r="1716" spans="1:1" x14ac:dyDescent="0.35">
      <c r="A1716" t="str">
        <f t="shared" si="26"/>
        <v/>
      </c>
    </row>
    <row r="1717" spans="1:1" x14ac:dyDescent="0.35">
      <c r="A1717" t="str">
        <f t="shared" si="26"/>
        <v/>
      </c>
    </row>
    <row r="1718" spans="1:1" x14ac:dyDescent="0.35">
      <c r="A1718" t="str">
        <f t="shared" si="26"/>
        <v/>
      </c>
    </row>
    <row r="1719" spans="1:1" x14ac:dyDescent="0.35">
      <c r="A1719" t="str">
        <f t="shared" si="26"/>
        <v/>
      </c>
    </row>
    <row r="1720" spans="1:1" x14ac:dyDescent="0.35">
      <c r="A1720" t="str">
        <f t="shared" si="26"/>
        <v/>
      </c>
    </row>
    <row r="1721" spans="1:1" x14ac:dyDescent="0.35">
      <c r="A1721" t="str">
        <f t="shared" si="26"/>
        <v/>
      </c>
    </row>
    <row r="1722" spans="1:1" x14ac:dyDescent="0.35">
      <c r="A1722" t="str">
        <f t="shared" si="26"/>
        <v/>
      </c>
    </row>
    <row r="1723" spans="1:1" x14ac:dyDescent="0.35">
      <c r="A1723" t="str">
        <f t="shared" si="26"/>
        <v/>
      </c>
    </row>
    <row r="1724" spans="1:1" x14ac:dyDescent="0.35">
      <c r="A1724" t="str">
        <f t="shared" si="26"/>
        <v/>
      </c>
    </row>
    <row r="1725" spans="1:1" x14ac:dyDescent="0.35">
      <c r="A1725" t="str">
        <f t="shared" si="26"/>
        <v/>
      </c>
    </row>
    <row r="1726" spans="1:1" x14ac:dyDescent="0.35">
      <c r="A1726" t="str">
        <f t="shared" si="26"/>
        <v/>
      </c>
    </row>
    <row r="1727" spans="1:1" x14ac:dyDescent="0.35">
      <c r="A1727" t="str">
        <f t="shared" si="26"/>
        <v/>
      </c>
    </row>
    <row r="1728" spans="1:1" x14ac:dyDescent="0.35">
      <c r="A1728" t="str">
        <f t="shared" si="26"/>
        <v/>
      </c>
    </row>
    <row r="1729" spans="1:1" x14ac:dyDescent="0.35">
      <c r="A1729" t="str">
        <f t="shared" si="26"/>
        <v/>
      </c>
    </row>
    <row r="1730" spans="1:1" x14ac:dyDescent="0.35">
      <c r="A1730" t="str">
        <f t="shared" si="26"/>
        <v/>
      </c>
    </row>
    <row r="1731" spans="1:1" x14ac:dyDescent="0.35">
      <c r="A1731" t="str">
        <f t="shared" ref="A1731:A1794" si="27">C1731&amp;D1731&amp;E1731&amp;G1731&amp;H1731&amp;I1731</f>
        <v/>
      </c>
    </row>
    <row r="1732" spans="1:1" x14ac:dyDescent="0.35">
      <c r="A1732" t="str">
        <f t="shared" si="27"/>
        <v/>
      </c>
    </row>
    <row r="1733" spans="1:1" x14ac:dyDescent="0.35">
      <c r="A1733" t="str">
        <f t="shared" si="27"/>
        <v/>
      </c>
    </row>
    <row r="1734" spans="1:1" x14ac:dyDescent="0.35">
      <c r="A1734" t="str">
        <f t="shared" si="27"/>
        <v/>
      </c>
    </row>
    <row r="1735" spans="1:1" x14ac:dyDescent="0.35">
      <c r="A1735" t="str">
        <f t="shared" si="27"/>
        <v/>
      </c>
    </row>
    <row r="1736" spans="1:1" x14ac:dyDescent="0.35">
      <c r="A1736" t="str">
        <f t="shared" si="27"/>
        <v/>
      </c>
    </row>
    <row r="1737" spans="1:1" x14ac:dyDescent="0.35">
      <c r="A1737" t="str">
        <f t="shared" si="27"/>
        <v/>
      </c>
    </row>
    <row r="1738" spans="1:1" x14ac:dyDescent="0.35">
      <c r="A1738" t="str">
        <f t="shared" si="27"/>
        <v/>
      </c>
    </row>
    <row r="1739" spans="1:1" x14ac:dyDescent="0.35">
      <c r="A1739" t="str">
        <f t="shared" si="27"/>
        <v/>
      </c>
    </row>
    <row r="1740" spans="1:1" x14ac:dyDescent="0.35">
      <c r="A1740" t="str">
        <f t="shared" si="27"/>
        <v/>
      </c>
    </row>
    <row r="1741" spans="1:1" x14ac:dyDescent="0.35">
      <c r="A1741" t="str">
        <f t="shared" si="27"/>
        <v/>
      </c>
    </row>
    <row r="1742" spans="1:1" x14ac:dyDescent="0.35">
      <c r="A1742" t="str">
        <f t="shared" si="27"/>
        <v/>
      </c>
    </row>
    <row r="1743" spans="1:1" x14ac:dyDescent="0.35">
      <c r="A1743" t="str">
        <f t="shared" si="27"/>
        <v/>
      </c>
    </row>
    <row r="1744" spans="1:1" x14ac:dyDescent="0.35">
      <c r="A1744" t="str">
        <f t="shared" si="27"/>
        <v/>
      </c>
    </row>
    <row r="1745" spans="1:1" x14ac:dyDescent="0.35">
      <c r="A1745" t="str">
        <f t="shared" si="27"/>
        <v/>
      </c>
    </row>
    <row r="1746" spans="1:1" x14ac:dyDescent="0.35">
      <c r="A1746" t="str">
        <f t="shared" si="27"/>
        <v/>
      </c>
    </row>
    <row r="1747" spans="1:1" x14ac:dyDescent="0.35">
      <c r="A1747" t="str">
        <f t="shared" si="27"/>
        <v/>
      </c>
    </row>
    <row r="1748" spans="1:1" x14ac:dyDescent="0.35">
      <c r="A1748" t="str">
        <f t="shared" si="27"/>
        <v/>
      </c>
    </row>
    <row r="1749" spans="1:1" x14ac:dyDescent="0.35">
      <c r="A1749" t="str">
        <f t="shared" si="27"/>
        <v/>
      </c>
    </row>
    <row r="1750" spans="1:1" x14ac:dyDescent="0.35">
      <c r="A1750" t="str">
        <f t="shared" si="27"/>
        <v/>
      </c>
    </row>
    <row r="1751" spans="1:1" x14ac:dyDescent="0.35">
      <c r="A1751" t="str">
        <f t="shared" si="27"/>
        <v/>
      </c>
    </row>
    <row r="1752" spans="1:1" x14ac:dyDescent="0.35">
      <c r="A1752" t="str">
        <f t="shared" si="27"/>
        <v/>
      </c>
    </row>
    <row r="1753" spans="1:1" x14ac:dyDescent="0.35">
      <c r="A1753" t="str">
        <f t="shared" si="27"/>
        <v/>
      </c>
    </row>
    <row r="1754" spans="1:1" x14ac:dyDescent="0.35">
      <c r="A1754" t="str">
        <f t="shared" si="27"/>
        <v/>
      </c>
    </row>
    <row r="1755" spans="1:1" x14ac:dyDescent="0.35">
      <c r="A1755" t="str">
        <f t="shared" si="27"/>
        <v/>
      </c>
    </row>
    <row r="1756" spans="1:1" x14ac:dyDescent="0.35">
      <c r="A1756" t="str">
        <f t="shared" si="27"/>
        <v/>
      </c>
    </row>
    <row r="1757" spans="1:1" x14ac:dyDescent="0.35">
      <c r="A1757" t="str">
        <f t="shared" si="27"/>
        <v/>
      </c>
    </row>
    <row r="1758" spans="1:1" x14ac:dyDescent="0.35">
      <c r="A1758" t="str">
        <f t="shared" si="27"/>
        <v/>
      </c>
    </row>
    <row r="1759" spans="1:1" x14ac:dyDescent="0.35">
      <c r="A1759" t="str">
        <f t="shared" si="27"/>
        <v/>
      </c>
    </row>
    <row r="1760" spans="1:1" x14ac:dyDescent="0.35">
      <c r="A1760" t="str">
        <f t="shared" si="27"/>
        <v/>
      </c>
    </row>
    <row r="1761" spans="1:1" x14ac:dyDescent="0.35">
      <c r="A1761" t="str">
        <f t="shared" si="27"/>
        <v/>
      </c>
    </row>
    <row r="1762" spans="1:1" x14ac:dyDescent="0.35">
      <c r="A1762" t="str">
        <f t="shared" si="27"/>
        <v/>
      </c>
    </row>
    <row r="1763" spans="1:1" x14ac:dyDescent="0.35">
      <c r="A1763" t="str">
        <f t="shared" si="27"/>
        <v/>
      </c>
    </row>
    <row r="1764" spans="1:1" x14ac:dyDescent="0.35">
      <c r="A1764" t="str">
        <f t="shared" si="27"/>
        <v/>
      </c>
    </row>
    <row r="1765" spans="1:1" x14ac:dyDescent="0.35">
      <c r="A1765" t="str">
        <f t="shared" si="27"/>
        <v/>
      </c>
    </row>
    <row r="1766" spans="1:1" x14ac:dyDescent="0.35">
      <c r="A1766" t="str">
        <f t="shared" si="27"/>
        <v/>
      </c>
    </row>
    <row r="1767" spans="1:1" x14ac:dyDescent="0.35">
      <c r="A1767" t="str">
        <f t="shared" si="27"/>
        <v/>
      </c>
    </row>
    <row r="1768" spans="1:1" x14ac:dyDescent="0.35">
      <c r="A1768" t="str">
        <f t="shared" si="27"/>
        <v/>
      </c>
    </row>
    <row r="1769" spans="1:1" x14ac:dyDescent="0.35">
      <c r="A1769" t="str">
        <f t="shared" si="27"/>
        <v/>
      </c>
    </row>
    <row r="1770" spans="1:1" x14ac:dyDescent="0.35">
      <c r="A1770" t="str">
        <f t="shared" si="27"/>
        <v/>
      </c>
    </row>
    <row r="1771" spans="1:1" x14ac:dyDescent="0.35">
      <c r="A1771" t="str">
        <f t="shared" si="27"/>
        <v/>
      </c>
    </row>
    <row r="1772" spans="1:1" x14ac:dyDescent="0.35">
      <c r="A1772" t="str">
        <f t="shared" si="27"/>
        <v/>
      </c>
    </row>
    <row r="1773" spans="1:1" x14ac:dyDescent="0.35">
      <c r="A1773" t="str">
        <f t="shared" si="27"/>
        <v/>
      </c>
    </row>
    <row r="1774" spans="1:1" x14ac:dyDescent="0.35">
      <c r="A1774" t="str">
        <f t="shared" si="27"/>
        <v/>
      </c>
    </row>
    <row r="1775" spans="1:1" x14ac:dyDescent="0.35">
      <c r="A1775" t="str">
        <f t="shared" si="27"/>
        <v/>
      </c>
    </row>
    <row r="1776" spans="1:1" x14ac:dyDescent="0.35">
      <c r="A1776" t="str">
        <f t="shared" si="27"/>
        <v/>
      </c>
    </row>
    <row r="1777" spans="1:1" x14ac:dyDescent="0.35">
      <c r="A1777" t="str">
        <f t="shared" si="27"/>
        <v/>
      </c>
    </row>
    <row r="1778" spans="1:1" x14ac:dyDescent="0.35">
      <c r="A1778" t="str">
        <f t="shared" si="27"/>
        <v/>
      </c>
    </row>
    <row r="1779" spans="1:1" x14ac:dyDescent="0.35">
      <c r="A1779" t="str">
        <f t="shared" si="27"/>
        <v/>
      </c>
    </row>
    <row r="1780" spans="1:1" x14ac:dyDescent="0.35">
      <c r="A1780" t="str">
        <f t="shared" si="27"/>
        <v/>
      </c>
    </row>
    <row r="1781" spans="1:1" x14ac:dyDescent="0.35">
      <c r="A1781" t="str">
        <f t="shared" si="27"/>
        <v/>
      </c>
    </row>
    <row r="1782" spans="1:1" x14ac:dyDescent="0.35">
      <c r="A1782" t="str">
        <f t="shared" si="27"/>
        <v/>
      </c>
    </row>
    <row r="1783" spans="1:1" x14ac:dyDescent="0.35">
      <c r="A1783" t="str">
        <f t="shared" si="27"/>
        <v/>
      </c>
    </row>
    <row r="1784" spans="1:1" x14ac:dyDescent="0.35">
      <c r="A1784" t="str">
        <f t="shared" si="27"/>
        <v/>
      </c>
    </row>
    <row r="1785" spans="1:1" x14ac:dyDescent="0.35">
      <c r="A1785" t="str">
        <f t="shared" si="27"/>
        <v/>
      </c>
    </row>
    <row r="1786" spans="1:1" x14ac:dyDescent="0.35">
      <c r="A1786" t="str">
        <f t="shared" si="27"/>
        <v/>
      </c>
    </row>
    <row r="1787" spans="1:1" x14ac:dyDescent="0.35">
      <c r="A1787" t="str">
        <f t="shared" si="27"/>
        <v/>
      </c>
    </row>
    <row r="1788" spans="1:1" x14ac:dyDescent="0.35">
      <c r="A1788" t="str">
        <f t="shared" si="27"/>
        <v/>
      </c>
    </row>
    <row r="1789" spans="1:1" x14ac:dyDescent="0.35">
      <c r="A1789" t="str">
        <f t="shared" si="27"/>
        <v/>
      </c>
    </row>
    <row r="1790" spans="1:1" x14ac:dyDescent="0.35">
      <c r="A1790" t="str">
        <f t="shared" si="27"/>
        <v/>
      </c>
    </row>
    <row r="1791" spans="1:1" x14ac:dyDescent="0.35">
      <c r="A1791" t="str">
        <f t="shared" si="27"/>
        <v/>
      </c>
    </row>
    <row r="1792" spans="1:1" x14ac:dyDescent="0.35">
      <c r="A1792" t="str">
        <f t="shared" si="27"/>
        <v/>
      </c>
    </row>
    <row r="1793" spans="1:1" x14ac:dyDescent="0.35">
      <c r="A1793" t="str">
        <f t="shared" si="27"/>
        <v/>
      </c>
    </row>
    <row r="1794" spans="1:1" x14ac:dyDescent="0.35">
      <c r="A1794" t="str">
        <f t="shared" si="27"/>
        <v/>
      </c>
    </row>
    <row r="1795" spans="1:1" x14ac:dyDescent="0.35">
      <c r="A1795" t="str">
        <f t="shared" ref="A1795:A1858" si="28">C1795&amp;D1795&amp;E1795&amp;G1795&amp;H1795&amp;I1795</f>
        <v/>
      </c>
    </row>
    <row r="1796" spans="1:1" x14ac:dyDescent="0.35">
      <c r="A1796" t="str">
        <f t="shared" si="28"/>
        <v/>
      </c>
    </row>
    <row r="1797" spans="1:1" x14ac:dyDescent="0.35">
      <c r="A1797" t="str">
        <f t="shared" si="28"/>
        <v/>
      </c>
    </row>
    <row r="1798" spans="1:1" x14ac:dyDescent="0.35">
      <c r="A1798" t="str">
        <f t="shared" si="28"/>
        <v/>
      </c>
    </row>
    <row r="1799" spans="1:1" x14ac:dyDescent="0.35">
      <c r="A1799" t="str">
        <f t="shared" si="28"/>
        <v/>
      </c>
    </row>
    <row r="1800" spans="1:1" x14ac:dyDescent="0.35">
      <c r="A1800" t="str">
        <f t="shared" si="28"/>
        <v/>
      </c>
    </row>
    <row r="1801" spans="1:1" x14ac:dyDescent="0.35">
      <c r="A1801" t="str">
        <f t="shared" si="28"/>
        <v/>
      </c>
    </row>
    <row r="1802" spans="1:1" x14ac:dyDescent="0.35">
      <c r="A1802" t="str">
        <f t="shared" si="28"/>
        <v/>
      </c>
    </row>
    <row r="1803" spans="1:1" x14ac:dyDescent="0.35">
      <c r="A1803" t="str">
        <f t="shared" si="28"/>
        <v/>
      </c>
    </row>
    <row r="1804" spans="1:1" x14ac:dyDescent="0.35">
      <c r="A1804" t="str">
        <f t="shared" si="28"/>
        <v/>
      </c>
    </row>
    <row r="1805" spans="1:1" x14ac:dyDescent="0.35">
      <c r="A1805" t="str">
        <f t="shared" si="28"/>
        <v/>
      </c>
    </row>
    <row r="1806" spans="1:1" x14ac:dyDescent="0.35">
      <c r="A1806" t="str">
        <f t="shared" si="28"/>
        <v/>
      </c>
    </row>
    <row r="1807" spans="1:1" x14ac:dyDescent="0.35">
      <c r="A1807" t="str">
        <f t="shared" si="28"/>
        <v/>
      </c>
    </row>
    <row r="1808" spans="1:1" x14ac:dyDescent="0.35">
      <c r="A1808" t="str">
        <f t="shared" si="28"/>
        <v/>
      </c>
    </row>
    <row r="1809" spans="1:1" x14ac:dyDescent="0.35">
      <c r="A1809" t="str">
        <f t="shared" si="28"/>
        <v/>
      </c>
    </row>
    <row r="1810" spans="1:1" x14ac:dyDescent="0.35">
      <c r="A1810" t="str">
        <f t="shared" si="28"/>
        <v/>
      </c>
    </row>
    <row r="1811" spans="1:1" x14ac:dyDescent="0.35">
      <c r="A1811" t="str">
        <f t="shared" si="28"/>
        <v/>
      </c>
    </row>
    <row r="1812" spans="1:1" x14ac:dyDescent="0.35">
      <c r="A1812" t="str">
        <f t="shared" si="28"/>
        <v/>
      </c>
    </row>
    <row r="1813" spans="1:1" x14ac:dyDescent="0.35">
      <c r="A1813" t="str">
        <f t="shared" si="28"/>
        <v/>
      </c>
    </row>
    <row r="1814" spans="1:1" x14ac:dyDescent="0.35">
      <c r="A1814" t="str">
        <f t="shared" si="28"/>
        <v/>
      </c>
    </row>
    <row r="1815" spans="1:1" x14ac:dyDescent="0.35">
      <c r="A1815" t="str">
        <f t="shared" si="28"/>
        <v/>
      </c>
    </row>
    <row r="1816" spans="1:1" x14ac:dyDescent="0.35">
      <c r="A1816" t="str">
        <f t="shared" si="28"/>
        <v/>
      </c>
    </row>
    <row r="1817" spans="1:1" x14ac:dyDescent="0.35">
      <c r="A1817" t="str">
        <f t="shared" si="28"/>
        <v/>
      </c>
    </row>
    <row r="1818" spans="1:1" x14ac:dyDescent="0.35">
      <c r="A1818" t="str">
        <f t="shared" si="28"/>
        <v/>
      </c>
    </row>
    <row r="1819" spans="1:1" x14ac:dyDescent="0.35">
      <c r="A1819" t="str">
        <f t="shared" si="28"/>
        <v/>
      </c>
    </row>
    <row r="1820" spans="1:1" x14ac:dyDescent="0.35">
      <c r="A1820" t="str">
        <f t="shared" si="28"/>
        <v/>
      </c>
    </row>
    <row r="1821" spans="1:1" x14ac:dyDescent="0.35">
      <c r="A1821" t="str">
        <f t="shared" si="28"/>
        <v/>
      </c>
    </row>
    <row r="1822" spans="1:1" x14ac:dyDescent="0.35">
      <c r="A1822" t="str">
        <f t="shared" si="28"/>
        <v/>
      </c>
    </row>
    <row r="1823" spans="1:1" x14ac:dyDescent="0.35">
      <c r="A1823" t="str">
        <f t="shared" si="28"/>
        <v/>
      </c>
    </row>
    <row r="1824" spans="1:1" x14ac:dyDescent="0.35">
      <c r="A1824" t="str">
        <f t="shared" si="28"/>
        <v/>
      </c>
    </row>
    <row r="1825" spans="1:1" x14ac:dyDescent="0.35">
      <c r="A1825" t="str">
        <f t="shared" si="28"/>
        <v/>
      </c>
    </row>
    <row r="1826" spans="1:1" x14ac:dyDescent="0.35">
      <c r="A1826" t="str">
        <f t="shared" si="28"/>
        <v/>
      </c>
    </row>
    <row r="1827" spans="1:1" x14ac:dyDescent="0.35">
      <c r="A1827" t="str">
        <f t="shared" si="28"/>
        <v/>
      </c>
    </row>
    <row r="1828" spans="1:1" x14ac:dyDescent="0.35">
      <c r="A1828" t="str">
        <f t="shared" si="28"/>
        <v/>
      </c>
    </row>
    <row r="1829" spans="1:1" x14ac:dyDescent="0.35">
      <c r="A1829" t="str">
        <f t="shared" si="28"/>
        <v/>
      </c>
    </row>
    <row r="1830" spans="1:1" x14ac:dyDescent="0.35">
      <c r="A1830" t="str">
        <f t="shared" si="28"/>
        <v/>
      </c>
    </row>
    <row r="1831" spans="1:1" x14ac:dyDescent="0.35">
      <c r="A1831" t="str">
        <f t="shared" si="28"/>
        <v/>
      </c>
    </row>
    <row r="1832" spans="1:1" x14ac:dyDescent="0.35">
      <c r="A1832" t="str">
        <f t="shared" si="28"/>
        <v/>
      </c>
    </row>
    <row r="1833" spans="1:1" x14ac:dyDescent="0.35">
      <c r="A1833" t="str">
        <f t="shared" si="28"/>
        <v/>
      </c>
    </row>
    <row r="1834" spans="1:1" x14ac:dyDescent="0.35">
      <c r="A1834" t="str">
        <f t="shared" si="28"/>
        <v/>
      </c>
    </row>
    <row r="1835" spans="1:1" x14ac:dyDescent="0.35">
      <c r="A1835" t="str">
        <f t="shared" si="28"/>
        <v/>
      </c>
    </row>
    <row r="1836" spans="1:1" x14ac:dyDescent="0.35">
      <c r="A1836" t="str">
        <f t="shared" si="28"/>
        <v/>
      </c>
    </row>
    <row r="1837" spans="1:1" x14ac:dyDescent="0.35">
      <c r="A1837" t="str">
        <f t="shared" si="28"/>
        <v/>
      </c>
    </row>
    <row r="1838" spans="1:1" x14ac:dyDescent="0.35">
      <c r="A1838" t="str">
        <f t="shared" si="28"/>
        <v/>
      </c>
    </row>
    <row r="1839" spans="1:1" x14ac:dyDescent="0.35">
      <c r="A1839" t="str">
        <f t="shared" si="28"/>
        <v/>
      </c>
    </row>
    <row r="1840" spans="1:1" x14ac:dyDescent="0.35">
      <c r="A1840" t="str">
        <f t="shared" si="28"/>
        <v/>
      </c>
    </row>
    <row r="1841" spans="1:1" x14ac:dyDescent="0.35">
      <c r="A1841" t="str">
        <f t="shared" si="28"/>
        <v/>
      </c>
    </row>
    <row r="1842" spans="1:1" x14ac:dyDescent="0.35">
      <c r="A1842" t="str">
        <f t="shared" si="28"/>
        <v/>
      </c>
    </row>
    <row r="1843" spans="1:1" x14ac:dyDescent="0.35">
      <c r="A1843" t="str">
        <f t="shared" si="28"/>
        <v/>
      </c>
    </row>
    <row r="1844" spans="1:1" x14ac:dyDescent="0.35">
      <c r="A1844" t="str">
        <f t="shared" si="28"/>
        <v/>
      </c>
    </row>
    <row r="1845" spans="1:1" x14ac:dyDescent="0.35">
      <c r="A1845" t="str">
        <f t="shared" si="28"/>
        <v/>
      </c>
    </row>
    <row r="1846" spans="1:1" x14ac:dyDescent="0.35">
      <c r="A1846" t="str">
        <f t="shared" si="28"/>
        <v/>
      </c>
    </row>
    <row r="1847" spans="1:1" x14ac:dyDescent="0.35">
      <c r="A1847" t="str">
        <f t="shared" si="28"/>
        <v/>
      </c>
    </row>
    <row r="1848" spans="1:1" x14ac:dyDescent="0.35">
      <c r="A1848" t="str">
        <f t="shared" si="28"/>
        <v/>
      </c>
    </row>
    <row r="1849" spans="1:1" x14ac:dyDescent="0.35">
      <c r="A1849" t="str">
        <f t="shared" si="28"/>
        <v/>
      </c>
    </row>
    <row r="1850" spans="1:1" x14ac:dyDescent="0.35">
      <c r="A1850" t="str">
        <f t="shared" si="28"/>
        <v/>
      </c>
    </row>
    <row r="1851" spans="1:1" x14ac:dyDescent="0.35">
      <c r="A1851" t="str">
        <f t="shared" si="28"/>
        <v/>
      </c>
    </row>
    <row r="1852" spans="1:1" x14ac:dyDescent="0.35">
      <c r="A1852" t="str">
        <f t="shared" si="28"/>
        <v/>
      </c>
    </row>
    <row r="1853" spans="1:1" x14ac:dyDescent="0.35">
      <c r="A1853" t="str">
        <f t="shared" si="28"/>
        <v/>
      </c>
    </row>
    <row r="1854" spans="1:1" x14ac:dyDescent="0.35">
      <c r="A1854" t="str">
        <f t="shared" si="28"/>
        <v/>
      </c>
    </row>
    <row r="1855" spans="1:1" x14ac:dyDescent="0.35">
      <c r="A1855" t="str">
        <f t="shared" si="28"/>
        <v/>
      </c>
    </row>
    <row r="1856" spans="1:1" x14ac:dyDescent="0.35">
      <c r="A1856" t="str">
        <f t="shared" si="28"/>
        <v/>
      </c>
    </row>
    <row r="1857" spans="1:1" x14ac:dyDescent="0.35">
      <c r="A1857" t="str">
        <f t="shared" si="28"/>
        <v/>
      </c>
    </row>
    <row r="1858" spans="1:1" x14ac:dyDescent="0.35">
      <c r="A1858" t="str">
        <f t="shared" si="28"/>
        <v/>
      </c>
    </row>
    <row r="1859" spans="1:1" x14ac:dyDescent="0.35">
      <c r="A1859" t="str">
        <f t="shared" ref="A1859:A1922" si="29">C1859&amp;D1859&amp;E1859&amp;G1859&amp;H1859&amp;I1859</f>
        <v/>
      </c>
    </row>
    <row r="1860" spans="1:1" x14ac:dyDescent="0.35">
      <c r="A1860" t="str">
        <f t="shared" si="29"/>
        <v/>
      </c>
    </row>
    <row r="1861" spans="1:1" x14ac:dyDescent="0.35">
      <c r="A1861" t="str">
        <f t="shared" si="29"/>
        <v/>
      </c>
    </row>
    <row r="1862" spans="1:1" x14ac:dyDescent="0.35">
      <c r="A1862" t="str">
        <f t="shared" si="29"/>
        <v/>
      </c>
    </row>
    <row r="1863" spans="1:1" x14ac:dyDescent="0.35">
      <c r="A1863" t="str">
        <f t="shared" si="29"/>
        <v/>
      </c>
    </row>
    <row r="1864" spans="1:1" x14ac:dyDescent="0.35">
      <c r="A1864" t="str">
        <f t="shared" si="29"/>
        <v/>
      </c>
    </row>
    <row r="1865" spans="1:1" x14ac:dyDescent="0.35">
      <c r="A1865" t="str">
        <f t="shared" si="29"/>
        <v/>
      </c>
    </row>
    <row r="1866" spans="1:1" x14ac:dyDescent="0.35">
      <c r="A1866" t="str">
        <f t="shared" si="29"/>
        <v/>
      </c>
    </row>
    <row r="1867" spans="1:1" x14ac:dyDescent="0.35">
      <c r="A1867" t="str">
        <f t="shared" si="29"/>
        <v/>
      </c>
    </row>
    <row r="1868" spans="1:1" x14ac:dyDescent="0.35">
      <c r="A1868" t="str">
        <f t="shared" si="29"/>
        <v/>
      </c>
    </row>
    <row r="1869" spans="1:1" x14ac:dyDescent="0.35">
      <c r="A1869" t="str">
        <f t="shared" si="29"/>
        <v/>
      </c>
    </row>
    <row r="1870" spans="1:1" x14ac:dyDescent="0.35">
      <c r="A1870" t="str">
        <f t="shared" si="29"/>
        <v/>
      </c>
    </row>
    <row r="1871" spans="1:1" x14ac:dyDescent="0.35">
      <c r="A1871" t="str">
        <f t="shared" si="29"/>
        <v/>
      </c>
    </row>
    <row r="1872" spans="1:1" x14ac:dyDescent="0.35">
      <c r="A1872" t="str">
        <f t="shared" si="29"/>
        <v/>
      </c>
    </row>
    <row r="1873" spans="1:1" x14ac:dyDescent="0.35">
      <c r="A1873" t="str">
        <f t="shared" si="29"/>
        <v/>
      </c>
    </row>
    <row r="1874" spans="1:1" x14ac:dyDescent="0.35">
      <c r="A1874" t="str">
        <f t="shared" si="29"/>
        <v/>
      </c>
    </row>
    <row r="1875" spans="1:1" x14ac:dyDescent="0.35">
      <c r="A1875" t="str">
        <f t="shared" si="29"/>
        <v/>
      </c>
    </row>
    <row r="1876" spans="1:1" x14ac:dyDescent="0.35">
      <c r="A1876" t="str">
        <f t="shared" si="29"/>
        <v/>
      </c>
    </row>
    <row r="1877" spans="1:1" x14ac:dyDescent="0.35">
      <c r="A1877" t="str">
        <f t="shared" si="29"/>
        <v/>
      </c>
    </row>
    <row r="1878" spans="1:1" x14ac:dyDescent="0.35">
      <c r="A1878" t="str">
        <f t="shared" si="29"/>
        <v/>
      </c>
    </row>
    <row r="1879" spans="1:1" x14ac:dyDescent="0.35">
      <c r="A1879" t="str">
        <f t="shared" si="29"/>
        <v/>
      </c>
    </row>
    <row r="1880" spans="1:1" x14ac:dyDescent="0.35">
      <c r="A1880" t="str">
        <f t="shared" si="29"/>
        <v/>
      </c>
    </row>
    <row r="1881" spans="1:1" x14ac:dyDescent="0.35">
      <c r="A1881" t="str">
        <f t="shared" si="29"/>
        <v/>
      </c>
    </row>
    <row r="1882" spans="1:1" x14ac:dyDescent="0.35">
      <c r="A1882" t="str">
        <f t="shared" si="29"/>
        <v/>
      </c>
    </row>
    <row r="1883" spans="1:1" x14ac:dyDescent="0.35">
      <c r="A1883" t="str">
        <f t="shared" si="29"/>
        <v/>
      </c>
    </row>
    <row r="1884" spans="1:1" x14ac:dyDescent="0.35">
      <c r="A1884" t="str">
        <f t="shared" si="29"/>
        <v/>
      </c>
    </row>
    <row r="1885" spans="1:1" x14ac:dyDescent="0.35">
      <c r="A1885" t="str">
        <f t="shared" si="29"/>
        <v/>
      </c>
    </row>
    <row r="1886" spans="1:1" x14ac:dyDescent="0.35">
      <c r="A1886" t="str">
        <f t="shared" si="29"/>
        <v/>
      </c>
    </row>
    <row r="1887" spans="1:1" x14ac:dyDescent="0.35">
      <c r="A1887" t="str">
        <f t="shared" si="29"/>
        <v/>
      </c>
    </row>
    <row r="1888" spans="1:1" x14ac:dyDescent="0.35">
      <c r="A1888" t="str">
        <f t="shared" si="29"/>
        <v/>
      </c>
    </row>
    <row r="1889" spans="1:1" x14ac:dyDescent="0.35">
      <c r="A1889" t="str">
        <f t="shared" si="29"/>
        <v/>
      </c>
    </row>
    <row r="1890" spans="1:1" x14ac:dyDescent="0.35">
      <c r="A1890" t="str">
        <f t="shared" si="29"/>
        <v/>
      </c>
    </row>
    <row r="1891" spans="1:1" x14ac:dyDescent="0.35">
      <c r="A1891" t="str">
        <f t="shared" si="29"/>
        <v/>
      </c>
    </row>
    <row r="1892" spans="1:1" x14ac:dyDescent="0.35">
      <c r="A1892" t="str">
        <f t="shared" si="29"/>
        <v/>
      </c>
    </row>
    <row r="1893" spans="1:1" x14ac:dyDescent="0.35">
      <c r="A1893" t="str">
        <f t="shared" si="29"/>
        <v/>
      </c>
    </row>
    <row r="1894" spans="1:1" x14ac:dyDescent="0.35">
      <c r="A1894" t="str">
        <f t="shared" si="29"/>
        <v/>
      </c>
    </row>
    <row r="1895" spans="1:1" x14ac:dyDescent="0.35">
      <c r="A1895" t="str">
        <f t="shared" si="29"/>
        <v/>
      </c>
    </row>
    <row r="1896" spans="1:1" x14ac:dyDescent="0.35">
      <c r="A1896" t="str">
        <f t="shared" si="29"/>
        <v/>
      </c>
    </row>
    <row r="1897" spans="1:1" x14ac:dyDescent="0.35">
      <c r="A1897" t="str">
        <f t="shared" si="29"/>
        <v/>
      </c>
    </row>
    <row r="1898" spans="1:1" x14ac:dyDescent="0.35">
      <c r="A1898" t="str">
        <f t="shared" si="29"/>
        <v/>
      </c>
    </row>
    <row r="1899" spans="1:1" x14ac:dyDescent="0.35">
      <c r="A1899" t="str">
        <f t="shared" si="29"/>
        <v/>
      </c>
    </row>
    <row r="1900" spans="1:1" x14ac:dyDescent="0.35">
      <c r="A1900" t="str">
        <f t="shared" si="29"/>
        <v/>
      </c>
    </row>
    <row r="1901" spans="1:1" x14ac:dyDescent="0.35">
      <c r="A1901" t="str">
        <f t="shared" si="29"/>
        <v/>
      </c>
    </row>
    <row r="1902" spans="1:1" x14ac:dyDescent="0.35">
      <c r="A1902" t="str">
        <f t="shared" si="29"/>
        <v/>
      </c>
    </row>
    <row r="1903" spans="1:1" x14ac:dyDescent="0.35">
      <c r="A1903" t="str">
        <f t="shared" si="29"/>
        <v/>
      </c>
    </row>
    <row r="1904" spans="1:1" x14ac:dyDescent="0.35">
      <c r="A1904" t="str">
        <f t="shared" si="29"/>
        <v/>
      </c>
    </row>
    <row r="1905" spans="1:1" x14ac:dyDescent="0.35">
      <c r="A1905" t="str">
        <f t="shared" si="29"/>
        <v/>
      </c>
    </row>
    <row r="1906" spans="1:1" x14ac:dyDescent="0.35">
      <c r="A1906" t="str">
        <f t="shared" si="29"/>
        <v/>
      </c>
    </row>
    <row r="1907" spans="1:1" x14ac:dyDescent="0.35">
      <c r="A1907" t="str">
        <f t="shared" si="29"/>
        <v/>
      </c>
    </row>
    <row r="1908" spans="1:1" x14ac:dyDescent="0.35">
      <c r="A1908" t="str">
        <f t="shared" si="29"/>
        <v/>
      </c>
    </row>
    <row r="1909" spans="1:1" x14ac:dyDescent="0.35">
      <c r="A1909" t="str">
        <f t="shared" si="29"/>
        <v/>
      </c>
    </row>
    <row r="1910" spans="1:1" x14ac:dyDescent="0.35">
      <c r="A1910" t="str">
        <f t="shared" si="29"/>
        <v/>
      </c>
    </row>
    <row r="1911" spans="1:1" x14ac:dyDescent="0.35">
      <c r="A1911" t="str">
        <f t="shared" si="29"/>
        <v/>
      </c>
    </row>
    <row r="1912" spans="1:1" x14ac:dyDescent="0.35">
      <c r="A1912" t="str">
        <f t="shared" si="29"/>
        <v/>
      </c>
    </row>
    <row r="1913" spans="1:1" x14ac:dyDescent="0.35">
      <c r="A1913" t="str">
        <f t="shared" si="29"/>
        <v/>
      </c>
    </row>
    <row r="1914" spans="1:1" x14ac:dyDescent="0.35">
      <c r="A1914" t="str">
        <f t="shared" si="29"/>
        <v/>
      </c>
    </row>
    <row r="1915" spans="1:1" x14ac:dyDescent="0.35">
      <c r="A1915" t="str">
        <f t="shared" si="29"/>
        <v/>
      </c>
    </row>
    <row r="1916" spans="1:1" x14ac:dyDescent="0.35">
      <c r="A1916" t="str">
        <f t="shared" si="29"/>
        <v/>
      </c>
    </row>
    <row r="1917" spans="1:1" x14ac:dyDescent="0.35">
      <c r="A1917" t="str">
        <f t="shared" si="29"/>
        <v/>
      </c>
    </row>
    <row r="1918" spans="1:1" x14ac:dyDescent="0.35">
      <c r="A1918" t="str">
        <f t="shared" si="29"/>
        <v/>
      </c>
    </row>
    <row r="1919" spans="1:1" x14ac:dyDescent="0.35">
      <c r="A1919" t="str">
        <f t="shared" si="29"/>
        <v/>
      </c>
    </row>
    <row r="1920" spans="1:1" x14ac:dyDescent="0.35">
      <c r="A1920" t="str">
        <f t="shared" si="29"/>
        <v/>
      </c>
    </row>
    <row r="1921" spans="1:1" x14ac:dyDescent="0.35">
      <c r="A1921" t="str">
        <f t="shared" si="29"/>
        <v/>
      </c>
    </row>
    <row r="1922" spans="1:1" x14ac:dyDescent="0.35">
      <c r="A1922" t="str">
        <f t="shared" si="29"/>
        <v/>
      </c>
    </row>
    <row r="1923" spans="1:1" x14ac:dyDescent="0.35">
      <c r="A1923" t="str">
        <f t="shared" ref="A1923:A1986" si="30">C1923&amp;D1923&amp;E1923&amp;G1923&amp;H1923&amp;I1923</f>
        <v/>
      </c>
    </row>
    <row r="1924" spans="1:1" x14ac:dyDescent="0.35">
      <c r="A1924" t="str">
        <f t="shared" si="30"/>
        <v/>
      </c>
    </row>
    <row r="1925" spans="1:1" x14ac:dyDescent="0.35">
      <c r="A1925" t="str">
        <f t="shared" si="30"/>
        <v/>
      </c>
    </row>
    <row r="1926" spans="1:1" x14ac:dyDescent="0.35">
      <c r="A1926" t="str">
        <f t="shared" si="30"/>
        <v/>
      </c>
    </row>
    <row r="1927" spans="1:1" x14ac:dyDescent="0.35">
      <c r="A1927" t="str">
        <f t="shared" si="30"/>
        <v/>
      </c>
    </row>
    <row r="1928" spans="1:1" x14ac:dyDescent="0.35">
      <c r="A1928" t="str">
        <f t="shared" si="30"/>
        <v/>
      </c>
    </row>
    <row r="1929" spans="1:1" x14ac:dyDescent="0.35">
      <c r="A1929" t="str">
        <f t="shared" si="30"/>
        <v/>
      </c>
    </row>
    <row r="1930" spans="1:1" x14ac:dyDescent="0.35">
      <c r="A1930" t="str">
        <f t="shared" si="30"/>
        <v/>
      </c>
    </row>
    <row r="1931" spans="1:1" x14ac:dyDescent="0.35">
      <c r="A1931" t="str">
        <f t="shared" si="30"/>
        <v/>
      </c>
    </row>
    <row r="1932" spans="1:1" x14ac:dyDescent="0.35">
      <c r="A1932" t="str">
        <f t="shared" si="30"/>
        <v/>
      </c>
    </row>
    <row r="1933" spans="1:1" x14ac:dyDescent="0.35">
      <c r="A1933" t="str">
        <f t="shared" si="30"/>
        <v/>
      </c>
    </row>
    <row r="1934" spans="1:1" x14ac:dyDescent="0.35">
      <c r="A1934" t="str">
        <f t="shared" si="30"/>
        <v/>
      </c>
    </row>
    <row r="1935" spans="1:1" x14ac:dyDescent="0.35">
      <c r="A1935" t="str">
        <f t="shared" si="30"/>
        <v/>
      </c>
    </row>
    <row r="1936" spans="1:1" x14ac:dyDescent="0.35">
      <c r="A1936" t="str">
        <f t="shared" si="30"/>
        <v/>
      </c>
    </row>
    <row r="1937" spans="1:1" x14ac:dyDescent="0.35">
      <c r="A1937" t="str">
        <f t="shared" si="30"/>
        <v/>
      </c>
    </row>
    <row r="1938" spans="1:1" x14ac:dyDescent="0.35">
      <c r="A1938" t="str">
        <f t="shared" si="30"/>
        <v/>
      </c>
    </row>
    <row r="1939" spans="1:1" x14ac:dyDescent="0.35">
      <c r="A1939" t="str">
        <f t="shared" si="30"/>
        <v/>
      </c>
    </row>
    <row r="1940" spans="1:1" x14ac:dyDescent="0.35">
      <c r="A1940" t="str">
        <f t="shared" si="30"/>
        <v/>
      </c>
    </row>
    <row r="1941" spans="1:1" x14ac:dyDescent="0.35">
      <c r="A1941" t="str">
        <f t="shared" si="30"/>
        <v/>
      </c>
    </row>
    <row r="1942" spans="1:1" x14ac:dyDescent="0.35">
      <c r="A1942" t="str">
        <f t="shared" si="30"/>
        <v/>
      </c>
    </row>
    <row r="1943" spans="1:1" x14ac:dyDescent="0.35">
      <c r="A1943" t="str">
        <f t="shared" si="30"/>
        <v/>
      </c>
    </row>
    <row r="1944" spans="1:1" x14ac:dyDescent="0.35">
      <c r="A1944" t="str">
        <f t="shared" si="30"/>
        <v/>
      </c>
    </row>
    <row r="1945" spans="1:1" x14ac:dyDescent="0.35">
      <c r="A1945" t="str">
        <f t="shared" si="30"/>
        <v/>
      </c>
    </row>
    <row r="1946" spans="1:1" x14ac:dyDescent="0.35">
      <c r="A1946" t="str">
        <f t="shared" si="30"/>
        <v/>
      </c>
    </row>
    <row r="1947" spans="1:1" x14ac:dyDescent="0.35">
      <c r="A1947" t="str">
        <f t="shared" si="30"/>
        <v/>
      </c>
    </row>
    <row r="1948" spans="1:1" x14ac:dyDescent="0.35">
      <c r="A1948" t="str">
        <f t="shared" si="30"/>
        <v/>
      </c>
    </row>
    <row r="1949" spans="1:1" x14ac:dyDescent="0.35">
      <c r="A1949" t="str">
        <f t="shared" si="30"/>
        <v/>
      </c>
    </row>
    <row r="1950" spans="1:1" x14ac:dyDescent="0.35">
      <c r="A1950" t="str">
        <f t="shared" si="30"/>
        <v/>
      </c>
    </row>
    <row r="1951" spans="1:1" x14ac:dyDescent="0.35">
      <c r="A1951" t="str">
        <f t="shared" si="30"/>
        <v/>
      </c>
    </row>
    <row r="1952" spans="1:1" x14ac:dyDescent="0.35">
      <c r="A1952" t="str">
        <f t="shared" si="30"/>
        <v/>
      </c>
    </row>
    <row r="1953" spans="1:1" x14ac:dyDescent="0.35">
      <c r="A1953" t="str">
        <f t="shared" si="30"/>
        <v/>
      </c>
    </row>
    <row r="1954" spans="1:1" x14ac:dyDescent="0.35">
      <c r="A1954" t="str">
        <f t="shared" si="30"/>
        <v/>
      </c>
    </row>
    <row r="1955" spans="1:1" x14ac:dyDescent="0.35">
      <c r="A1955" t="str">
        <f t="shared" si="30"/>
        <v/>
      </c>
    </row>
    <row r="1956" spans="1:1" x14ac:dyDescent="0.35">
      <c r="A1956" t="str">
        <f t="shared" si="30"/>
        <v/>
      </c>
    </row>
    <row r="1957" spans="1:1" x14ac:dyDescent="0.35">
      <c r="A1957" t="str">
        <f t="shared" si="30"/>
        <v/>
      </c>
    </row>
    <row r="1958" spans="1:1" x14ac:dyDescent="0.35">
      <c r="A1958" t="str">
        <f t="shared" si="30"/>
        <v/>
      </c>
    </row>
    <row r="1959" spans="1:1" x14ac:dyDescent="0.35">
      <c r="A1959" t="str">
        <f t="shared" si="30"/>
        <v/>
      </c>
    </row>
    <row r="1960" spans="1:1" x14ac:dyDescent="0.35">
      <c r="A1960" t="str">
        <f t="shared" si="30"/>
        <v/>
      </c>
    </row>
    <row r="1961" spans="1:1" x14ac:dyDescent="0.35">
      <c r="A1961" t="str">
        <f t="shared" si="30"/>
        <v/>
      </c>
    </row>
    <row r="1962" spans="1:1" x14ac:dyDescent="0.35">
      <c r="A1962" t="str">
        <f t="shared" si="30"/>
        <v/>
      </c>
    </row>
    <row r="1963" spans="1:1" x14ac:dyDescent="0.35">
      <c r="A1963" t="str">
        <f t="shared" si="30"/>
        <v/>
      </c>
    </row>
    <row r="1964" spans="1:1" x14ac:dyDescent="0.35">
      <c r="A1964" t="str">
        <f t="shared" si="30"/>
        <v/>
      </c>
    </row>
    <row r="1965" spans="1:1" x14ac:dyDescent="0.35">
      <c r="A1965" t="str">
        <f t="shared" si="30"/>
        <v/>
      </c>
    </row>
    <row r="1966" spans="1:1" x14ac:dyDescent="0.35">
      <c r="A1966" t="str">
        <f t="shared" si="30"/>
        <v/>
      </c>
    </row>
    <row r="1967" spans="1:1" x14ac:dyDescent="0.35">
      <c r="A1967" t="str">
        <f t="shared" si="30"/>
        <v/>
      </c>
    </row>
    <row r="1968" spans="1:1" x14ac:dyDescent="0.35">
      <c r="A1968" t="str">
        <f t="shared" si="30"/>
        <v/>
      </c>
    </row>
    <row r="1969" spans="1:1" x14ac:dyDescent="0.35">
      <c r="A1969" t="str">
        <f t="shared" si="30"/>
        <v/>
      </c>
    </row>
    <row r="1970" spans="1:1" x14ac:dyDescent="0.35">
      <c r="A1970" t="str">
        <f t="shared" si="30"/>
        <v/>
      </c>
    </row>
    <row r="1971" spans="1:1" x14ac:dyDescent="0.35">
      <c r="A1971" t="str">
        <f t="shared" si="30"/>
        <v/>
      </c>
    </row>
    <row r="1972" spans="1:1" x14ac:dyDescent="0.35">
      <c r="A1972" t="str">
        <f t="shared" si="30"/>
        <v/>
      </c>
    </row>
    <row r="1973" spans="1:1" x14ac:dyDescent="0.35">
      <c r="A1973" t="str">
        <f t="shared" si="30"/>
        <v/>
      </c>
    </row>
    <row r="1974" spans="1:1" x14ac:dyDescent="0.35">
      <c r="A1974" t="str">
        <f t="shared" si="30"/>
        <v/>
      </c>
    </row>
    <row r="1975" spans="1:1" x14ac:dyDescent="0.35">
      <c r="A1975" t="str">
        <f t="shared" si="30"/>
        <v/>
      </c>
    </row>
    <row r="1976" spans="1:1" x14ac:dyDescent="0.35">
      <c r="A1976" t="str">
        <f t="shared" si="30"/>
        <v/>
      </c>
    </row>
    <row r="1977" spans="1:1" x14ac:dyDescent="0.35">
      <c r="A1977" t="str">
        <f t="shared" si="30"/>
        <v/>
      </c>
    </row>
    <row r="1978" spans="1:1" x14ac:dyDescent="0.35">
      <c r="A1978" t="str">
        <f t="shared" si="30"/>
        <v/>
      </c>
    </row>
    <row r="1979" spans="1:1" x14ac:dyDescent="0.35">
      <c r="A1979" t="str">
        <f t="shared" si="30"/>
        <v/>
      </c>
    </row>
    <row r="1980" spans="1:1" x14ac:dyDescent="0.35">
      <c r="A1980" t="str">
        <f t="shared" si="30"/>
        <v/>
      </c>
    </row>
    <row r="1981" spans="1:1" x14ac:dyDescent="0.35">
      <c r="A1981" t="str">
        <f t="shared" si="30"/>
        <v/>
      </c>
    </row>
    <row r="1982" spans="1:1" x14ac:dyDescent="0.35">
      <c r="A1982" t="str">
        <f t="shared" si="30"/>
        <v/>
      </c>
    </row>
    <row r="1983" spans="1:1" x14ac:dyDescent="0.35">
      <c r="A1983" t="str">
        <f t="shared" si="30"/>
        <v/>
      </c>
    </row>
    <row r="1984" spans="1:1" x14ac:dyDescent="0.35">
      <c r="A1984" t="str">
        <f t="shared" si="30"/>
        <v/>
      </c>
    </row>
    <row r="1985" spans="1:1" x14ac:dyDescent="0.35">
      <c r="A1985" t="str">
        <f t="shared" si="30"/>
        <v/>
      </c>
    </row>
    <row r="1986" spans="1:1" x14ac:dyDescent="0.35">
      <c r="A1986" t="str">
        <f t="shared" si="30"/>
        <v/>
      </c>
    </row>
    <row r="1987" spans="1:1" x14ac:dyDescent="0.35">
      <c r="A1987" t="str">
        <f t="shared" ref="A1987:A2050" si="31">C1987&amp;D1987&amp;E1987&amp;G1987&amp;H1987&amp;I1987</f>
        <v/>
      </c>
    </row>
    <row r="1988" spans="1:1" x14ac:dyDescent="0.35">
      <c r="A1988" t="str">
        <f t="shared" si="31"/>
        <v/>
      </c>
    </row>
    <row r="1989" spans="1:1" x14ac:dyDescent="0.35">
      <c r="A1989" t="str">
        <f t="shared" si="31"/>
        <v/>
      </c>
    </row>
    <row r="1990" spans="1:1" x14ac:dyDescent="0.35">
      <c r="A1990" t="str">
        <f t="shared" si="31"/>
        <v/>
      </c>
    </row>
    <row r="1991" spans="1:1" x14ac:dyDescent="0.35">
      <c r="A1991" t="str">
        <f t="shared" si="31"/>
        <v/>
      </c>
    </row>
    <row r="1992" spans="1:1" x14ac:dyDescent="0.35">
      <c r="A1992" t="str">
        <f t="shared" si="31"/>
        <v/>
      </c>
    </row>
    <row r="1993" spans="1:1" x14ac:dyDescent="0.35">
      <c r="A1993" t="str">
        <f t="shared" si="31"/>
        <v/>
      </c>
    </row>
    <row r="1994" spans="1:1" x14ac:dyDescent="0.35">
      <c r="A1994" t="str">
        <f t="shared" si="31"/>
        <v/>
      </c>
    </row>
    <row r="1995" spans="1:1" x14ac:dyDescent="0.35">
      <c r="A1995" t="str">
        <f t="shared" si="31"/>
        <v/>
      </c>
    </row>
    <row r="1996" spans="1:1" x14ac:dyDescent="0.35">
      <c r="A1996" t="str">
        <f t="shared" si="31"/>
        <v/>
      </c>
    </row>
    <row r="1997" spans="1:1" x14ac:dyDescent="0.35">
      <c r="A1997" t="str">
        <f t="shared" si="31"/>
        <v/>
      </c>
    </row>
    <row r="1998" spans="1:1" x14ac:dyDescent="0.35">
      <c r="A1998" t="str">
        <f t="shared" si="31"/>
        <v/>
      </c>
    </row>
    <row r="1999" spans="1:1" x14ac:dyDescent="0.35">
      <c r="A1999" t="str">
        <f t="shared" si="31"/>
        <v/>
      </c>
    </row>
    <row r="2000" spans="1:1" x14ac:dyDescent="0.35">
      <c r="A2000" t="str">
        <f t="shared" si="31"/>
        <v/>
      </c>
    </row>
    <row r="2001" spans="1:1" x14ac:dyDescent="0.35">
      <c r="A2001" t="str">
        <f t="shared" si="31"/>
        <v/>
      </c>
    </row>
    <row r="2002" spans="1:1" x14ac:dyDescent="0.35">
      <c r="A2002" t="str">
        <f t="shared" si="31"/>
        <v/>
      </c>
    </row>
    <row r="2003" spans="1:1" x14ac:dyDescent="0.35">
      <c r="A2003" t="str">
        <f t="shared" si="31"/>
        <v/>
      </c>
    </row>
    <row r="2004" spans="1:1" x14ac:dyDescent="0.35">
      <c r="A2004" t="str">
        <f t="shared" si="31"/>
        <v/>
      </c>
    </row>
    <row r="2005" spans="1:1" x14ac:dyDescent="0.35">
      <c r="A2005" t="str">
        <f t="shared" si="31"/>
        <v/>
      </c>
    </row>
    <row r="2006" spans="1:1" x14ac:dyDescent="0.35">
      <c r="A2006" t="str">
        <f t="shared" si="31"/>
        <v/>
      </c>
    </row>
    <row r="2007" spans="1:1" x14ac:dyDescent="0.35">
      <c r="A2007" t="str">
        <f t="shared" si="31"/>
        <v/>
      </c>
    </row>
    <row r="2008" spans="1:1" x14ac:dyDescent="0.35">
      <c r="A2008" t="str">
        <f t="shared" si="31"/>
        <v/>
      </c>
    </row>
    <row r="2009" spans="1:1" x14ac:dyDescent="0.35">
      <c r="A2009" t="str">
        <f t="shared" si="31"/>
        <v/>
      </c>
    </row>
    <row r="2010" spans="1:1" x14ac:dyDescent="0.35">
      <c r="A2010" t="str">
        <f t="shared" si="31"/>
        <v/>
      </c>
    </row>
    <row r="2011" spans="1:1" x14ac:dyDescent="0.35">
      <c r="A2011" t="str">
        <f t="shared" si="31"/>
        <v/>
      </c>
    </row>
    <row r="2012" spans="1:1" x14ac:dyDescent="0.35">
      <c r="A2012" t="str">
        <f t="shared" si="31"/>
        <v/>
      </c>
    </row>
    <row r="2013" spans="1:1" x14ac:dyDescent="0.35">
      <c r="A2013" t="str">
        <f t="shared" si="31"/>
        <v/>
      </c>
    </row>
    <row r="2014" spans="1:1" x14ac:dyDescent="0.35">
      <c r="A2014" t="str">
        <f t="shared" si="31"/>
        <v/>
      </c>
    </row>
    <row r="2015" spans="1:1" x14ac:dyDescent="0.35">
      <c r="A2015" t="str">
        <f t="shared" si="31"/>
        <v/>
      </c>
    </row>
    <row r="2016" spans="1:1" x14ac:dyDescent="0.35">
      <c r="A2016" t="str">
        <f t="shared" si="31"/>
        <v/>
      </c>
    </row>
    <row r="2017" spans="1:1" x14ac:dyDescent="0.35">
      <c r="A2017" t="str">
        <f t="shared" si="31"/>
        <v/>
      </c>
    </row>
    <row r="2018" spans="1:1" x14ac:dyDescent="0.35">
      <c r="A2018" t="str">
        <f t="shared" si="31"/>
        <v/>
      </c>
    </row>
    <row r="2019" spans="1:1" x14ac:dyDescent="0.35">
      <c r="A2019" t="str">
        <f t="shared" si="31"/>
        <v/>
      </c>
    </row>
    <row r="2020" spans="1:1" x14ac:dyDescent="0.35">
      <c r="A2020" t="str">
        <f t="shared" si="31"/>
        <v/>
      </c>
    </row>
    <row r="2021" spans="1:1" x14ac:dyDescent="0.35">
      <c r="A2021" t="str">
        <f t="shared" si="31"/>
        <v/>
      </c>
    </row>
    <row r="2022" spans="1:1" x14ac:dyDescent="0.35">
      <c r="A2022" t="str">
        <f t="shared" si="31"/>
        <v/>
      </c>
    </row>
    <row r="2023" spans="1:1" x14ac:dyDescent="0.35">
      <c r="A2023" t="str">
        <f t="shared" si="31"/>
        <v/>
      </c>
    </row>
    <row r="2024" spans="1:1" x14ac:dyDescent="0.35">
      <c r="A2024" t="str">
        <f t="shared" si="31"/>
        <v/>
      </c>
    </row>
    <row r="2025" spans="1:1" x14ac:dyDescent="0.35">
      <c r="A2025" t="str">
        <f t="shared" si="31"/>
        <v/>
      </c>
    </row>
    <row r="2026" spans="1:1" x14ac:dyDescent="0.35">
      <c r="A2026" t="str">
        <f t="shared" si="31"/>
        <v/>
      </c>
    </row>
    <row r="2027" spans="1:1" x14ac:dyDescent="0.35">
      <c r="A2027" t="str">
        <f t="shared" si="31"/>
        <v/>
      </c>
    </row>
    <row r="2028" spans="1:1" x14ac:dyDescent="0.35">
      <c r="A2028" t="str">
        <f t="shared" si="31"/>
        <v/>
      </c>
    </row>
    <row r="2029" spans="1:1" x14ac:dyDescent="0.35">
      <c r="A2029" t="str">
        <f t="shared" si="31"/>
        <v/>
      </c>
    </row>
    <row r="2030" spans="1:1" x14ac:dyDescent="0.35">
      <c r="A2030" t="str">
        <f t="shared" si="31"/>
        <v/>
      </c>
    </row>
    <row r="2031" spans="1:1" x14ac:dyDescent="0.35">
      <c r="A2031" t="str">
        <f t="shared" si="31"/>
        <v/>
      </c>
    </row>
    <row r="2032" spans="1:1" x14ac:dyDescent="0.35">
      <c r="A2032" t="str">
        <f t="shared" si="31"/>
        <v/>
      </c>
    </row>
    <row r="2033" spans="1:1" x14ac:dyDescent="0.35">
      <c r="A2033" t="str">
        <f t="shared" si="31"/>
        <v/>
      </c>
    </row>
    <row r="2034" spans="1:1" x14ac:dyDescent="0.35">
      <c r="A2034" t="str">
        <f t="shared" si="31"/>
        <v/>
      </c>
    </row>
    <row r="2035" spans="1:1" x14ac:dyDescent="0.35">
      <c r="A2035" t="str">
        <f t="shared" si="31"/>
        <v/>
      </c>
    </row>
    <row r="2036" spans="1:1" x14ac:dyDescent="0.35">
      <c r="A2036" t="str">
        <f t="shared" si="31"/>
        <v/>
      </c>
    </row>
    <row r="2037" spans="1:1" x14ac:dyDescent="0.35">
      <c r="A2037" t="str">
        <f t="shared" si="31"/>
        <v/>
      </c>
    </row>
    <row r="2038" spans="1:1" x14ac:dyDescent="0.35">
      <c r="A2038" t="str">
        <f t="shared" si="31"/>
        <v/>
      </c>
    </row>
    <row r="2039" spans="1:1" x14ac:dyDescent="0.35">
      <c r="A2039" t="str">
        <f t="shared" si="31"/>
        <v/>
      </c>
    </row>
    <row r="2040" spans="1:1" x14ac:dyDescent="0.35">
      <c r="A2040" t="str">
        <f t="shared" si="31"/>
        <v/>
      </c>
    </row>
    <row r="2041" spans="1:1" x14ac:dyDescent="0.35">
      <c r="A2041" t="str">
        <f t="shared" si="31"/>
        <v/>
      </c>
    </row>
    <row r="2042" spans="1:1" x14ac:dyDescent="0.35">
      <c r="A2042" t="str">
        <f t="shared" si="31"/>
        <v/>
      </c>
    </row>
    <row r="2043" spans="1:1" x14ac:dyDescent="0.35">
      <c r="A2043" t="str">
        <f t="shared" si="31"/>
        <v/>
      </c>
    </row>
    <row r="2044" spans="1:1" x14ac:dyDescent="0.35">
      <c r="A2044" t="str">
        <f t="shared" si="31"/>
        <v/>
      </c>
    </row>
    <row r="2045" spans="1:1" x14ac:dyDescent="0.35">
      <c r="A2045" t="str">
        <f t="shared" si="31"/>
        <v/>
      </c>
    </row>
    <row r="2046" spans="1:1" x14ac:dyDescent="0.35">
      <c r="A2046" t="str">
        <f t="shared" si="31"/>
        <v/>
      </c>
    </row>
    <row r="2047" spans="1:1" x14ac:dyDescent="0.35">
      <c r="A2047" t="str">
        <f t="shared" si="31"/>
        <v/>
      </c>
    </row>
    <row r="2048" spans="1:1" x14ac:dyDescent="0.35">
      <c r="A2048" t="str">
        <f t="shared" si="31"/>
        <v/>
      </c>
    </row>
    <row r="2049" spans="1:1" x14ac:dyDescent="0.35">
      <c r="A2049" t="str">
        <f t="shared" si="31"/>
        <v/>
      </c>
    </row>
    <row r="2050" spans="1:1" x14ac:dyDescent="0.35">
      <c r="A2050" t="str">
        <f t="shared" si="31"/>
        <v/>
      </c>
    </row>
    <row r="2051" spans="1:1" x14ac:dyDescent="0.35">
      <c r="A2051" t="str">
        <f t="shared" ref="A2051:A2114" si="32">C2051&amp;D2051&amp;E2051&amp;G2051&amp;H2051&amp;I2051</f>
        <v/>
      </c>
    </row>
    <row r="2052" spans="1:1" x14ac:dyDescent="0.35">
      <c r="A2052" t="str">
        <f t="shared" si="32"/>
        <v/>
      </c>
    </row>
    <row r="2053" spans="1:1" x14ac:dyDescent="0.35">
      <c r="A2053" t="str">
        <f t="shared" si="32"/>
        <v/>
      </c>
    </row>
    <row r="2054" spans="1:1" x14ac:dyDescent="0.35">
      <c r="A2054" t="str">
        <f t="shared" si="32"/>
        <v/>
      </c>
    </row>
    <row r="2055" spans="1:1" x14ac:dyDescent="0.35">
      <c r="A2055" t="str">
        <f t="shared" si="32"/>
        <v/>
      </c>
    </row>
    <row r="2056" spans="1:1" x14ac:dyDescent="0.35">
      <c r="A2056" t="str">
        <f t="shared" si="32"/>
        <v/>
      </c>
    </row>
    <row r="2057" spans="1:1" x14ac:dyDescent="0.35">
      <c r="A2057" t="str">
        <f t="shared" si="32"/>
        <v/>
      </c>
    </row>
    <row r="2058" spans="1:1" x14ac:dyDescent="0.35">
      <c r="A2058" t="str">
        <f t="shared" si="32"/>
        <v/>
      </c>
    </row>
    <row r="2059" spans="1:1" x14ac:dyDescent="0.35">
      <c r="A2059" t="str">
        <f t="shared" si="32"/>
        <v/>
      </c>
    </row>
    <row r="2060" spans="1:1" x14ac:dyDescent="0.35">
      <c r="A2060" t="str">
        <f t="shared" si="32"/>
        <v/>
      </c>
    </row>
    <row r="2061" spans="1:1" x14ac:dyDescent="0.35">
      <c r="A2061" t="str">
        <f t="shared" si="32"/>
        <v/>
      </c>
    </row>
    <row r="2062" spans="1:1" x14ac:dyDescent="0.35">
      <c r="A2062" t="str">
        <f t="shared" si="32"/>
        <v/>
      </c>
    </row>
    <row r="2063" spans="1:1" x14ac:dyDescent="0.35">
      <c r="A2063" t="str">
        <f t="shared" si="32"/>
        <v/>
      </c>
    </row>
    <row r="2064" spans="1:1" x14ac:dyDescent="0.35">
      <c r="A2064" t="str">
        <f t="shared" si="32"/>
        <v/>
      </c>
    </row>
    <row r="2065" spans="1:1" x14ac:dyDescent="0.35">
      <c r="A2065" t="str">
        <f t="shared" si="32"/>
        <v/>
      </c>
    </row>
    <row r="2066" spans="1:1" x14ac:dyDescent="0.35">
      <c r="A2066" t="str">
        <f t="shared" si="32"/>
        <v/>
      </c>
    </row>
    <row r="2067" spans="1:1" x14ac:dyDescent="0.35">
      <c r="A2067" t="str">
        <f t="shared" si="32"/>
        <v/>
      </c>
    </row>
    <row r="2068" spans="1:1" x14ac:dyDescent="0.35">
      <c r="A2068" t="str">
        <f t="shared" si="32"/>
        <v/>
      </c>
    </row>
    <row r="2069" spans="1:1" x14ac:dyDescent="0.35">
      <c r="A2069" t="str">
        <f t="shared" si="32"/>
        <v/>
      </c>
    </row>
    <row r="2070" spans="1:1" x14ac:dyDescent="0.35">
      <c r="A2070" t="str">
        <f t="shared" si="32"/>
        <v/>
      </c>
    </row>
    <row r="2071" spans="1:1" x14ac:dyDescent="0.35">
      <c r="A2071" t="str">
        <f t="shared" si="32"/>
        <v/>
      </c>
    </row>
    <row r="2072" spans="1:1" x14ac:dyDescent="0.35">
      <c r="A2072" t="str">
        <f t="shared" si="32"/>
        <v/>
      </c>
    </row>
    <row r="2073" spans="1:1" x14ac:dyDescent="0.35">
      <c r="A2073" t="str">
        <f t="shared" si="32"/>
        <v/>
      </c>
    </row>
    <row r="2074" spans="1:1" x14ac:dyDescent="0.35">
      <c r="A2074" t="str">
        <f t="shared" si="32"/>
        <v/>
      </c>
    </row>
    <row r="2075" spans="1:1" x14ac:dyDescent="0.35">
      <c r="A2075" t="str">
        <f t="shared" si="32"/>
        <v/>
      </c>
    </row>
    <row r="2076" spans="1:1" x14ac:dyDescent="0.35">
      <c r="A2076" t="str">
        <f t="shared" si="32"/>
        <v/>
      </c>
    </row>
    <row r="2077" spans="1:1" x14ac:dyDescent="0.35">
      <c r="A2077" t="str">
        <f t="shared" si="32"/>
        <v/>
      </c>
    </row>
    <row r="2078" spans="1:1" x14ac:dyDescent="0.35">
      <c r="A2078" t="str">
        <f t="shared" si="32"/>
        <v/>
      </c>
    </row>
    <row r="2079" spans="1:1" x14ac:dyDescent="0.35">
      <c r="A2079" t="str">
        <f t="shared" si="32"/>
        <v/>
      </c>
    </row>
    <row r="2080" spans="1:1" x14ac:dyDescent="0.35">
      <c r="A2080" t="str">
        <f t="shared" si="32"/>
        <v/>
      </c>
    </row>
    <row r="2081" spans="1:1" x14ac:dyDescent="0.35">
      <c r="A2081" t="str">
        <f t="shared" si="32"/>
        <v/>
      </c>
    </row>
    <row r="2082" spans="1:1" x14ac:dyDescent="0.35">
      <c r="A2082" t="str">
        <f t="shared" si="32"/>
        <v/>
      </c>
    </row>
    <row r="2083" spans="1:1" x14ac:dyDescent="0.35">
      <c r="A2083" t="str">
        <f t="shared" si="32"/>
        <v/>
      </c>
    </row>
    <row r="2084" spans="1:1" x14ac:dyDescent="0.35">
      <c r="A2084" t="str">
        <f t="shared" si="32"/>
        <v/>
      </c>
    </row>
    <row r="2085" spans="1:1" x14ac:dyDescent="0.35">
      <c r="A2085" t="str">
        <f t="shared" si="32"/>
        <v/>
      </c>
    </row>
    <row r="2086" spans="1:1" x14ac:dyDescent="0.35">
      <c r="A2086" t="str">
        <f t="shared" si="32"/>
        <v/>
      </c>
    </row>
    <row r="2087" spans="1:1" x14ac:dyDescent="0.35">
      <c r="A2087" t="str">
        <f t="shared" si="32"/>
        <v/>
      </c>
    </row>
    <row r="2088" spans="1:1" x14ac:dyDescent="0.35">
      <c r="A2088" t="str">
        <f t="shared" si="32"/>
        <v/>
      </c>
    </row>
    <row r="2089" spans="1:1" x14ac:dyDescent="0.35">
      <c r="A2089" t="str">
        <f t="shared" si="32"/>
        <v/>
      </c>
    </row>
    <row r="2090" spans="1:1" x14ac:dyDescent="0.35">
      <c r="A2090" t="str">
        <f t="shared" si="32"/>
        <v/>
      </c>
    </row>
    <row r="2091" spans="1:1" x14ac:dyDescent="0.35">
      <c r="A2091" t="str">
        <f t="shared" si="32"/>
        <v/>
      </c>
    </row>
    <row r="2092" spans="1:1" x14ac:dyDescent="0.35">
      <c r="A2092" t="str">
        <f t="shared" si="32"/>
        <v/>
      </c>
    </row>
    <row r="2093" spans="1:1" x14ac:dyDescent="0.35">
      <c r="A2093" t="str">
        <f t="shared" si="32"/>
        <v/>
      </c>
    </row>
    <row r="2094" spans="1:1" x14ac:dyDescent="0.35">
      <c r="A2094" t="str">
        <f t="shared" si="32"/>
        <v/>
      </c>
    </row>
    <row r="2095" spans="1:1" x14ac:dyDescent="0.35">
      <c r="A2095" t="str">
        <f t="shared" si="32"/>
        <v/>
      </c>
    </row>
    <row r="2096" spans="1:1" x14ac:dyDescent="0.35">
      <c r="A2096" t="str">
        <f t="shared" si="32"/>
        <v/>
      </c>
    </row>
    <row r="2097" spans="1:1" x14ac:dyDescent="0.35">
      <c r="A2097" t="str">
        <f t="shared" si="32"/>
        <v/>
      </c>
    </row>
    <row r="2098" spans="1:1" x14ac:dyDescent="0.35">
      <c r="A2098" t="str">
        <f t="shared" si="32"/>
        <v/>
      </c>
    </row>
    <row r="2099" spans="1:1" x14ac:dyDescent="0.35">
      <c r="A2099" t="str">
        <f t="shared" si="32"/>
        <v/>
      </c>
    </row>
    <row r="2100" spans="1:1" x14ac:dyDescent="0.35">
      <c r="A2100" t="str">
        <f t="shared" si="32"/>
        <v/>
      </c>
    </row>
    <row r="2101" spans="1:1" x14ac:dyDescent="0.35">
      <c r="A2101" t="str">
        <f t="shared" si="32"/>
        <v/>
      </c>
    </row>
    <row r="2102" spans="1:1" x14ac:dyDescent="0.35">
      <c r="A2102" t="str">
        <f t="shared" si="32"/>
        <v/>
      </c>
    </row>
    <row r="2103" spans="1:1" x14ac:dyDescent="0.35">
      <c r="A2103" t="str">
        <f t="shared" si="32"/>
        <v/>
      </c>
    </row>
    <row r="2104" spans="1:1" x14ac:dyDescent="0.35">
      <c r="A2104" t="str">
        <f t="shared" si="32"/>
        <v/>
      </c>
    </row>
    <row r="2105" spans="1:1" x14ac:dyDescent="0.35">
      <c r="A2105" t="str">
        <f t="shared" si="32"/>
        <v/>
      </c>
    </row>
    <row r="2106" spans="1:1" x14ac:dyDescent="0.35">
      <c r="A2106" t="str">
        <f t="shared" si="32"/>
        <v/>
      </c>
    </row>
    <row r="2107" spans="1:1" x14ac:dyDescent="0.35">
      <c r="A2107" t="str">
        <f t="shared" si="32"/>
        <v/>
      </c>
    </row>
    <row r="2108" spans="1:1" x14ac:dyDescent="0.35">
      <c r="A2108" t="str">
        <f t="shared" si="32"/>
        <v/>
      </c>
    </row>
    <row r="2109" spans="1:1" x14ac:dyDescent="0.35">
      <c r="A2109" t="str">
        <f t="shared" si="32"/>
        <v/>
      </c>
    </row>
    <row r="2110" spans="1:1" x14ac:dyDescent="0.35">
      <c r="A2110" t="str">
        <f t="shared" si="32"/>
        <v/>
      </c>
    </row>
    <row r="2111" spans="1:1" x14ac:dyDescent="0.35">
      <c r="A2111" t="str">
        <f t="shared" si="32"/>
        <v/>
      </c>
    </row>
    <row r="2112" spans="1:1" x14ac:dyDescent="0.35">
      <c r="A2112" t="str">
        <f t="shared" si="32"/>
        <v/>
      </c>
    </row>
    <row r="2113" spans="1:1" x14ac:dyDescent="0.35">
      <c r="A2113" t="str">
        <f t="shared" si="32"/>
        <v/>
      </c>
    </row>
    <row r="2114" spans="1:1" x14ac:dyDescent="0.35">
      <c r="A2114" t="str">
        <f t="shared" si="32"/>
        <v/>
      </c>
    </row>
    <row r="2115" spans="1:1" x14ac:dyDescent="0.35">
      <c r="A2115" t="str">
        <f t="shared" ref="A2115:A2178" si="33">C2115&amp;D2115&amp;E2115&amp;G2115&amp;H2115&amp;I2115</f>
        <v/>
      </c>
    </row>
    <row r="2116" spans="1:1" x14ac:dyDescent="0.35">
      <c r="A2116" t="str">
        <f t="shared" si="33"/>
        <v/>
      </c>
    </row>
    <row r="2117" spans="1:1" x14ac:dyDescent="0.35">
      <c r="A2117" t="str">
        <f t="shared" si="33"/>
        <v/>
      </c>
    </row>
    <row r="2118" spans="1:1" x14ac:dyDescent="0.35">
      <c r="A2118" t="str">
        <f t="shared" si="33"/>
        <v/>
      </c>
    </row>
    <row r="2119" spans="1:1" x14ac:dyDescent="0.35">
      <c r="A2119" t="str">
        <f t="shared" si="33"/>
        <v/>
      </c>
    </row>
    <row r="2120" spans="1:1" x14ac:dyDescent="0.35">
      <c r="A2120" t="str">
        <f t="shared" si="33"/>
        <v/>
      </c>
    </row>
    <row r="2121" spans="1:1" x14ac:dyDescent="0.35">
      <c r="A2121" t="str">
        <f t="shared" si="33"/>
        <v/>
      </c>
    </row>
    <row r="2122" spans="1:1" x14ac:dyDescent="0.35">
      <c r="A2122" t="str">
        <f t="shared" si="33"/>
        <v/>
      </c>
    </row>
    <row r="2123" spans="1:1" x14ac:dyDescent="0.35">
      <c r="A2123" t="str">
        <f t="shared" si="33"/>
        <v/>
      </c>
    </row>
    <row r="2124" spans="1:1" x14ac:dyDescent="0.35">
      <c r="A2124" t="str">
        <f t="shared" si="33"/>
        <v/>
      </c>
    </row>
    <row r="2125" spans="1:1" x14ac:dyDescent="0.35">
      <c r="A2125" t="str">
        <f t="shared" si="33"/>
        <v/>
      </c>
    </row>
    <row r="2126" spans="1:1" x14ac:dyDescent="0.35">
      <c r="A2126" t="str">
        <f t="shared" si="33"/>
        <v/>
      </c>
    </row>
    <row r="2127" spans="1:1" x14ac:dyDescent="0.35">
      <c r="A2127" t="str">
        <f t="shared" si="33"/>
        <v/>
      </c>
    </row>
    <row r="2128" spans="1:1" x14ac:dyDescent="0.35">
      <c r="A2128" t="str">
        <f t="shared" si="33"/>
        <v/>
      </c>
    </row>
    <row r="2129" spans="1:1" x14ac:dyDescent="0.35">
      <c r="A2129" t="str">
        <f t="shared" si="33"/>
        <v/>
      </c>
    </row>
    <row r="2130" spans="1:1" x14ac:dyDescent="0.35">
      <c r="A2130" t="str">
        <f t="shared" si="33"/>
        <v/>
      </c>
    </row>
    <row r="2131" spans="1:1" x14ac:dyDescent="0.35">
      <c r="A2131" t="str">
        <f t="shared" si="33"/>
        <v/>
      </c>
    </row>
    <row r="2132" spans="1:1" x14ac:dyDescent="0.35">
      <c r="A2132" t="str">
        <f t="shared" si="33"/>
        <v/>
      </c>
    </row>
    <row r="2133" spans="1:1" x14ac:dyDescent="0.35">
      <c r="A2133" t="str">
        <f t="shared" si="33"/>
        <v/>
      </c>
    </row>
    <row r="2134" spans="1:1" x14ac:dyDescent="0.35">
      <c r="A2134" t="str">
        <f t="shared" si="33"/>
        <v/>
      </c>
    </row>
    <row r="2135" spans="1:1" x14ac:dyDescent="0.35">
      <c r="A2135" t="str">
        <f t="shared" si="33"/>
        <v/>
      </c>
    </row>
    <row r="2136" spans="1:1" x14ac:dyDescent="0.35">
      <c r="A2136" t="str">
        <f t="shared" si="33"/>
        <v/>
      </c>
    </row>
    <row r="2137" spans="1:1" x14ac:dyDescent="0.35">
      <c r="A2137" t="str">
        <f t="shared" si="33"/>
        <v/>
      </c>
    </row>
    <row r="2138" spans="1:1" x14ac:dyDescent="0.35">
      <c r="A2138" t="str">
        <f t="shared" si="33"/>
        <v/>
      </c>
    </row>
    <row r="2139" spans="1:1" x14ac:dyDescent="0.35">
      <c r="A2139" t="str">
        <f t="shared" si="33"/>
        <v/>
      </c>
    </row>
    <row r="2140" spans="1:1" x14ac:dyDescent="0.35">
      <c r="A2140" t="str">
        <f t="shared" si="33"/>
        <v/>
      </c>
    </row>
    <row r="2141" spans="1:1" x14ac:dyDescent="0.35">
      <c r="A2141" t="str">
        <f t="shared" si="33"/>
        <v/>
      </c>
    </row>
    <row r="2142" spans="1:1" x14ac:dyDescent="0.35">
      <c r="A2142" t="str">
        <f t="shared" si="33"/>
        <v/>
      </c>
    </row>
    <row r="2143" spans="1:1" x14ac:dyDescent="0.35">
      <c r="A2143" t="str">
        <f t="shared" si="33"/>
        <v/>
      </c>
    </row>
    <row r="2144" spans="1:1" x14ac:dyDescent="0.35">
      <c r="A2144" t="str">
        <f t="shared" si="33"/>
        <v/>
      </c>
    </row>
    <row r="2145" spans="1:1" x14ac:dyDescent="0.35">
      <c r="A2145" t="str">
        <f t="shared" si="33"/>
        <v/>
      </c>
    </row>
    <row r="2146" spans="1:1" x14ac:dyDescent="0.35">
      <c r="A2146" t="str">
        <f t="shared" si="33"/>
        <v/>
      </c>
    </row>
    <row r="2147" spans="1:1" x14ac:dyDescent="0.35">
      <c r="A2147" t="str">
        <f t="shared" si="33"/>
        <v/>
      </c>
    </row>
    <row r="2148" spans="1:1" x14ac:dyDescent="0.35">
      <c r="A2148" t="str">
        <f t="shared" si="33"/>
        <v/>
      </c>
    </row>
    <row r="2149" spans="1:1" x14ac:dyDescent="0.35">
      <c r="A2149" t="str">
        <f t="shared" si="33"/>
        <v/>
      </c>
    </row>
    <row r="2150" spans="1:1" x14ac:dyDescent="0.35">
      <c r="A2150" t="str">
        <f t="shared" si="33"/>
        <v/>
      </c>
    </row>
    <row r="2151" spans="1:1" x14ac:dyDescent="0.35">
      <c r="A2151" t="str">
        <f t="shared" si="33"/>
        <v/>
      </c>
    </row>
    <row r="2152" spans="1:1" x14ac:dyDescent="0.35">
      <c r="A2152" t="str">
        <f t="shared" si="33"/>
        <v/>
      </c>
    </row>
    <row r="2153" spans="1:1" x14ac:dyDescent="0.35">
      <c r="A2153" t="str">
        <f t="shared" si="33"/>
        <v/>
      </c>
    </row>
    <row r="2154" spans="1:1" x14ac:dyDescent="0.35">
      <c r="A2154" t="str">
        <f t="shared" si="33"/>
        <v/>
      </c>
    </row>
    <row r="2155" spans="1:1" x14ac:dyDescent="0.35">
      <c r="A2155" t="str">
        <f t="shared" si="33"/>
        <v/>
      </c>
    </row>
    <row r="2156" spans="1:1" x14ac:dyDescent="0.35">
      <c r="A2156" t="str">
        <f t="shared" si="33"/>
        <v/>
      </c>
    </row>
    <row r="2157" spans="1:1" x14ac:dyDescent="0.35">
      <c r="A2157" t="str">
        <f t="shared" si="33"/>
        <v/>
      </c>
    </row>
    <row r="2158" spans="1:1" x14ac:dyDescent="0.35">
      <c r="A2158" t="str">
        <f t="shared" si="33"/>
        <v/>
      </c>
    </row>
    <row r="2159" spans="1:1" x14ac:dyDescent="0.35">
      <c r="A2159" t="str">
        <f t="shared" si="33"/>
        <v/>
      </c>
    </row>
    <row r="2160" spans="1:1" x14ac:dyDescent="0.35">
      <c r="A2160" t="str">
        <f t="shared" si="33"/>
        <v/>
      </c>
    </row>
    <row r="2161" spans="1:1" x14ac:dyDescent="0.35">
      <c r="A2161" t="str">
        <f t="shared" si="33"/>
        <v/>
      </c>
    </row>
    <row r="2162" spans="1:1" x14ac:dyDescent="0.35">
      <c r="A2162" t="str">
        <f t="shared" si="33"/>
        <v/>
      </c>
    </row>
    <row r="2163" spans="1:1" x14ac:dyDescent="0.35">
      <c r="A2163" t="str">
        <f t="shared" si="33"/>
        <v/>
      </c>
    </row>
    <row r="2164" spans="1:1" x14ac:dyDescent="0.35">
      <c r="A2164" t="str">
        <f t="shared" si="33"/>
        <v/>
      </c>
    </row>
    <row r="2165" spans="1:1" x14ac:dyDescent="0.35">
      <c r="A2165" t="str">
        <f t="shared" si="33"/>
        <v/>
      </c>
    </row>
    <row r="2166" spans="1:1" x14ac:dyDescent="0.35">
      <c r="A2166" t="str">
        <f t="shared" si="33"/>
        <v/>
      </c>
    </row>
    <row r="2167" spans="1:1" x14ac:dyDescent="0.35">
      <c r="A2167" t="str">
        <f t="shared" si="33"/>
        <v/>
      </c>
    </row>
    <row r="2168" spans="1:1" x14ac:dyDescent="0.35">
      <c r="A2168" t="str">
        <f t="shared" si="33"/>
        <v/>
      </c>
    </row>
    <row r="2169" spans="1:1" x14ac:dyDescent="0.35">
      <c r="A2169" t="str">
        <f t="shared" si="33"/>
        <v/>
      </c>
    </row>
    <row r="2170" spans="1:1" x14ac:dyDescent="0.35">
      <c r="A2170" t="str">
        <f t="shared" si="33"/>
        <v/>
      </c>
    </row>
    <row r="2171" spans="1:1" x14ac:dyDescent="0.35">
      <c r="A2171" t="str">
        <f t="shared" si="33"/>
        <v/>
      </c>
    </row>
    <row r="2172" spans="1:1" x14ac:dyDescent="0.35">
      <c r="A2172" t="str">
        <f t="shared" si="33"/>
        <v/>
      </c>
    </row>
    <row r="2173" spans="1:1" x14ac:dyDescent="0.35">
      <c r="A2173" t="str">
        <f t="shared" si="33"/>
        <v/>
      </c>
    </row>
    <row r="2174" spans="1:1" x14ac:dyDescent="0.35">
      <c r="A2174" t="str">
        <f t="shared" si="33"/>
        <v/>
      </c>
    </row>
    <row r="2175" spans="1:1" x14ac:dyDescent="0.35">
      <c r="A2175" t="str">
        <f t="shared" si="33"/>
        <v/>
      </c>
    </row>
    <row r="2176" spans="1:1" x14ac:dyDescent="0.35">
      <c r="A2176" t="str">
        <f t="shared" si="33"/>
        <v/>
      </c>
    </row>
    <row r="2177" spans="1:1" x14ac:dyDescent="0.35">
      <c r="A2177" t="str">
        <f t="shared" si="33"/>
        <v/>
      </c>
    </row>
    <row r="2178" spans="1:1" x14ac:dyDescent="0.35">
      <c r="A2178" t="str">
        <f t="shared" si="33"/>
        <v/>
      </c>
    </row>
    <row r="2179" spans="1:1" x14ac:dyDescent="0.35">
      <c r="A2179" t="str">
        <f t="shared" ref="A2179:A2242" si="34">C2179&amp;D2179&amp;E2179&amp;G2179&amp;H2179&amp;I2179</f>
        <v/>
      </c>
    </row>
    <row r="2180" spans="1:1" x14ac:dyDescent="0.35">
      <c r="A2180" t="str">
        <f t="shared" si="34"/>
        <v/>
      </c>
    </row>
    <row r="2181" spans="1:1" x14ac:dyDescent="0.35">
      <c r="A2181" t="str">
        <f t="shared" si="34"/>
        <v/>
      </c>
    </row>
    <row r="2182" spans="1:1" x14ac:dyDescent="0.35">
      <c r="A2182" t="str">
        <f t="shared" si="34"/>
        <v/>
      </c>
    </row>
    <row r="2183" spans="1:1" x14ac:dyDescent="0.35">
      <c r="A2183" t="str">
        <f t="shared" si="34"/>
        <v/>
      </c>
    </row>
    <row r="2184" spans="1:1" x14ac:dyDescent="0.35">
      <c r="A2184" t="str">
        <f t="shared" si="34"/>
        <v/>
      </c>
    </row>
    <row r="2185" spans="1:1" x14ac:dyDescent="0.35">
      <c r="A2185" t="str">
        <f t="shared" si="34"/>
        <v/>
      </c>
    </row>
    <row r="2186" spans="1:1" x14ac:dyDescent="0.35">
      <c r="A2186" t="str">
        <f t="shared" si="34"/>
        <v/>
      </c>
    </row>
    <row r="2187" spans="1:1" x14ac:dyDescent="0.35">
      <c r="A2187" t="str">
        <f t="shared" si="34"/>
        <v/>
      </c>
    </row>
    <row r="2188" spans="1:1" x14ac:dyDescent="0.35">
      <c r="A2188" t="str">
        <f t="shared" si="34"/>
        <v/>
      </c>
    </row>
    <row r="2189" spans="1:1" x14ac:dyDescent="0.35">
      <c r="A2189" t="str">
        <f t="shared" si="34"/>
        <v/>
      </c>
    </row>
    <row r="2190" spans="1:1" x14ac:dyDescent="0.35">
      <c r="A2190" t="str">
        <f t="shared" si="34"/>
        <v/>
      </c>
    </row>
    <row r="2191" spans="1:1" x14ac:dyDescent="0.35">
      <c r="A2191" t="str">
        <f t="shared" si="34"/>
        <v/>
      </c>
    </row>
    <row r="2192" spans="1:1" x14ac:dyDescent="0.35">
      <c r="A2192" t="str">
        <f t="shared" si="34"/>
        <v/>
      </c>
    </row>
    <row r="2193" spans="1:1" x14ac:dyDescent="0.35">
      <c r="A2193" t="str">
        <f t="shared" si="34"/>
        <v/>
      </c>
    </row>
    <row r="2194" spans="1:1" x14ac:dyDescent="0.35">
      <c r="A2194" t="str">
        <f t="shared" si="34"/>
        <v/>
      </c>
    </row>
    <row r="2195" spans="1:1" x14ac:dyDescent="0.35">
      <c r="A2195" t="str">
        <f t="shared" si="34"/>
        <v/>
      </c>
    </row>
    <row r="2196" spans="1:1" x14ac:dyDescent="0.35">
      <c r="A2196" t="str">
        <f t="shared" si="34"/>
        <v/>
      </c>
    </row>
    <row r="2197" spans="1:1" x14ac:dyDescent="0.35">
      <c r="A2197" t="str">
        <f t="shared" si="34"/>
        <v/>
      </c>
    </row>
    <row r="2198" spans="1:1" x14ac:dyDescent="0.35">
      <c r="A2198" t="str">
        <f t="shared" si="34"/>
        <v/>
      </c>
    </row>
    <row r="2199" spans="1:1" x14ac:dyDescent="0.35">
      <c r="A2199" t="str">
        <f t="shared" si="34"/>
        <v/>
      </c>
    </row>
    <row r="2200" spans="1:1" x14ac:dyDescent="0.35">
      <c r="A2200" t="str">
        <f t="shared" si="34"/>
        <v/>
      </c>
    </row>
    <row r="2201" spans="1:1" x14ac:dyDescent="0.35">
      <c r="A2201" t="str">
        <f t="shared" si="34"/>
        <v/>
      </c>
    </row>
    <row r="2202" spans="1:1" x14ac:dyDescent="0.35">
      <c r="A2202" t="str">
        <f t="shared" si="34"/>
        <v/>
      </c>
    </row>
    <row r="2203" spans="1:1" x14ac:dyDescent="0.35">
      <c r="A2203" t="str">
        <f t="shared" si="34"/>
        <v/>
      </c>
    </row>
    <row r="2204" spans="1:1" x14ac:dyDescent="0.35">
      <c r="A2204" t="str">
        <f t="shared" si="34"/>
        <v/>
      </c>
    </row>
    <row r="2205" spans="1:1" x14ac:dyDescent="0.35">
      <c r="A2205" t="str">
        <f t="shared" si="34"/>
        <v/>
      </c>
    </row>
    <row r="2206" spans="1:1" x14ac:dyDescent="0.35">
      <c r="A2206" t="str">
        <f t="shared" si="34"/>
        <v/>
      </c>
    </row>
    <row r="2207" spans="1:1" x14ac:dyDescent="0.35">
      <c r="A2207" t="str">
        <f t="shared" si="34"/>
        <v/>
      </c>
    </row>
    <row r="2208" spans="1:1" x14ac:dyDescent="0.35">
      <c r="A2208" t="str">
        <f t="shared" si="34"/>
        <v/>
      </c>
    </row>
    <row r="2209" spans="1:1" x14ac:dyDescent="0.35">
      <c r="A2209" t="str">
        <f t="shared" si="34"/>
        <v/>
      </c>
    </row>
    <row r="2210" spans="1:1" x14ac:dyDescent="0.35">
      <c r="A2210" t="str">
        <f t="shared" si="34"/>
        <v/>
      </c>
    </row>
    <row r="2211" spans="1:1" x14ac:dyDescent="0.35">
      <c r="A2211" t="str">
        <f t="shared" si="34"/>
        <v/>
      </c>
    </row>
    <row r="2212" spans="1:1" x14ac:dyDescent="0.35">
      <c r="A2212" t="str">
        <f t="shared" si="34"/>
        <v/>
      </c>
    </row>
    <row r="2213" spans="1:1" x14ac:dyDescent="0.35">
      <c r="A2213" t="str">
        <f t="shared" si="34"/>
        <v/>
      </c>
    </row>
    <row r="2214" spans="1:1" x14ac:dyDescent="0.35">
      <c r="A2214" t="str">
        <f t="shared" si="34"/>
        <v/>
      </c>
    </row>
    <row r="2215" spans="1:1" x14ac:dyDescent="0.35">
      <c r="A2215" t="str">
        <f t="shared" si="34"/>
        <v/>
      </c>
    </row>
    <row r="2216" spans="1:1" x14ac:dyDescent="0.35">
      <c r="A2216" t="str">
        <f t="shared" si="34"/>
        <v/>
      </c>
    </row>
    <row r="2217" spans="1:1" x14ac:dyDescent="0.35">
      <c r="A2217" t="str">
        <f t="shared" si="34"/>
        <v/>
      </c>
    </row>
    <row r="2218" spans="1:1" x14ac:dyDescent="0.35">
      <c r="A2218" t="str">
        <f t="shared" si="34"/>
        <v/>
      </c>
    </row>
    <row r="2219" spans="1:1" x14ac:dyDescent="0.35">
      <c r="A2219" t="str">
        <f t="shared" si="34"/>
        <v/>
      </c>
    </row>
    <row r="2220" spans="1:1" x14ac:dyDescent="0.35">
      <c r="A2220" t="str">
        <f t="shared" si="34"/>
        <v/>
      </c>
    </row>
    <row r="2221" spans="1:1" x14ac:dyDescent="0.35">
      <c r="A2221" t="str">
        <f t="shared" si="34"/>
        <v/>
      </c>
    </row>
    <row r="2222" spans="1:1" x14ac:dyDescent="0.35">
      <c r="A2222" t="str">
        <f t="shared" si="34"/>
        <v/>
      </c>
    </row>
    <row r="2223" spans="1:1" x14ac:dyDescent="0.35">
      <c r="A2223" t="str">
        <f t="shared" si="34"/>
        <v/>
      </c>
    </row>
    <row r="2224" spans="1:1" x14ac:dyDescent="0.35">
      <c r="A2224" t="str">
        <f t="shared" si="34"/>
        <v/>
      </c>
    </row>
    <row r="2225" spans="1:1" x14ac:dyDescent="0.35">
      <c r="A2225" t="str">
        <f t="shared" si="34"/>
        <v/>
      </c>
    </row>
    <row r="2226" spans="1:1" x14ac:dyDescent="0.35">
      <c r="A2226" t="str">
        <f t="shared" si="34"/>
        <v/>
      </c>
    </row>
    <row r="2227" spans="1:1" x14ac:dyDescent="0.35">
      <c r="A2227" t="str">
        <f t="shared" si="34"/>
        <v/>
      </c>
    </row>
    <row r="2228" spans="1:1" x14ac:dyDescent="0.35">
      <c r="A2228" t="str">
        <f t="shared" si="34"/>
        <v/>
      </c>
    </row>
    <row r="2229" spans="1:1" x14ac:dyDescent="0.35">
      <c r="A2229" t="str">
        <f t="shared" si="34"/>
        <v/>
      </c>
    </row>
    <row r="2230" spans="1:1" x14ac:dyDescent="0.35">
      <c r="A2230" t="str">
        <f t="shared" si="34"/>
        <v/>
      </c>
    </row>
    <row r="2231" spans="1:1" x14ac:dyDescent="0.35">
      <c r="A2231" t="str">
        <f t="shared" si="34"/>
        <v/>
      </c>
    </row>
    <row r="2232" spans="1:1" x14ac:dyDescent="0.35">
      <c r="A2232" t="str">
        <f t="shared" si="34"/>
        <v/>
      </c>
    </row>
    <row r="2233" spans="1:1" x14ac:dyDescent="0.35">
      <c r="A2233" t="str">
        <f t="shared" si="34"/>
        <v/>
      </c>
    </row>
    <row r="2234" spans="1:1" x14ac:dyDescent="0.35">
      <c r="A2234" t="str">
        <f t="shared" si="34"/>
        <v/>
      </c>
    </row>
    <row r="2235" spans="1:1" x14ac:dyDescent="0.35">
      <c r="A2235" t="str">
        <f t="shared" si="34"/>
        <v/>
      </c>
    </row>
    <row r="2236" spans="1:1" x14ac:dyDescent="0.35">
      <c r="A2236" t="str">
        <f t="shared" si="34"/>
        <v/>
      </c>
    </row>
    <row r="2237" spans="1:1" x14ac:dyDescent="0.35">
      <c r="A2237" t="str">
        <f t="shared" si="34"/>
        <v/>
      </c>
    </row>
    <row r="2238" spans="1:1" x14ac:dyDescent="0.35">
      <c r="A2238" t="str">
        <f t="shared" si="34"/>
        <v/>
      </c>
    </row>
    <row r="2239" spans="1:1" x14ac:dyDescent="0.35">
      <c r="A2239" t="str">
        <f t="shared" si="34"/>
        <v/>
      </c>
    </row>
    <row r="2240" spans="1:1" x14ac:dyDescent="0.35">
      <c r="A2240" t="str">
        <f t="shared" si="34"/>
        <v/>
      </c>
    </row>
    <row r="2241" spans="1:1" x14ac:dyDescent="0.35">
      <c r="A2241" t="str">
        <f t="shared" si="34"/>
        <v/>
      </c>
    </row>
    <row r="2242" spans="1:1" x14ac:dyDescent="0.35">
      <c r="A2242" t="str">
        <f t="shared" si="34"/>
        <v/>
      </c>
    </row>
    <row r="2243" spans="1:1" x14ac:dyDescent="0.35">
      <c r="A2243" t="str">
        <f t="shared" ref="A2243:A2306" si="35">C2243&amp;D2243&amp;E2243&amp;G2243&amp;H2243&amp;I2243</f>
        <v/>
      </c>
    </row>
    <row r="2244" spans="1:1" x14ac:dyDescent="0.35">
      <c r="A2244" t="str">
        <f t="shared" si="35"/>
        <v/>
      </c>
    </row>
    <row r="2245" spans="1:1" x14ac:dyDescent="0.35">
      <c r="A2245" t="str">
        <f t="shared" si="35"/>
        <v/>
      </c>
    </row>
    <row r="2246" spans="1:1" x14ac:dyDescent="0.35">
      <c r="A2246" t="str">
        <f t="shared" si="35"/>
        <v/>
      </c>
    </row>
    <row r="2247" spans="1:1" x14ac:dyDescent="0.35">
      <c r="A2247" t="str">
        <f t="shared" si="35"/>
        <v/>
      </c>
    </row>
    <row r="2248" spans="1:1" x14ac:dyDescent="0.35">
      <c r="A2248" t="str">
        <f t="shared" si="35"/>
        <v/>
      </c>
    </row>
    <row r="2249" spans="1:1" x14ac:dyDescent="0.35">
      <c r="A2249" t="str">
        <f t="shared" si="35"/>
        <v/>
      </c>
    </row>
    <row r="2250" spans="1:1" x14ac:dyDescent="0.35">
      <c r="A2250" t="str">
        <f t="shared" si="35"/>
        <v/>
      </c>
    </row>
    <row r="2251" spans="1:1" x14ac:dyDescent="0.35">
      <c r="A2251" t="str">
        <f t="shared" si="35"/>
        <v/>
      </c>
    </row>
    <row r="2252" spans="1:1" x14ac:dyDescent="0.35">
      <c r="A2252" t="str">
        <f t="shared" si="35"/>
        <v/>
      </c>
    </row>
    <row r="2253" spans="1:1" x14ac:dyDescent="0.35">
      <c r="A2253" t="str">
        <f t="shared" si="35"/>
        <v/>
      </c>
    </row>
    <row r="2254" spans="1:1" x14ac:dyDescent="0.35">
      <c r="A2254" t="str">
        <f t="shared" si="35"/>
        <v/>
      </c>
    </row>
    <row r="2255" spans="1:1" x14ac:dyDescent="0.35">
      <c r="A2255" t="str">
        <f t="shared" si="35"/>
        <v/>
      </c>
    </row>
    <row r="2256" spans="1:1" x14ac:dyDescent="0.35">
      <c r="A2256" t="str">
        <f t="shared" si="35"/>
        <v/>
      </c>
    </row>
    <row r="2257" spans="1:1" x14ac:dyDescent="0.35">
      <c r="A2257" t="str">
        <f t="shared" si="35"/>
        <v/>
      </c>
    </row>
    <row r="2258" spans="1:1" x14ac:dyDescent="0.35">
      <c r="A2258" t="str">
        <f t="shared" si="35"/>
        <v/>
      </c>
    </row>
    <row r="2259" spans="1:1" x14ac:dyDescent="0.35">
      <c r="A2259" t="str">
        <f t="shared" si="35"/>
        <v/>
      </c>
    </row>
    <row r="2260" spans="1:1" x14ac:dyDescent="0.35">
      <c r="A2260" t="str">
        <f t="shared" si="35"/>
        <v/>
      </c>
    </row>
    <row r="2261" spans="1:1" x14ac:dyDescent="0.35">
      <c r="A2261" t="str">
        <f t="shared" si="35"/>
        <v/>
      </c>
    </row>
    <row r="2262" spans="1:1" x14ac:dyDescent="0.35">
      <c r="A2262" t="str">
        <f t="shared" si="35"/>
        <v/>
      </c>
    </row>
    <row r="2263" spans="1:1" x14ac:dyDescent="0.35">
      <c r="A2263" t="str">
        <f t="shared" si="35"/>
        <v/>
      </c>
    </row>
    <row r="2264" spans="1:1" x14ac:dyDescent="0.35">
      <c r="A2264" t="str">
        <f t="shared" si="35"/>
        <v/>
      </c>
    </row>
    <row r="2265" spans="1:1" x14ac:dyDescent="0.35">
      <c r="A2265" t="str">
        <f t="shared" si="35"/>
        <v/>
      </c>
    </row>
    <row r="2266" spans="1:1" x14ac:dyDescent="0.35">
      <c r="A2266" t="str">
        <f t="shared" si="35"/>
        <v/>
      </c>
    </row>
    <row r="2267" spans="1:1" x14ac:dyDescent="0.35">
      <c r="A2267" t="str">
        <f t="shared" si="35"/>
        <v/>
      </c>
    </row>
    <row r="2268" spans="1:1" x14ac:dyDescent="0.35">
      <c r="A2268" t="str">
        <f t="shared" si="35"/>
        <v/>
      </c>
    </row>
    <row r="2269" spans="1:1" x14ac:dyDescent="0.35">
      <c r="A2269" t="str">
        <f t="shared" si="35"/>
        <v/>
      </c>
    </row>
    <row r="2270" spans="1:1" x14ac:dyDescent="0.35">
      <c r="A2270" t="str">
        <f t="shared" si="35"/>
        <v/>
      </c>
    </row>
    <row r="2271" spans="1:1" x14ac:dyDescent="0.35">
      <c r="A2271" t="str">
        <f t="shared" si="35"/>
        <v/>
      </c>
    </row>
    <row r="2272" spans="1:1" x14ac:dyDescent="0.35">
      <c r="A2272" t="str">
        <f t="shared" si="35"/>
        <v/>
      </c>
    </row>
    <row r="2273" spans="1:1" x14ac:dyDescent="0.35">
      <c r="A2273" t="str">
        <f t="shared" si="35"/>
        <v/>
      </c>
    </row>
    <row r="2274" spans="1:1" x14ac:dyDescent="0.35">
      <c r="A2274" t="str">
        <f t="shared" si="35"/>
        <v/>
      </c>
    </row>
    <row r="2275" spans="1:1" x14ac:dyDescent="0.35">
      <c r="A2275" t="str">
        <f t="shared" si="35"/>
        <v/>
      </c>
    </row>
    <row r="2276" spans="1:1" x14ac:dyDescent="0.35">
      <c r="A2276" t="str">
        <f t="shared" si="35"/>
        <v/>
      </c>
    </row>
    <row r="2277" spans="1:1" x14ac:dyDescent="0.35">
      <c r="A2277" t="str">
        <f t="shared" si="35"/>
        <v/>
      </c>
    </row>
    <row r="2278" spans="1:1" x14ac:dyDescent="0.35">
      <c r="A2278" t="str">
        <f t="shared" si="35"/>
        <v/>
      </c>
    </row>
    <row r="2279" spans="1:1" x14ac:dyDescent="0.35">
      <c r="A2279" t="str">
        <f t="shared" si="35"/>
        <v/>
      </c>
    </row>
    <row r="2280" spans="1:1" x14ac:dyDescent="0.35">
      <c r="A2280" t="str">
        <f t="shared" si="35"/>
        <v/>
      </c>
    </row>
    <row r="2281" spans="1:1" x14ac:dyDescent="0.35">
      <c r="A2281" t="str">
        <f t="shared" si="35"/>
        <v/>
      </c>
    </row>
    <row r="2282" spans="1:1" x14ac:dyDescent="0.35">
      <c r="A2282" t="str">
        <f t="shared" si="35"/>
        <v/>
      </c>
    </row>
    <row r="2283" spans="1:1" x14ac:dyDescent="0.35">
      <c r="A2283" t="str">
        <f t="shared" si="35"/>
        <v/>
      </c>
    </row>
    <row r="2284" spans="1:1" x14ac:dyDescent="0.35">
      <c r="A2284" t="str">
        <f t="shared" si="35"/>
        <v/>
      </c>
    </row>
    <row r="2285" spans="1:1" x14ac:dyDescent="0.35">
      <c r="A2285" t="str">
        <f t="shared" si="35"/>
        <v/>
      </c>
    </row>
    <row r="2286" spans="1:1" x14ac:dyDescent="0.35">
      <c r="A2286" t="str">
        <f t="shared" si="35"/>
        <v/>
      </c>
    </row>
    <row r="2287" spans="1:1" x14ac:dyDescent="0.35">
      <c r="A2287" t="str">
        <f t="shared" si="35"/>
        <v/>
      </c>
    </row>
    <row r="2288" spans="1:1" x14ac:dyDescent="0.35">
      <c r="A2288" t="str">
        <f t="shared" si="35"/>
        <v/>
      </c>
    </row>
    <row r="2289" spans="1:1" x14ac:dyDescent="0.35">
      <c r="A2289" t="str">
        <f t="shared" si="35"/>
        <v/>
      </c>
    </row>
    <row r="2290" spans="1:1" x14ac:dyDescent="0.35">
      <c r="A2290" t="str">
        <f t="shared" si="35"/>
        <v/>
      </c>
    </row>
    <row r="2291" spans="1:1" x14ac:dyDescent="0.35">
      <c r="A2291" t="str">
        <f t="shared" si="35"/>
        <v/>
      </c>
    </row>
    <row r="2292" spans="1:1" x14ac:dyDescent="0.35">
      <c r="A2292" t="str">
        <f t="shared" si="35"/>
        <v/>
      </c>
    </row>
    <row r="2293" spans="1:1" x14ac:dyDescent="0.35">
      <c r="A2293" t="str">
        <f t="shared" si="35"/>
        <v/>
      </c>
    </row>
    <row r="2294" spans="1:1" x14ac:dyDescent="0.35">
      <c r="A2294" t="str">
        <f t="shared" si="35"/>
        <v/>
      </c>
    </row>
    <row r="2295" spans="1:1" x14ac:dyDescent="0.35">
      <c r="A2295" t="str">
        <f t="shared" si="35"/>
        <v/>
      </c>
    </row>
    <row r="2296" spans="1:1" x14ac:dyDescent="0.35">
      <c r="A2296" t="str">
        <f t="shared" si="35"/>
        <v/>
      </c>
    </row>
    <row r="2297" spans="1:1" x14ac:dyDescent="0.35">
      <c r="A2297" t="str">
        <f t="shared" si="35"/>
        <v/>
      </c>
    </row>
    <row r="2298" spans="1:1" x14ac:dyDescent="0.35">
      <c r="A2298" t="str">
        <f t="shared" si="35"/>
        <v/>
      </c>
    </row>
    <row r="2299" spans="1:1" x14ac:dyDescent="0.35">
      <c r="A2299" t="str">
        <f t="shared" si="35"/>
        <v/>
      </c>
    </row>
    <row r="2300" spans="1:1" x14ac:dyDescent="0.35">
      <c r="A2300" t="str">
        <f t="shared" si="35"/>
        <v/>
      </c>
    </row>
    <row r="2301" spans="1:1" x14ac:dyDescent="0.35">
      <c r="A2301" t="str">
        <f t="shared" si="35"/>
        <v/>
      </c>
    </row>
    <row r="2302" spans="1:1" x14ac:dyDescent="0.35">
      <c r="A2302" t="str">
        <f t="shared" si="35"/>
        <v/>
      </c>
    </row>
    <row r="2303" spans="1:1" x14ac:dyDescent="0.35">
      <c r="A2303" t="str">
        <f t="shared" si="35"/>
        <v/>
      </c>
    </row>
    <row r="2304" spans="1:1" x14ac:dyDescent="0.35">
      <c r="A2304" t="str">
        <f t="shared" si="35"/>
        <v/>
      </c>
    </row>
    <row r="2305" spans="1:1" x14ac:dyDescent="0.35">
      <c r="A2305" t="str">
        <f t="shared" si="35"/>
        <v/>
      </c>
    </row>
    <row r="2306" spans="1:1" x14ac:dyDescent="0.35">
      <c r="A2306" t="str">
        <f t="shared" si="35"/>
        <v/>
      </c>
    </row>
    <row r="2307" spans="1:1" x14ac:dyDescent="0.35">
      <c r="A2307" t="str">
        <f t="shared" ref="A2307:A2370" si="36">C2307&amp;D2307&amp;E2307&amp;G2307&amp;H2307&amp;I2307</f>
        <v/>
      </c>
    </row>
    <row r="2308" spans="1:1" x14ac:dyDescent="0.35">
      <c r="A2308" t="str">
        <f t="shared" si="36"/>
        <v/>
      </c>
    </row>
    <row r="2309" spans="1:1" x14ac:dyDescent="0.35">
      <c r="A2309" t="str">
        <f t="shared" si="36"/>
        <v/>
      </c>
    </row>
    <row r="2310" spans="1:1" x14ac:dyDescent="0.35">
      <c r="A2310" t="str">
        <f t="shared" si="36"/>
        <v/>
      </c>
    </row>
    <row r="2311" spans="1:1" x14ac:dyDescent="0.35">
      <c r="A2311" t="str">
        <f t="shared" si="36"/>
        <v/>
      </c>
    </row>
    <row r="2312" spans="1:1" x14ac:dyDescent="0.35">
      <c r="A2312" t="str">
        <f t="shared" si="36"/>
        <v/>
      </c>
    </row>
    <row r="2313" spans="1:1" x14ac:dyDescent="0.35">
      <c r="A2313" t="str">
        <f t="shared" si="36"/>
        <v/>
      </c>
    </row>
    <row r="2314" spans="1:1" x14ac:dyDescent="0.35">
      <c r="A2314" t="str">
        <f t="shared" si="36"/>
        <v/>
      </c>
    </row>
    <row r="2315" spans="1:1" x14ac:dyDescent="0.35">
      <c r="A2315" t="str">
        <f t="shared" si="36"/>
        <v/>
      </c>
    </row>
    <row r="2316" spans="1:1" x14ac:dyDescent="0.35">
      <c r="A2316" t="str">
        <f t="shared" si="36"/>
        <v/>
      </c>
    </row>
    <row r="2317" spans="1:1" x14ac:dyDescent="0.35">
      <c r="A2317" t="str">
        <f t="shared" si="36"/>
        <v/>
      </c>
    </row>
    <row r="2318" spans="1:1" x14ac:dyDescent="0.35">
      <c r="A2318" t="str">
        <f t="shared" si="36"/>
        <v/>
      </c>
    </row>
    <row r="2319" spans="1:1" x14ac:dyDescent="0.35">
      <c r="A2319" t="str">
        <f t="shared" si="36"/>
        <v/>
      </c>
    </row>
    <row r="2320" spans="1:1" x14ac:dyDescent="0.35">
      <c r="A2320" t="str">
        <f t="shared" si="36"/>
        <v/>
      </c>
    </row>
    <row r="2321" spans="1:1" x14ac:dyDescent="0.35">
      <c r="A2321" t="str">
        <f t="shared" si="36"/>
        <v/>
      </c>
    </row>
    <row r="2322" spans="1:1" x14ac:dyDescent="0.35">
      <c r="A2322" t="str">
        <f t="shared" si="36"/>
        <v/>
      </c>
    </row>
    <row r="2323" spans="1:1" x14ac:dyDescent="0.35">
      <c r="A2323" t="str">
        <f t="shared" si="36"/>
        <v/>
      </c>
    </row>
    <row r="2324" spans="1:1" x14ac:dyDescent="0.35">
      <c r="A2324" t="str">
        <f t="shared" si="36"/>
        <v/>
      </c>
    </row>
    <row r="2325" spans="1:1" x14ac:dyDescent="0.35">
      <c r="A2325" t="str">
        <f t="shared" si="36"/>
        <v/>
      </c>
    </row>
    <row r="2326" spans="1:1" x14ac:dyDescent="0.35">
      <c r="A2326" t="str">
        <f t="shared" si="36"/>
        <v/>
      </c>
    </row>
    <row r="2327" spans="1:1" x14ac:dyDescent="0.35">
      <c r="A2327" t="str">
        <f t="shared" si="36"/>
        <v/>
      </c>
    </row>
    <row r="2328" spans="1:1" x14ac:dyDescent="0.35">
      <c r="A2328" t="str">
        <f t="shared" si="36"/>
        <v/>
      </c>
    </row>
    <row r="2329" spans="1:1" x14ac:dyDescent="0.35">
      <c r="A2329" t="str">
        <f t="shared" si="36"/>
        <v/>
      </c>
    </row>
    <row r="2330" spans="1:1" x14ac:dyDescent="0.35">
      <c r="A2330" t="str">
        <f t="shared" si="36"/>
        <v/>
      </c>
    </row>
    <row r="2331" spans="1:1" x14ac:dyDescent="0.35">
      <c r="A2331" t="str">
        <f t="shared" si="36"/>
        <v/>
      </c>
    </row>
    <row r="2332" spans="1:1" x14ac:dyDescent="0.35">
      <c r="A2332" t="str">
        <f t="shared" si="36"/>
        <v/>
      </c>
    </row>
    <row r="2333" spans="1:1" x14ac:dyDescent="0.35">
      <c r="A2333" t="str">
        <f t="shared" si="36"/>
        <v/>
      </c>
    </row>
    <row r="2334" spans="1:1" x14ac:dyDescent="0.35">
      <c r="A2334" t="str">
        <f t="shared" si="36"/>
        <v/>
      </c>
    </row>
    <row r="2335" spans="1:1" x14ac:dyDescent="0.35">
      <c r="A2335" t="str">
        <f t="shared" si="36"/>
        <v/>
      </c>
    </row>
    <row r="2336" spans="1:1" x14ac:dyDescent="0.35">
      <c r="A2336" t="str">
        <f t="shared" si="36"/>
        <v/>
      </c>
    </row>
    <row r="2337" spans="1:1" x14ac:dyDescent="0.35">
      <c r="A2337" t="str">
        <f t="shared" si="36"/>
        <v/>
      </c>
    </row>
    <row r="2338" spans="1:1" x14ac:dyDescent="0.35">
      <c r="A2338" t="str">
        <f t="shared" si="36"/>
        <v/>
      </c>
    </row>
    <row r="2339" spans="1:1" x14ac:dyDescent="0.35">
      <c r="A2339" t="str">
        <f t="shared" si="36"/>
        <v/>
      </c>
    </row>
    <row r="2340" spans="1:1" x14ac:dyDescent="0.35">
      <c r="A2340" t="str">
        <f t="shared" si="36"/>
        <v/>
      </c>
    </row>
    <row r="2341" spans="1:1" x14ac:dyDescent="0.35">
      <c r="A2341" t="str">
        <f t="shared" si="36"/>
        <v/>
      </c>
    </row>
    <row r="2342" spans="1:1" x14ac:dyDescent="0.35">
      <c r="A2342" t="str">
        <f t="shared" si="36"/>
        <v/>
      </c>
    </row>
    <row r="2343" spans="1:1" x14ac:dyDescent="0.35">
      <c r="A2343" t="str">
        <f t="shared" si="36"/>
        <v/>
      </c>
    </row>
    <row r="2344" spans="1:1" x14ac:dyDescent="0.35">
      <c r="A2344" t="str">
        <f t="shared" si="36"/>
        <v/>
      </c>
    </row>
    <row r="2345" spans="1:1" x14ac:dyDescent="0.35">
      <c r="A2345" t="str">
        <f t="shared" si="36"/>
        <v/>
      </c>
    </row>
    <row r="2346" spans="1:1" x14ac:dyDescent="0.35">
      <c r="A2346" t="str">
        <f t="shared" si="36"/>
        <v/>
      </c>
    </row>
    <row r="2347" spans="1:1" x14ac:dyDescent="0.35">
      <c r="A2347" t="str">
        <f t="shared" si="36"/>
        <v/>
      </c>
    </row>
    <row r="2348" spans="1:1" x14ac:dyDescent="0.35">
      <c r="A2348" t="str">
        <f t="shared" si="36"/>
        <v/>
      </c>
    </row>
    <row r="2349" spans="1:1" x14ac:dyDescent="0.35">
      <c r="A2349" t="str">
        <f t="shared" si="36"/>
        <v/>
      </c>
    </row>
    <row r="2350" spans="1:1" x14ac:dyDescent="0.35">
      <c r="A2350" t="str">
        <f t="shared" si="36"/>
        <v/>
      </c>
    </row>
    <row r="2351" spans="1:1" x14ac:dyDescent="0.35">
      <c r="A2351" t="str">
        <f t="shared" si="36"/>
        <v/>
      </c>
    </row>
    <row r="2352" spans="1:1" x14ac:dyDescent="0.35">
      <c r="A2352" t="str">
        <f t="shared" si="36"/>
        <v/>
      </c>
    </row>
    <row r="2353" spans="1:1" x14ac:dyDescent="0.35">
      <c r="A2353" t="str">
        <f t="shared" si="36"/>
        <v/>
      </c>
    </row>
    <row r="2354" spans="1:1" x14ac:dyDescent="0.35">
      <c r="A2354" t="str">
        <f t="shared" si="36"/>
        <v/>
      </c>
    </row>
    <row r="2355" spans="1:1" x14ac:dyDescent="0.35">
      <c r="A2355" t="str">
        <f t="shared" si="36"/>
        <v/>
      </c>
    </row>
    <row r="2356" spans="1:1" x14ac:dyDescent="0.35">
      <c r="A2356" t="str">
        <f t="shared" si="36"/>
        <v/>
      </c>
    </row>
    <row r="2357" spans="1:1" x14ac:dyDescent="0.35">
      <c r="A2357" t="str">
        <f t="shared" si="36"/>
        <v/>
      </c>
    </row>
    <row r="2358" spans="1:1" x14ac:dyDescent="0.35">
      <c r="A2358" t="str">
        <f t="shared" si="36"/>
        <v/>
      </c>
    </row>
    <row r="2359" spans="1:1" x14ac:dyDescent="0.35">
      <c r="A2359" t="str">
        <f t="shared" si="36"/>
        <v/>
      </c>
    </row>
    <row r="2360" spans="1:1" x14ac:dyDescent="0.35">
      <c r="A2360" t="str">
        <f t="shared" si="36"/>
        <v/>
      </c>
    </row>
    <row r="2361" spans="1:1" x14ac:dyDescent="0.35">
      <c r="A2361" t="str">
        <f t="shared" si="36"/>
        <v/>
      </c>
    </row>
    <row r="2362" spans="1:1" x14ac:dyDescent="0.35">
      <c r="A2362" t="str">
        <f t="shared" si="36"/>
        <v/>
      </c>
    </row>
    <row r="2363" spans="1:1" x14ac:dyDescent="0.35">
      <c r="A2363" t="str">
        <f t="shared" si="36"/>
        <v/>
      </c>
    </row>
    <row r="2364" spans="1:1" x14ac:dyDescent="0.35">
      <c r="A2364" t="str">
        <f t="shared" si="36"/>
        <v/>
      </c>
    </row>
    <row r="2365" spans="1:1" x14ac:dyDescent="0.35">
      <c r="A2365" t="str">
        <f t="shared" si="36"/>
        <v/>
      </c>
    </row>
    <row r="2366" spans="1:1" x14ac:dyDescent="0.35">
      <c r="A2366" t="str">
        <f t="shared" si="36"/>
        <v/>
      </c>
    </row>
    <row r="2367" spans="1:1" x14ac:dyDescent="0.35">
      <c r="A2367" t="str">
        <f t="shared" si="36"/>
        <v/>
      </c>
    </row>
    <row r="2368" spans="1:1" x14ac:dyDescent="0.35">
      <c r="A2368" t="str">
        <f t="shared" si="36"/>
        <v/>
      </c>
    </row>
    <row r="2369" spans="1:1" x14ac:dyDescent="0.35">
      <c r="A2369" t="str">
        <f t="shared" si="36"/>
        <v/>
      </c>
    </row>
    <row r="2370" spans="1:1" x14ac:dyDescent="0.35">
      <c r="A2370" t="str">
        <f t="shared" si="36"/>
        <v/>
      </c>
    </row>
    <row r="2371" spans="1:1" x14ac:dyDescent="0.35">
      <c r="A2371" t="str">
        <f t="shared" ref="A2371:A2434" si="37">C2371&amp;D2371&amp;E2371&amp;G2371&amp;H2371&amp;I2371</f>
        <v/>
      </c>
    </row>
    <row r="2372" spans="1:1" x14ac:dyDescent="0.35">
      <c r="A2372" t="str">
        <f t="shared" si="37"/>
        <v/>
      </c>
    </row>
    <row r="2373" spans="1:1" x14ac:dyDescent="0.35">
      <c r="A2373" t="str">
        <f t="shared" si="37"/>
        <v/>
      </c>
    </row>
    <row r="2374" spans="1:1" x14ac:dyDescent="0.35">
      <c r="A2374" t="str">
        <f t="shared" si="37"/>
        <v/>
      </c>
    </row>
    <row r="2375" spans="1:1" x14ac:dyDescent="0.35">
      <c r="A2375" t="str">
        <f t="shared" si="37"/>
        <v/>
      </c>
    </row>
    <row r="2376" spans="1:1" x14ac:dyDescent="0.35">
      <c r="A2376" t="str">
        <f t="shared" si="37"/>
        <v/>
      </c>
    </row>
    <row r="2377" spans="1:1" x14ac:dyDescent="0.35">
      <c r="A2377" t="str">
        <f t="shared" si="37"/>
        <v/>
      </c>
    </row>
    <row r="2378" spans="1:1" x14ac:dyDescent="0.35">
      <c r="A2378" t="str">
        <f t="shared" si="37"/>
        <v/>
      </c>
    </row>
    <row r="2379" spans="1:1" x14ac:dyDescent="0.35">
      <c r="A2379" t="str">
        <f t="shared" si="37"/>
        <v/>
      </c>
    </row>
    <row r="2380" spans="1:1" x14ac:dyDescent="0.35">
      <c r="A2380" t="str">
        <f t="shared" si="37"/>
        <v/>
      </c>
    </row>
    <row r="2381" spans="1:1" x14ac:dyDescent="0.35">
      <c r="A2381" t="str">
        <f t="shared" si="37"/>
        <v/>
      </c>
    </row>
    <row r="2382" spans="1:1" x14ac:dyDescent="0.35">
      <c r="A2382" t="str">
        <f t="shared" si="37"/>
        <v/>
      </c>
    </row>
    <row r="2383" spans="1:1" x14ac:dyDescent="0.35">
      <c r="A2383" t="str">
        <f t="shared" si="37"/>
        <v/>
      </c>
    </row>
    <row r="2384" spans="1:1" x14ac:dyDescent="0.35">
      <c r="A2384" t="str">
        <f t="shared" si="37"/>
        <v/>
      </c>
    </row>
    <row r="2385" spans="1:1" x14ac:dyDescent="0.35">
      <c r="A2385" t="str">
        <f t="shared" si="37"/>
        <v/>
      </c>
    </row>
    <row r="2386" spans="1:1" x14ac:dyDescent="0.35">
      <c r="A2386" t="str">
        <f t="shared" si="37"/>
        <v/>
      </c>
    </row>
    <row r="2387" spans="1:1" x14ac:dyDescent="0.35">
      <c r="A2387" t="str">
        <f t="shared" si="37"/>
        <v/>
      </c>
    </row>
    <row r="2388" spans="1:1" x14ac:dyDescent="0.35">
      <c r="A2388" t="str">
        <f t="shared" si="37"/>
        <v/>
      </c>
    </row>
    <row r="2389" spans="1:1" x14ac:dyDescent="0.35">
      <c r="A2389" t="str">
        <f t="shared" si="37"/>
        <v/>
      </c>
    </row>
    <row r="2390" spans="1:1" x14ac:dyDescent="0.35">
      <c r="A2390" t="str">
        <f t="shared" si="37"/>
        <v/>
      </c>
    </row>
    <row r="2391" spans="1:1" x14ac:dyDescent="0.35">
      <c r="A2391" t="str">
        <f t="shared" si="37"/>
        <v/>
      </c>
    </row>
    <row r="2392" spans="1:1" x14ac:dyDescent="0.35">
      <c r="A2392" t="str">
        <f t="shared" si="37"/>
        <v/>
      </c>
    </row>
    <row r="2393" spans="1:1" x14ac:dyDescent="0.35">
      <c r="A2393" t="str">
        <f t="shared" si="37"/>
        <v/>
      </c>
    </row>
    <row r="2394" spans="1:1" x14ac:dyDescent="0.35">
      <c r="A2394" t="str">
        <f t="shared" si="37"/>
        <v/>
      </c>
    </row>
    <row r="2395" spans="1:1" x14ac:dyDescent="0.35">
      <c r="A2395" t="str">
        <f t="shared" si="37"/>
        <v/>
      </c>
    </row>
    <row r="2396" spans="1:1" x14ac:dyDescent="0.35">
      <c r="A2396" t="str">
        <f t="shared" si="37"/>
        <v/>
      </c>
    </row>
    <row r="2397" spans="1:1" x14ac:dyDescent="0.35">
      <c r="A2397" t="str">
        <f t="shared" si="37"/>
        <v/>
      </c>
    </row>
    <row r="2398" spans="1:1" x14ac:dyDescent="0.35">
      <c r="A2398" t="str">
        <f t="shared" si="37"/>
        <v/>
      </c>
    </row>
    <row r="2399" spans="1:1" x14ac:dyDescent="0.35">
      <c r="A2399" t="str">
        <f t="shared" si="37"/>
        <v/>
      </c>
    </row>
    <row r="2400" spans="1:1" x14ac:dyDescent="0.35">
      <c r="A2400" t="str">
        <f t="shared" si="37"/>
        <v/>
      </c>
    </row>
    <row r="2401" spans="1:1" x14ac:dyDescent="0.35">
      <c r="A2401" t="str">
        <f t="shared" si="37"/>
        <v/>
      </c>
    </row>
    <row r="2402" spans="1:1" x14ac:dyDescent="0.35">
      <c r="A2402" t="str">
        <f t="shared" si="37"/>
        <v/>
      </c>
    </row>
    <row r="2403" spans="1:1" x14ac:dyDescent="0.35">
      <c r="A2403" t="str">
        <f t="shared" si="37"/>
        <v/>
      </c>
    </row>
    <row r="2404" spans="1:1" x14ac:dyDescent="0.35">
      <c r="A2404" t="str">
        <f t="shared" si="37"/>
        <v/>
      </c>
    </row>
    <row r="2405" spans="1:1" x14ac:dyDescent="0.35">
      <c r="A2405" t="str">
        <f t="shared" si="37"/>
        <v/>
      </c>
    </row>
    <row r="2406" spans="1:1" x14ac:dyDescent="0.35">
      <c r="A2406" t="str">
        <f t="shared" si="37"/>
        <v/>
      </c>
    </row>
    <row r="2407" spans="1:1" x14ac:dyDescent="0.35">
      <c r="A2407" t="str">
        <f t="shared" si="37"/>
        <v/>
      </c>
    </row>
    <row r="2408" spans="1:1" x14ac:dyDescent="0.35">
      <c r="A2408" t="str">
        <f t="shared" si="37"/>
        <v/>
      </c>
    </row>
    <row r="2409" spans="1:1" x14ac:dyDescent="0.35">
      <c r="A2409" t="str">
        <f t="shared" si="37"/>
        <v/>
      </c>
    </row>
    <row r="2410" spans="1:1" x14ac:dyDescent="0.35">
      <c r="A2410" t="str">
        <f t="shared" si="37"/>
        <v/>
      </c>
    </row>
    <row r="2411" spans="1:1" x14ac:dyDescent="0.35">
      <c r="A2411" t="str">
        <f t="shared" si="37"/>
        <v/>
      </c>
    </row>
    <row r="2412" spans="1:1" x14ac:dyDescent="0.35">
      <c r="A2412" t="str">
        <f t="shared" si="37"/>
        <v/>
      </c>
    </row>
    <row r="2413" spans="1:1" x14ac:dyDescent="0.35">
      <c r="A2413" t="str">
        <f t="shared" si="37"/>
        <v/>
      </c>
    </row>
    <row r="2414" spans="1:1" x14ac:dyDescent="0.35">
      <c r="A2414" t="str">
        <f t="shared" si="37"/>
        <v/>
      </c>
    </row>
    <row r="2415" spans="1:1" x14ac:dyDescent="0.35">
      <c r="A2415" t="str">
        <f t="shared" si="37"/>
        <v/>
      </c>
    </row>
    <row r="2416" spans="1:1" x14ac:dyDescent="0.35">
      <c r="A2416" t="str">
        <f t="shared" si="37"/>
        <v/>
      </c>
    </row>
    <row r="2417" spans="1:1" x14ac:dyDescent="0.35">
      <c r="A2417" t="str">
        <f t="shared" si="37"/>
        <v/>
      </c>
    </row>
    <row r="2418" spans="1:1" x14ac:dyDescent="0.35">
      <c r="A2418" t="str">
        <f t="shared" si="37"/>
        <v/>
      </c>
    </row>
    <row r="2419" spans="1:1" x14ac:dyDescent="0.35">
      <c r="A2419" t="str">
        <f t="shared" si="37"/>
        <v/>
      </c>
    </row>
    <row r="2420" spans="1:1" x14ac:dyDescent="0.35">
      <c r="A2420" t="str">
        <f t="shared" si="37"/>
        <v/>
      </c>
    </row>
    <row r="2421" spans="1:1" x14ac:dyDescent="0.35">
      <c r="A2421" t="str">
        <f t="shared" si="37"/>
        <v/>
      </c>
    </row>
    <row r="2422" spans="1:1" x14ac:dyDescent="0.35">
      <c r="A2422" t="str">
        <f t="shared" si="37"/>
        <v/>
      </c>
    </row>
    <row r="2423" spans="1:1" x14ac:dyDescent="0.35">
      <c r="A2423" t="str">
        <f t="shared" si="37"/>
        <v/>
      </c>
    </row>
    <row r="2424" spans="1:1" x14ac:dyDescent="0.35">
      <c r="A2424" t="str">
        <f t="shared" si="37"/>
        <v/>
      </c>
    </row>
    <row r="2425" spans="1:1" x14ac:dyDescent="0.35">
      <c r="A2425" t="str">
        <f t="shared" si="37"/>
        <v/>
      </c>
    </row>
    <row r="2426" spans="1:1" x14ac:dyDescent="0.35">
      <c r="A2426" t="str">
        <f t="shared" si="37"/>
        <v/>
      </c>
    </row>
    <row r="2427" spans="1:1" x14ac:dyDescent="0.35">
      <c r="A2427" t="str">
        <f t="shared" si="37"/>
        <v/>
      </c>
    </row>
    <row r="2428" spans="1:1" x14ac:dyDescent="0.35">
      <c r="A2428" t="str">
        <f t="shared" si="37"/>
        <v/>
      </c>
    </row>
    <row r="2429" spans="1:1" x14ac:dyDescent="0.35">
      <c r="A2429" t="str">
        <f t="shared" si="37"/>
        <v/>
      </c>
    </row>
    <row r="2430" spans="1:1" x14ac:dyDescent="0.35">
      <c r="A2430" t="str">
        <f t="shared" si="37"/>
        <v/>
      </c>
    </row>
    <row r="2431" spans="1:1" x14ac:dyDescent="0.35">
      <c r="A2431" t="str">
        <f t="shared" si="37"/>
        <v/>
      </c>
    </row>
    <row r="2432" spans="1:1" x14ac:dyDescent="0.35">
      <c r="A2432" t="str">
        <f t="shared" si="37"/>
        <v/>
      </c>
    </row>
    <row r="2433" spans="1:1" x14ac:dyDescent="0.35">
      <c r="A2433" t="str">
        <f t="shared" si="37"/>
        <v/>
      </c>
    </row>
    <row r="2434" spans="1:1" x14ac:dyDescent="0.35">
      <c r="A2434" t="str">
        <f t="shared" si="37"/>
        <v/>
      </c>
    </row>
    <row r="2435" spans="1:1" x14ac:dyDescent="0.35">
      <c r="A2435" t="str">
        <f t="shared" ref="A2435:A2498" si="38">C2435&amp;D2435&amp;E2435&amp;G2435&amp;H2435&amp;I2435</f>
        <v/>
      </c>
    </row>
    <row r="2436" spans="1:1" x14ac:dyDescent="0.35">
      <c r="A2436" t="str">
        <f t="shared" si="38"/>
        <v/>
      </c>
    </row>
    <row r="2437" spans="1:1" x14ac:dyDescent="0.35">
      <c r="A2437" t="str">
        <f t="shared" si="38"/>
        <v/>
      </c>
    </row>
    <row r="2438" spans="1:1" x14ac:dyDescent="0.35">
      <c r="A2438" t="str">
        <f t="shared" si="38"/>
        <v/>
      </c>
    </row>
    <row r="2439" spans="1:1" x14ac:dyDescent="0.35">
      <c r="A2439" t="str">
        <f t="shared" si="38"/>
        <v/>
      </c>
    </row>
    <row r="2440" spans="1:1" x14ac:dyDescent="0.35">
      <c r="A2440" t="str">
        <f t="shared" si="38"/>
        <v/>
      </c>
    </row>
    <row r="2441" spans="1:1" x14ac:dyDescent="0.35">
      <c r="A2441" t="str">
        <f t="shared" si="38"/>
        <v/>
      </c>
    </row>
    <row r="2442" spans="1:1" x14ac:dyDescent="0.35">
      <c r="A2442" t="str">
        <f t="shared" si="38"/>
        <v/>
      </c>
    </row>
    <row r="2443" spans="1:1" x14ac:dyDescent="0.35">
      <c r="A2443" t="str">
        <f t="shared" si="38"/>
        <v/>
      </c>
    </row>
    <row r="2444" spans="1:1" x14ac:dyDescent="0.35">
      <c r="A2444" t="str">
        <f t="shared" si="38"/>
        <v/>
      </c>
    </row>
    <row r="2445" spans="1:1" x14ac:dyDescent="0.35">
      <c r="A2445" t="str">
        <f t="shared" si="38"/>
        <v/>
      </c>
    </row>
    <row r="2446" spans="1:1" x14ac:dyDescent="0.35">
      <c r="A2446" t="str">
        <f t="shared" si="38"/>
        <v/>
      </c>
    </row>
    <row r="2447" spans="1:1" x14ac:dyDescent="0.35">
      <c r="A2447" t="str">
        <f t="shared" si="38"/>
        <v/>
      </c>
    </row>
    <row r="2448" spans="1:1" x14ac:dyDescent="0.35">
      <c r="A2448" t="str">
        <f t="shared" si="38"/>
        <v/>
      </c>
    </row>
    <row r="2449" spans="1:1" x14ac:dyDescent="0.35">
      <c r="A2449" t="str">
        <f t="shared" si="38"/>
        <v/>
      </c>
    </row>
    <row r="2450" spans="1:1" x14ac:dyDescent="0.35">
      <c r="A2450" t="str">
        <f t="shared" si="38"/>
        <v/>
      </c>
    </row>
    <row r="2451" spans="1:1" x14ac:dyDescent="0.35">
      <c r="A2451" t="str">
        <f t="shared" si="38"/>
        <v/>
      </c>
    </row>
    <row r="2452" spans="1:1" x14ac:dyDescent="0.35">
      <c r="A2452" t="str">
        <f t="shared" si="38"/>
        <v/>
      </c>
    </row>
    <row r="2453" spans="1:1" x14ac:dyDescent="0.35">
      <c r="A2453" t="str">
        <f t="shared" si="38"/>
        <v/>
      </c>
    </row>
    <row r="2454" spans="1:1" x14ac:dyDescent="0.35">
      <c r="A2454" t="str">
        <f t="shared" si="38"/>
        <v/>
      </c>
    </row>
    <row r="2455" spans="1:1" x14ac:dyDescent="0.35">
      <c r="A2455" t="str">
        <f t="shared" si="38"/>
        <v/>
      </c>
    </row>
    <row r="2456" spans="1:1" x14ac:dyDescent="0.35">
      <c r="A2456" t="str">
        <f t="shared" si="38"/>
        <v/>
      </c>
    </row>
    <row r="2457" spans="1:1" x14ac:dyDescent="0.35">
      <c r="A2457" t="str">
        <f t="shared" si="38"/>
        <v/>
      </c>
    </row>
    <row r="2458" spans="1:1" x14ac:dyDescent="0.35">
      <c r="A2458" t="str">
        <f t="shared" si="38"/>
        <v/>
      </c>
    </row>
    <row r="2459" spans="1:1" x14ac:dyDescent="0.35">
      <c r="A2459" t="str">
        <f t="shared" si="38"/>
        <v/>
      </c>
    </row>
    <row r="2460" spans="1:1" x14ac:dyDescent="0.35">
      <c r="A2460" t="str">
        <f t="shared" si="38"/>
        <v/>
      </c>
    </row>
    <row r="2461" spans="1:1" x14ac:dyDescent="0.35">
      <c r="A2461" t="str">
        <f t="shared" si="38"/>
        <v/>
      </c>
    </row>
    <row r="2462" spans="1:1" x14ac:dyDescent="0.35">
      <c r="A2462" t="str">
        <f t="shared" si="38"/>
        <v/>
      </c>
    </row>
    <row r="2463" spans="1:1" x14ac:dyDescent="0.35">
      <c r="A2463" t="str">
        <f t="shared" si="38"/>
        <v/>
      </c>
    </row>
    <row r="2464" spans="1:1" x14ac:dyDescent="0.35">
      <c r="A2464" t="str">
        <f t="shared" si="38"/>
        <v/>
      </c>
    </row>
    <row r="2465" spans="1:1" x14ac:dyDescent="0.35">
      <c r="A2465" t="str">
        <f t="shared" si="38"/>
        <v/>
      </c>
    </row>
    <row r="2466" spans="1:1" x14ac:dyDescent="0.35">
      <c r="A2466" t="str">
        <f t="shared" si="38"/>
        <v/>
      </c>
    </row>
    <row r="2467" spans="1:1" x14ac:dyDescent="0.35">
      <c r="A2467" t="str">
        <f t="shared" si="38"/>
        <v/>
      </c>
    </row>
    <row r="2468" spans="1:1" x14ac:dyDescent="0.35">
      <c r="A2468" t="str">
        <f t="shared" si="38"/>
        <v/>
      </c>
    </row>
    <row r="2469" spans="1:1" x14ac:dyDescent="0.35">
      <c r="A2469" t="str">
        <f t="shared" si="38"/>
        <v/>
      </c>
    </row>
    <row r="2470" spans="1:1" x14ac:dyDescent="0.35">
      <c r="A2470" t="str">
        <f t="shared" si="38"/>
        <v/>
      </c>
    </row>
    <row r="2471" spans="1:1" x14ac:dyDescent="0.35">
      <c r="A2471" t="str">
        <f t="shared" si="38"/>
        <v/>
      </c>
    </row>
    <row r="2472" spans="1:1" x14ac:dyDescent="0.35">
      <c r="A2472" t="str">
        <f t="shared" si="38"/>
        <v/>
      </c>
    </row>
    <row r="2473" spans="1:1" x14ac:dyDescent="0.35">
      <c r="A2473" t="str">
        <f t="shared" si="38"/>
        <v/>
      </c>
    </row>
    <row r="2474" spans="1:1" x14ac:dyDescent="0.35">
      <c r="A2474" t="str">
        <f t="shared" si="38"/>
        <v/>
      </c>
    </row>
    <row r="2475" spans="1:1" x14ac:dyDescent="0.35">
      <c r="A2475" t="str">
        <f t="shared" si="38"/>
        <v/>
      </c>
    </row>
    <row r="2476" spans="1:1" x14ac:dyDescent="0.35">
      <c r="A2476" t="str">
        <f t="shared" si="38"/>
        <v/>
      </c>
    </row>
    <row r="2477" spans="1:1" x14ac:dyDescent="0.35">
      <c r="A2477" t="str">
        <f t="shared" si="38"/>
        <v/>
      </c>
    </row>
    <row r="2478" spans="1:1" x14ac:dyDescent="0.35">
      <c r="A2478" t="str">
        <f t="shared" si="38"/>
        <v/>
      </c>
    </row>
    <row r="2479" spans="1:1" x14ac:dyDescent="0.35">
      <c r="A2479" t="str">
        <f t="shared" si="38"/>
        <v/>
      </c>
    </row>
    <row r="2480" spans="1:1" x14ac:dyDescent="0.35">
      <c r="A2480" t="str">
        <f t="shared" si="38"/>
        <v/>
      </c>
    </row>
    <row r="2481" spans="1:1" x14ac:dyDescent="0.35">
      <c r="A2481" t="str">
        <f t="shared" si="38"/>
        <v/>
      </c>
    </row>
    <row r="2482" spans="1:1" x14ac:dyDescent="0.35">
      <c r="A2482" t="str">
        <f t="shared" si="38"/>
        <v/>
      </c>
    </row>
    <row r="2483" spans="1:1" x14ac:dyDescent="0.35">
      <c r="A2483" t="str">
        <f t="shared" si="38"/>
        <v/>
      </c>
    </row>
    <row r="2484" spans="1:1" x14ac:dyDescent="0.35">
      <c r="A2484" t="str">
        <f t="shared" si="38"/>
        <v/>
      </c>
    </row>
    <row r="2485" spans="1:1" x14ac:dyDescent="0.35">
      <c r="A2485" t="str">
        <f t="shared" si="38"/>
        <v/>
      </c>
    </row>
    <row r="2486" spans="1:1" x14ac:dyDescent="0.35">
      <c r="A2486" t="str">
        <f t="shared" si="38"/>
        <v/>
      </c>
    </row>
    <row r="2487" spans="1:1" x14ac:dyDescent="0.35">
      <c r="A2487" t="str">
        <f t="shared" si="38"/>
        <v/>
      </c>
    </row>
    <row r="2488" spans="1:1" x14ac:dyDescent="0.35">
      <c r="A2488" t="str">
        <f t="shared" si="38"/>
        <v/>
      </c>
    </row>
    <row r="2489" spans="1:1" x14ac:dyDescent="0.35">
      <c r="A2489" t="str">
        <f t="shared" si="38"/>
        <v/>
      </c>
    </row>
    <row r="2490" spans="1:1" x14ac:dyDescent="0.35">
      <c r="A2490" t="str">
        <f t="shared" si="38"/>
        <v/>
      </c>
    </row>
    <row r="2491" spans="1:1" x14ac:dyDescent="0.35">
      <c r="A2491" t="str">
        <f t="shared" si="38"/>
        <v/>
      </c>
    </row>
    <row r="2492" spans="1:1" x14ac:dyDescent="0.35">
      <c r="A2492" t="str">
        <f t="shared" si="38"/>
        <v/>
      </c>
    </row>
    <row r="2493" spans="1:1" x14ac:dyDescent="0.35">
      <c r="A2493" t="str">
        <f t="shared" si="38"/>
        <v/>
      </c>
    </row>
    <row r="2494" spans="1:1" x14ac:dyDescent="0.35">
      <c r="A2494" t="str">
        <f t="shared" si="38"/>
        <v/>
      </c>
    </row>
    <row r="2495" spans="1:1" x14ac:dyDescent="0.35">
      <c r="A2495" t="str">
        <f t="shared" si="38"/>
        <v/>
      </c>
    </row>
    <row r="2496" spans="1:1" x14ac:dyDescent="0.35">
      <c r="A2496" t="str">
        <f t="shared" si="38"/>
        <v/>
      </c>
    </row>
    <row r="2497" spans="1:1" x14ac:dyDescent="0.35">
      <c r="A2497" t="str">
        <f t="shared" si="38"/>
        <v/>
      </c>
    </row>
    <row r="2498" spans="1:1" x14ac:dyDescent="0.35">
      <c r="A2498" t="str">
        <f t="shared" si="38"/>
        <v/>
      </c>
    </row>
    <row r="2499" spans="1:1" x14ac:dyDescent="0.35">
      <c r="A2499" t="str">
        <f t="shared" ref="A2499:A2562" si="39">C2499&amp;D2499&amp;E2499&amp;G2499&amp;H2499&amp;I2499</f>
        <v/>
      </c>
    </row>
    <row r="2500" spans="1:1" x14ac:dyDescent="0.35">
      <c r="A2500" t="str">
        <f t="shared" si="39"/>
        <v/>
      </c>
    </row>
    <row r="2501" spans="1:1" x14ac:dyDescent="0.35">
      <c r="A2501" t="str">
        <f t="shared" si="39"/>
        <v/>
      </c>
    </row>
    <row r="2502" spans="1:1" x14ac:dyDescent="0.35">
      <c r="A2502" t="str">
        <f t="shared" si="39"/>
        <v/>
      </c>
    </row>
    <row r="2503" spans="1:1" x14ac:dyDescent="0.35">
      <c r="A2503" t="str">
        <f t="shared" si="39"/>
        <v/>
      </c>
    </row>
    <row r="2504" spans="1:1" x14ac:dyDescent="0.35">
      <c r="A2504" t="str">
        <f t="shared" si="39"/>
        <v/>
      </c>
    </row>
    <row r="2505" spans="1:1" x14ac:dyDescent="0.35">
      <c r="A2505" t="str">
        <f t="shared" si="39"/>
        <v/>
      </c>
    </row>
    <row r="2506" spans="1:1" x14ac:dyDescent="0.35">
      <c r="A2506" t="str">
        <f t="shared" si="39"/>
        <v/>
      </c>
    </row>
    <row r="2507" spans="1:1" x14ac:dyDescent="0.35">
      <c r="A2507" t="str">
        <f t="shared" si="39"/>
        <v/>
      </c>
    </row>
    <row r="2508" spans="1:1" x14ac:dyDescent="0.35">
      <c r="A2508" t="str">
        <f t="shared" si="39"/>
        <v/>
      </c>
    </row>
    <row r="2509" spans="1:1" x14ac:dyDescent="0.35">
      <c r="A2509" t="str">
        <f t="shared" si="39"/>
        <v/>
      </c>
    </row>
    <row r="2510" spans="1:1" x14ac:dyDescent="0.35">
      <c r="A2510" t="str">
        <f t="shared" si="39"/>
        <v/>
      </c>
    </row>
    <row r="2511" spans="1:1" x14ac:dyDescent="0.35">
      <c r="A2511" t="str">
        <f t="shared" si="39"/>
        <v/>
      </c>
    </row>
    <row r="2512" spans="1:1" x14ac:dyDescent="0.35">
      <c r="A2512" t="str">
        <f t="shared" si="39"/>
        <v/>
      </c>
    </row>
    <row r="2513" spans="1:1" x14ac:dyDescent="0.35">
      <c r="A2513" t="str">
        <f t="shared" si="39"/>
        <v/>
      </c>
    </row>
    <row r="2514" spans="1:1" x14ac:dyDescent="0.35">
      <c r="A2514" t="str">
        <f t="shared" si="39"/>
        <v/>
      </c>
    </row>
    <row r="2515" spans="1:1" x14ac:dyDescent="0.35">
      <c r="A2515" t="str">
        <f t="shared" si="39"/>
        <v/>
      </c>
    </row>
    <row r="2516" spans="1:1" x14ac:dyDescent="0.35">
      <c r="A2516" t="str">
        <f t="shared" si="39"/>
        <v/>
      </c>
    </row>
    <row r="2517" spans="1:1" x14ac:dyDescent="0.35">
      <c r="A2517" t="str">
        <f t="shared" si="39"/>
        <v/>
      </c>
    </row>
    <row r="2518" spans="1:1" x14ac:dyDescent="0.35">
      <c r="A2518" t="str">
        <f t="shared" si="39"/>
        <v/>
      </c>
    </row>
    <row r="2519" spans="1:1" x14ac:dyDescent="0.35">
      <c r="A2519" t="str">
        <f t="shared" si="39"/>
        <v/>
      </c>
    </row>
    <row r="2520" spans="1:1" x14ac:dyDescent="0.35">
      <c r="A2520" t="str">
        <f t="shared" si="39"/>
        <v/>
      </c>
    </row>
    <row r="2521" spans="1:1" x14ac:dyDescent="0.35">
      <c r="A2521" t="str">
        <f t="shared" si="39"/>
        <v/>
      </c>
    </row>
    <row r="2522" spans="1:1" x14ac:dyDescent="0.35">
      <c r="A2522" t="str">
        <f t="shared" si="39"/>
        <v/>
      </c>
    </row>
    <row r="2523" spans="1:1" x14ac:dyDescent="0.35">
      <c r="A2523" t="str">
        <f t="shared" si="39"/>
        <v/>
      </c>
    </row>
    <row r="2524" spans="1:1" x14ac:dyDescent="0.35">
      <c r="A2524" t="str">
        <f t="shared" si="39"/>
        <v/>
      </c>
    </row>
    <row r="2525" spans="1:1" x14ac:dyDescent="0.35">
      <c r="A2525" t="str">
        <f t="shared" si="39"/>
        <v/>
      </c>
    </row>
    <row r="2526" spans="1:1" x14ac:dyDescent="0.35">
      <c r="A2526" t="str">
        <f t="shared" si="39"/>
        <v/>
      </c>
    </row>
    <row r="2527" spans="1:1" x14ac:dyDescent="0.35">
      <c r="A2527" t="str">
        <f t="shared" si="39"/>
        <v/>
      </c>
    </row>
    <row r="2528" spans="1:1" x14ac:dyDescent="0.35">
      <c r="A2528" t="str">
        <f t="shared" si="39"/>
        <v/>
      </c>
    </row>
    <row r="2529" spans="1:1" x14ac:dyDescent="0.35">
      <c r="A2529" t="str">
        <f t="shared" si="39"/>
        <v/>
      </c>
    </row>
    <row r="2530" spans="1:1" x14ac:dyDescent="0.35">
      <c r="A2530" t="str">
        <f t="shared" si="39"/>
        <v/>
      </c>
    </row>
    <row r="2531" spans="1:1" x14ac:dyDescent="0.35">
      <c r="A2531" t="str">
        <f t="shared" si="39"/>
        <v/>
      </c>
    </row>
    <row r="2532" spans="1:1" x14ac:dyDescent="0.35">
      <c r="A2532" t="str">
        <f t="shared" si="39"/>
        <v/>
      </c>
    </row>
    <row r="2533" spans="1:1" x14ac:dyDescent="0.35">
      <c r="A2533" t="str">
        <f t="shared" si="39"/>
        <v/>
      </c>
    </row>
    <row r="2534" spans="1:1" x14ac:dyDescent="0.35">
      <c r="A2534" t="str">
        <f t="shared" si="39"/>
        <v/>
      </c>
    </row>
    <row r="2535" spans="1:1" x14ac:dyDescent="0.35">
      <c r="A2535" t="str">
        <f t="shared" si="39"/>
        <v/>
      </c>
    </row>
    <row r="2536" spans="1:1" x14ac:dyDescent="0.35">
      <c r="A2536" t="str">
        <f t="shared" si="39"/>
        <v/>
      </c>
    </row>
    <row r="2537" spans="1:1" x14ac:dyDescent="0.35">
      <c r="A2537" t="str">
        <f t="shared" si="39"/>
        <v/>
      </c>
    </row>
    <row r="2538" spans="1:1" x14ac:dyDescent="0.35">
      <c r="A2538" t="str">
        <f t="shared" si="39"/>
        <v/>
      </c>
    </row>
    <row r="2539" spans="1:1" x14ac:dyDescent="0.35">
      <c r="A2539" t="str">
        <f t="shared" si="39"/>
        <v/>
      </c>
    </row>
    <row r="2540" spans="1:1" x14ac:dyDescent="0.35">
      <c r="A2540" t="str">
        <f t="shared" si="39"/>
        <v/>
      </c>
    </row>
    <row r="2541" spans="1:1" x14ac:dyDescent="0.35">
      <c r="A2541" t="str">
        <f t="shared" si="39"/>
        <v/>
      </c>
    </row>
    <row r="2542" spans="1:1" x14ac:dyDescent="0.35">
      <c r="A2542" t="str">
        <f t="shared" si="39"/>
        <v/>
      </c>
    </row>
    <row r="2543" spans="1:1" x14ac:dyDescent="0.35">
      <c r="A2543" t="str">
        <f t="shared" si="39"/>
        <v/>
      </c>
    </row>
    <row r="2544" spans="1:1" x14ac:dyDescent="0.35">
      <c r="A2544" t="str">
        <f t="shared" si="39"/>
        <v/>
      </c>
    </row>
    <row r="2545" spans="1:1" x14ac:dyDescent="0.35">
      <c r="A2545" t="str">
        <f t="shared" si="39"/>
        <v/>
      </c>
    </row>
    <row r="2546" spans="1:1" x14ac:dyDescent="0.35">
      <c r="A2546" t="str">
        <f t="shared" si="39"/>
        <v/>
      </c>
    </row>
    <row r="2547" spans="1:1" x14ac:dyDescent="0.35">
      <c r="A2547" t="str">
        <f t="shared" si="39"/>
        <v/>
      </c>
    </row>
    <row r="2548" spans="1:1" x14ac:dyDescent="0.35">
      <c r="A2548" t="str">
        <f t="shared" si="39"/>
        <v/>
      </c>
    </row>
    <row r="2549" spans="1:1" x14ac:dyDescent="0.35">
      <c r="A2549" t="str">
        <f t="shared" si="39"/>
        <v/>
      </c>
    </row>
    <row r="2550" spans="1:1" x14ac:dyDescent="0.35">
      <c r="A2550" t="str">
        <f t="shared" si="39"/>
        <v/>
      </c>
    </row>
    <row r="2551" spans="1:1" x14ac:dyDescent="0.35">
      <c r="A2551" t="str">
        <f t="shared" si="39"/>
        <v/>
      </c>
    </row>
    <row r="2552" spans="1:1" x14ac:dyDescent="0.35">
      <c r="A2552" t="str">
        <f t="shared" si="39"/>
        <v/>
      </c>
    </row>
    <row r="2553" spans="1:1" x14ac:dyDescent="0.35">
      <c r="A2553" t="str">
        <f t="shared" si="39"/>
        <v/>
      </c>
    </row>
    <row r="2554" spans="1:1" x14ac:dyDescent="0.35">
      <c r="A2554" t="str">
        <f t="shared" si="39"/>
        <v/>
      </c>
    </row>
    <row r="2555" spans="1:1" x14ac:dyDescent="0.35">
      <c r="A2555" t="str">
        <f t="shared" si="39"/>
        <v/>
      </c>
    </row>
    <row r="2556" spans="1:1" x14ac:dyDescent="0.35">
      <c r="A2556" t="str">
        <f t="shared" si="39"/>
        <v/>
      </c>
    </row>
    <row r="2557" spans="1:1" x14ac:dyDescent="0.35">
      <c r="A2557" t="str">
        <f t="shared" si="39"/>
        <v/>
      </c>
    </row>
    <row r="2558" spans="1:1" x14ac:dyDescent="0.35">
      <c r="A2558" t="str">
        <f t="shared" si="39"/>
        <v/>
      </c>
    </row>
    <row r="2559" spans="1:1" x14ac:dyDescent="0.35">
      <c r="A2559" t="str">
        <f t="shared" si="39"/>
        <v/>
      </c>
    </row>
    <row r="2560" spans="1:1" x14ac:dyDescent="0.35">
      <c r="A2560" t="str">
        <f t="shared" si="39"/>
        <v/>
      </c>
    </row>
    <row r="2561" spans="1:1" x14ac:dyDescent="0.35">
      <c r="A2561" t="str">
        <f t="shared" si="39"/>
        <v/>
      </c>
    </row>
    <row r="2562" spans="1:1" x14ac:dyDescent="0.35">
      <c r="A2562" t="str">
        <f t="shared" si="39"/>
        <v/>
      </c>
    </row>
    <row r="2563" spans="1:1" x14ac:dyDescent="0.35">
      <c r="A2563" t="str">
        <f t="shared" ref="A2563:A2626" si="40">C2563&amp;D2563&amp;E2563&amp;G2563&amp;H2563&amp;I2563</f>
        <v/>
      </c>
    </row>
    <row r="2564" spans="1:1" x14ac:dyDescent="0.35">
      <c r="A2564" t="str">
        <f t="shared" si="40"/>
        <v/>
      </c>
    </row>
    <row r="2565" spans="1:1" x14ac:dyDescent="0.35">
      <c r="A2565" t="str">
        <f t="shared" si="40"/>
        <v/>
      </c>
    </row>
    <row r="2566" spans="1:1" x14ac:dyDescent="0.35">
      <c r="A2566" t="str">
        <f t="shared" si="40"/>
        <v/>
      </c>
    </row>
    <row r="2567" spans="1:1" x14ac:dyDescent="0.35">
      <c r="A2567" t="str">
        <f t="shared" si="40"/>
        <v/>
      </c>
    </row>
    <row r="2568" spans="1:1" x14ac:dyDescent="0.35">
      <c r="A2568" t="str">
        <f t="shared" si="40"/>
        <v/>
      </c>
    </row>
    <row r="2569" spans="1:1" x14ac:dyDescent="0.35">
      <c r="A2569" t="str">
        <f t="shared" si="40"/>
        <v/>
      </c>
    </row>
    <row r="2570" spans="1:1" x14ac:dyDescent="0.35">
      <c r="A2570" t="str">
        <f t="shared" si="40"/>
        <v/>
      </c>
    </row>
    <row r="2571" spans="1:1" x14ac:dyDescent="0.35">
      <c r="A2571" t="str">
        <f t="shared" si="40"/>
        <v/>
      </c>
    </row>
    <row r="2572" spans="1:1" x14ac:dyDescent="0.35">
      <c r="A2572" t="str">
        <f t="shared" si="40"/>
        <v/>
      </c>
    </row>
    <row r="2573" spans="1:1" x14ac:dyDescent="0.35">
      <c r="A2573" t="str">
        <f t="shared" si="40"/>
        <v/>
      </c>
    </row>
    <row r="2574" spans="1:1" x14ac:dyDescent="0.35">
      <c r="A2574" t="str">
        <f t="shared" si="40"/>
        <v/>
      </c>
    </row>
    <row r="2575" spans="1:1" x14ac:dyDescent="0.35">
      <c r="A2575" t="str">
        <f t="shared" si="40"/>
        <v/>
      </c>
    </row>
    <row r="2576" spans="1:1" x14ac:dyDescent="0.35">
      <c r="A2576" t="str">
        <f t="shared" si="40"/>
        <v/>
      </c>
    </row>
    <row r="2577" spans="1:1" x14ac:dyDescent="0.35">
      <c r="A2577" t="str">
        <f t="shared" si="40"/>
        <v/>
      </c>
    </row>
    <row r="2578" spans="1:1" x14ac:dyDescent="0.35">
      <c r="A2578" t="str">
        <f t="shared" si="40"/>
        <v/>
      </c>
    </row>
    <row r="2579" spans="1:1" x14ac:dyDescent="0.35">
      <c r="A2579" t="str">
        <f t="shared" si="40"/>
        <v/>
      </c>
    </row>
    <row r="2580" spans="1:1" x14ac:dyDescent="0.35">
      <c r="A2580" t="str">
        <f t="shared" si="40"/>
        <v/>
      </c>
    </row>
    <row r="2581" spans="1:1" x14ac:dyDescent="0.35">
      <c r="A2581" t="str">
        <f t="shared" si="40"/>
        <v/>
      </c>
    </row>
    <row r="2582" spans="1:1" x14ac:dyDescent="0.35">
      <c r="A2582" t="str">
        <f t="shared" si="40"/>
        <v/>
      </c>
    </row>
    <row r="2583" spans="1:1" x14ac:dyDescent="0.35">
      <c r="A2583" t="str">
        <f t="shared" si="40"/>
        <v/>
      </c>
    </row>
    <row r="2584" spans="1:1" x14ac:dyDescent="0.35">
      <c r="A2584" t="str">
        <f t="shared" si="40"/>
        <v/>
      </c>
    </row>
    <row r="2585" spans="1:1" x14ac:dyDescent="0.35">
      <c r="A2585" t="str">
        <f t="shared" si="40"/>
        <v/>
      </c>
    </row>
    <row r="2586" spans="1:1" x14ac:dyDescent="0.35">
      <c r="A2586" t="str">
        <f t="shared" si="40"/>
        <v/>
      </c>
    </row>
    <row r="2587" spans="1:1" x14ac:dyDescent="0.35">
      <c r="A2587" t="str">
        <f t="shared" si="40"/>
        <v/>
      </c>
    </row>
    <row r="2588" spans="1:1" x14ac:dyDescent="0.35">
      <c r="A2588" t="str">
        <f t="shared" si="40"/>
        <v/>
      </c>
    </row>
    <row r="2589" spans="1:1" x14ac:dyDescent="0.35">
      <c r="A2589" t="str">
        <f t="shared" si="40"/>
        <v/>
      </c>
    </row>
    <row r="2590" spans="1:1" x14ac:dyDescent="0.35">
      <c r="A2590" t="str">
        <f t="shared" si="40"/>
        <v/>
      </c>
    </row>
    <row r="2591" spans="1:1" x14ac:dyDescent="0.35">
      <c r="A2591" t="str">
        <f t="shared" si="40"/>
        <v/>
      </c>
    </row>
    <row r="2592" spans="1:1" x14ac:dyDescent="0.35">
      <c r="A2592" t="str">
        <f t="shared" si="40"/>
        <v/>
      </c>
    </row>
    <row r="2593" spans="1:1" x14ac:dyDescent="0.35">
      <c r="A2593" t="str">
        <f t="shared" si="40"/>
        <v/>
      </c>
    </row>
    <row r="2594" spans="1:1" x14ac:dyDescent="0.35">
      <c r="A2594" t="str">
        <f t="shared" si="40"/>
        <v/>
      </c>
    </row>
    <row r="2595" spans="1:1" x14ac:dyDescent="0.35">
      <c r="A2595" t="str">
        <f t="shared" si="40"/>
        <v/>
      </c>
    </row>
    <row r="2596" spans="1:1" x14ac:dyDescent="0.35">
      <c r="A2596" t="str">
        <f t="shared" si="40"/>
        <v/>
      </c>
    </row>
    <row r="2597" spans="1:1" x14ac:dyDescent="0.35">
      <c r="A2597" t="str">
        <f t="shared" si="40"/>
        <v/>
      </c>
    </row>
    <row r="2598" spans="1:1" x14ac:dyDescent="0.35">
      <c r="A2598" t="str">
        <f t="shared" si="40"/>
        <v/>
      </c>
    </row>
    <row r="2599" spans="1:1" x14ac:dyDescent="0.35">
      <c r="A2599" t="str">
        <f t="shared" si="40"/>
        <v/>
      </c>
    </row>
    <row r="2600" spans="1:1" x14ac:dyDescent="0.35">
      <c r="A2600" t="str">
        <f t="shared" si="40"/>
        <v/>
      </c>
    </row>
    <row r="2601" spans="1:1" x14ac:dyDescent="0.35">
      <c r="A2601" t="str">
        <f t="shared" si="40"/>
        <v/>
      </c>
    </row>
    <row r="2602" spans="1:1" x14ac:dyDescent="0.35">
      <c r="A2602" t="str">
        <f t="shared" si="40"/>
        <v/>
      </c>
    </row>
    <row r="2603" spans="1:1" x14ac:dyDescent="0.35">
      <c r="A2603" t="str">
        <f t="shared" si="40"/>
        <v/>
      </c>
    </row>
    <row r="2604" spans="1:1" x14ac:dyDescent="0.35">
      <c r="A2604" t="str">
        <f t="shared" si="40"/>
        <v/>
      </c>
    </row>
    <row r="2605" spans="1:1" x14ac:dyDescent="0.35">
      <c r="A2605" t="str">
        <f t="shared" si="40"/>
        <v/>
      </c>
    </row>
    <row r="2606" spans="1:1" x14ac:dyDescent="0.35">
      <c r="A2606" t="str">
        <f t="shared" si="40"/>
        <v/>
      </c>
    </row>
    <row r="2607" spans="1:1" x14ac:dyDescent="0.35">
      <c r="A2607" t="str">
        <f t="shared" si="40"/>
        <v/>
      </c>
    </row>
    <row r="2608" spans="1:1" x14ac:dyDescent="0.35">
      <c r="A2608" t="str">
        <f t="shared" si="40"/>
        <v/>
      </c>
    </row>
    <row r="2609" spans="1:1" x14ac:dyDescent="0.35">
      <c r="A2609" t="str">
        <f t="shared" si="40"/>
        <v/>
      </c>
    </row>
    <row r="2610" spans="1:1" x14ac:dyDescent="0.35">
      <c r="A2610" t="str">
        <f t="shared" si="40"/>
        <v/>
      </c>
    </row>
    <row r="2611" spans="1:1" x14ac:dyDescent="0.35">
      <c r="A2611" t="str">
        <f t="shared" si="40"/>
        <v/>
      </c>
    </row>
    <row r="2612" spans="1:1" x14ac:dyDescent="0.35">
      <c r="A2612" t="str">
        <f t="shared" si="40"/>
        <v/>
      </c>
    </row>
    <row r="2613" spans="1:1" x14ac:dyDescent="0.35">
      <c r="A2613" t="str">
        <f t="shared" si="40"/>
        <v/>
      </c>
    </row>
    <row r="2614" spans="1:1" x14ac:dyDescent="0.35">
      <c r="A2614" t="str">
        <f t="shared" si="40"/>
        <v/>
      </c>
    </row>
    <row r="2615" spans="1:1" x14ac:dyDescent="0.35">
      <c r="A2615" t="str">
        <f t="shared" si="40"/>
        <v/>
      </c>
    </row>
    <row r="2616" spans="1:1" x14ac:dyDescent="0.35">
      <c r="A2616" t="str">
        <f t="shared" si="40"/>
        <v/>
      </c>
    </row>
    <row r="2617" spans="1:1" x14ac:dyDescent="0.35">
      <c r="A2617" t="str">
        <f t="shared" si="40"/>
        <v/>
      </c>
    </row>
    <row r="2618" spans="1:1" x14ac:dyDescent="0.35">
      <c r="A2618" t="str">
        <f t="shared" si="40"/>
        <v/>
      </c>
    </row>
    <row r="2619" spans="1:1" x14ac:dyDescent="0.35">
      <c r="A2619" t="str">
        <f t="shared" si="40"/>
        <v/>
      </c>
    </row>
    <row r="2620" spans="1:1" x14ac:dyDescent="0.35">
      <c r="A2620" t="str">
        <f t="shared" si="40"/>
        <v/>
      </c>
    </row>
    <row r="2621" spans="1:1" x14ac:dyDescent="0.35">
      <c r="A2621" t="str">
        <f t="shared" si="40"/>
        <v/>
      </c>
    </row>
    <row r="2622" spans="1:1" x14ac:dyDescent="0.35">
      <c r="A2622" t="str">
        <f t="shared" si="40"/>
        <v/>
      </c>
    </row>
    <row r="2623" spans="1:1" x14ac:dyDescent="0.35">
      <c r="A2623" t="str">
        <f t="shared" si="40"/>
        <v/>
      </c>
    </row>
    <row r="2624" spans="1:1" x14ac:dyDescent="0.35">
      <c r="A2624" t="str">
        <f t="shared" si="40"/>
        <v/>
      </c>
    </row>
    <row r="2625" spans="1:1" x14ac:dyDescent="0.35">
      <c r="A2625" t="str">
        <f t="shared" si="40"/>
        <v/>
      </c>
    </row>
    <row r="2626" spans="1:1" x14ac:dyDescent="0.35">
      <c r="A2626" t="str">
        <f t="shared" si="40"/>
        <v/>
      </c>
    </row>
    <row r="2627" spans="1:1" x14ac:dyDescent="0.35">
      <c r="A2627" t="str">
        <f t="shared" ref="A2627:A2690" si="41">C2627&amp;D2627&amp;E2627&amp;G2627&amp;H2627&amp;I2627</f>
        <v/>
      </c>
    </row>
    <row r="2628" spans="1:1" x14ac:dyDescent="0.35">
      <c r="A2628" t="str">
        <f t="shared" si="41"/>
        <v/>
      </c>
    </row>
    <row r="2629" spans="1:1" x14ac:dyDescent="0.35">
      <c r="A2629" t="str">
        <f t="shared" si="41"/>
        <v/>
      </c>
    </row>
    <row r="2630" spans="1:1" x14ac:dyDescent="0.35">
      <c r="A2630" t="str">
        <f t="shared" si="41"/>
        <v/>
      </c>
    </row>
    <row r="2631" spans="1:1" x14ac:dyDescent="0.35">
      <c r="A2631" t="str">
        <f t="shared" si="41"/>
        <v/>
      </c>
    </row>
    <row r="2632" spans="1:1" x14ac:dyDescent="0.35">
      <c r="A2632" t="str">
        <f t="shared" si="41"/>
        <v/>
      </c>
    </row>
    <row r="2633" spans="1:1" x14ac:dyDescent="0.35">
      <c r="A2633" t="str">
        <f t="shared" si="41"/>
        <v/>
      </c>
    </row>
    <row r="2634" spans="1:1" x14ac:dyDescent="0.35">
      <c r="A2634" t="str">
        <f t="shared" si="41"/>
        <v/>
      </c>
    </row>
    <row r="2635" spans="1:1" x14ac:dyDescent="0.35">
      <c r="A2635" t="str">
        <f t="shared" si="41"/>
        <v/>
      </c>
    </row>
    <row r="2636" spans="1:1" x14ac:dyDescent="0.35">
      <c r="A2636" t="str">
        <f t="shared" si="41"/>
        <v/>
      </c>
    </row>
    <row r="2637" spans="1:1" x14ac:dyDescent="0.35">
      <c r="A2637" t="str">
        <f t="shared" si="41"/>
        <v/>
      </c>
    </row>
    <row r="2638" spans="1:1" x14ac:dyDescent="0.35">
      <c r="A2638" t="str">
        <f t="shared" si="41"/>
        <v/>
      </c>
    </row>
    <row r="2639" spans="1:1" x14ac:dyDescent="0.35">
      <c r="A2639" t="str">
        <f t="shared" si="41"/>
        <v/>
      </c>
    </row>
    <row r="2640" spans="1:1" x14ac:dyDescent="0.35">
      <c r="A2640" t="str">
        <f t="shared" si="41"/>
        <v/>
      </c>
    </row>
    <row r="2641" spans="1:1" x14ac:dyDescent="0.35">
      <c r="A2641" t="str">
        <f t="shared" si="41"/>
        <v/>
      </c>
    </row>
    <row r="2642" spans="1:1" x14ac:dyDescent="0.35">
      <c r="A2642" t="str">
        <f t="shared" si="41"/>
        <v/>
      </c>
    </row>
    <row r="2643" spans="1:1" x14ac:dyDescent="0.35">
      <c r="A2643" t="str">
        <f t="shared" si="41"/>
        <v/>
      </c>
    </row>
    <row r="2644" spans="1:1" x14ac:dyDescent="0.35">
      <c r="A2644" t="str">
        <f t="shared" si="41"/>
        <v/>
      </c>
    </row>
    <row r="2645" spans="1:1" x14ac:dyDescent="0.35">
      <c r="A2645" t="str">
        <f t="shared" si="41"/>
        <v/>
      </c>
    </row>
    <row r="2646" spans="1:1" x14ac:dyDescent="0.35">
      <c r="A2646" t="str">
        <f t="shared" si="41"/>
        <v/>
      </c>
    </row>
    <row r="2647" spans="1:1" x14ac:dyDescent="0.35">
      <c r="A2647" t="str">
        <f t="shared" si="41"/>
        <v/>
      </c>
    </row>
    <row r="2648" spans="1:1" x14ac:dyDescent="0.35">
      <c r="A2648" t="str">
        <f t="shared" si="41"/>
        <v/>
      </c>
    </row>
    <row r="2649" spans="1:1" x14ac:dyDescent="0.35">
      <c r="A2649" t="str">
        <f t="shared" si="41"/>
        <v/>
      </c>
    </row>
    <row r="2650" spans="1:1" x14ac:dyDescent="0.35">
      <c r="A2650" t="str">
        <f t="shared" si="41"/>
        <v/>
      </c>
    </row>
    <row r="2651" spans="1:1" x14ac:dyDescent="0.35">
      <c r="A2651" t="str">
        <f t="shared" si="41"/>
        <v/>
      </c>
    </row>
    <row r="2652" spans="1:1" x14ac:dyDescent="0.35">
      <c r="A2652" t="str">
        <f t="shared" si="41"/>
        <v/>
      </c>
    </row>
    <row r="2653" spans="1:1" x14ac:dyDescent="0.35">
      <c r="A2653" t="str">
        <f t="shared" si="41"/>
        <v/>
      </c>
    </row>
    <row r="2654" spans="1:1" x14ac:dyDescent="0.35">
      <c r="A2654" t="str">
        <f t="shared" si="41"/>
        <v/>
      </c>
    </row>
    <row r="2655" spans="1:1" x14ac:dyDescent="0.35">
      <c r="A2655" t="str">
        <f t="shared" si="41"/>
        <v/>
      </c>
    </row>
    <row r="2656" spans="1:1" x14ac:dyDescent="0.35">
      <c r="A2656" t="str">
        <f t="shared" si="41"/>
        <v/>
      </c>
    </row>
    <row r="2657" spans="1:1" x14ac:dyDescent="0.35">
      <c r="A2657" t="str">
        <f t="shared" si="41"/>
        <v/>
      </c>
    </row>
    <row r="2658" spans="1:1" x14ac:dyDescent="0.35">
      <c r="A2658" t="str">
        <f t="shared" si="41"/>
        <v/>
      </c>
    </row>
    <row r="2659" spans="1:1" x14ac:dyDescent="0.35">
      <c r="A2659" t="str">
        <f t="shared" si="41"/>
        <v/>
      </c>
    </row>
    <row r="2660" spans="1:1" x14ac:dyDescent="0.35">
      <c r="A2660" t="str">
        <f t="shared" si="41"/>
        <v/>
      </c>
    </row>
    <row r="2661" spans="1:1" x14ac:dyDescent="0.35">
      <c r="A2661" t="str">
        <f t="shared" si="41"/>
        <v/>
      </c>
    </row>
    <row r="2662" spans="1:1" x14ac:dyDescent="0.35">
      <c r="A2662" t="str">
        <f t="shared" si="41"/>
        <v/>
      </c>
    </row>
    <row r="2663" spans="1:1" x14ac:dyDescent="0.35">
      <c r="A2663" t="str">
        <f t="shared" si="41"/>
        <v/>
      </c>
    </row>
    <row r="2664" spans="1:1" x14ac:dyDescent="0.35">
      <c r="A2664" t="str">
        <f t="shared" si="41"/>
        <v/>
      </c>
    </row>
    <row r="2665" spans="1:1" x14ac:dyDescent="0.35">
      <c r="A2665" t="str">
        <f t="shared" si="41"/>
        <v/>
      </c>
    </row>
    <row r="2666" spans="1:1" x14ac:dyDescent="0.35">
      <c r="A2666" t="str">
        <f t="shared" si="41"/>
        <v/>
      </c>
    </row>
    <row r="2667" spans="1:1" x14ac:dyDescent="0.35">
      <c r="A2667" t="str">
        <f t="shared" si="41"/>
        <v/>
      </c>
    </row>
    <row r="2668" spans="1:1" x14ac:dyDescent="0.35">
      <c r="A2668" t="str">
        <f t="shared" si="41"/>
        <v/>
      </c>
    </row>
    <row r="2669" spans="1:1" x14ac:dyDescent="0.35">
      <c r="A2669" t="str">
        <f t="shared" si="41"/>
        <v/>
      </c>
    </row>
    <row r="2670" spans="1:1" x14ac:dyDescent="0.35">
      <c r="A2670" t="str">
        <f t="shared" si="41"/>
        <v/>
      </c>
    </row>
    <row r="2671" spans="1:1" x14ac:dyDescent="0.35">
      <c r="A2671" t="str">
        <f t="shared" si="41"/>
        <v/>
      </c>
    </row>
    <row r="2672" spans="1:1" x14ac:dyDescent="0.35">
      <c r="A2672" t="str">
        <f t="shared" si="41"/>
        <v/>
      </c>
    </row>
    <row r="2673" spans="1:1" x14ac:dyDescent="0.35">
      <c r="A2673" t="str">
        <f t="shared" si="41"/>
        <v/>
      </c>
    </row>
    <row r="2674" spans="1:1" x14ac:dyDescent="0.35">
      <c r="A2674" t="str">
        <f t="shared" si="41"/>
        <v/>
      </c>
    </row>
    <row r="2675" spans="1:1" x14ac:dyDescent="0.35">
      <c r="A2675" t="str">
        <f t="shared" si="41"/>
        <v/>
      </c>
    </row>
    <row r="2676" spans="1:1" x14ac:dyDescent="0.35">
      <c r="A2676" t="str">
        <f t="shared" si="41"/>
        <v/>
      </c>
    </row>
    <row r="2677" spans="1:1" x14ac:dyDescent="0.35">
      <c r="A2677" t="str">
        <f t="shared" si="41"/>
        <v/>
      </c>
    </row>
    <row r="2678" spans="1:1" x14ac:dyDescent="0.35">
      <c r="A2678" t="str">
        <f t="shared" si="41"/>
        <v/>
      </c>
    </row>
    <row r="2679" spans="1:1" x14ac:dyDescent="0.35">
      <c r="A2679" t="str">
        <f t="shared" si="41"/>
        <v/>
      </c>
    </row>
    <row r="2680" spans="1:1" x14ac:dyDescent="0.35">
      <c r="A2680" t="str">
        <f t="shared" si="41"/>
        <v/>
      </c>
    </row>
    <row r="2681" spans="1:1" x14ac:dyDescent="0.35">
      <c r="A2681" t="str">
        <f t="shared" si="41"/>
        <v/>
      </c>
    </row>
    <row r="2682" spans="1:1" x14ac:dyDescent="0.35">
      <c r="A2682" t="str">
        <f t="shared" si="41"/>
        <v/>
      </c>
    </row>
    <row r="2683" spans="1:1" x14ac:dyDescent="0.35">
      <c r="A2683" t="str">
        <f t="shared" si="41"/>
        <v/>
      </c>
    </row>
    <row r="2684" spans="1:1" x14ac:dyDescent="0.35">
      <c r="A2684" t="str">
        <f t="shared" si="41"/>
        <v/>
      </c>
    </row>
    <row r="2685" spans="1:1" x14ac:dyDescent="0.35">
      <c r="A2685" t="str">
        <f t="shared" si="41"/>
        <v/>
      </c>
    </row>
    <row r="2686" spans="1:1" x14ac:dyDescent="0.35">
      <c r="A2686" t="str">
        <f t="shared" si="41"/>
        <v/>
      </c>
    </row>
    <row r="2687" spans="1:1" x14ac:dyDescent="0.35">
      <c r="A2687" t="str">
        <f t="shared" si="41"/>
        <v/>
      </c>
    </row>
    <row r="2688" spans="1:1" x14ac:dyDescent="0.35">
      <c r="A2688" t="str">
        <f t="shared" si="41"/>
        <v/>
      </c>
    </row>
    <row r="2689" spans="1:1" x14ac:dyDescent="0.35">
      <c r="A2689" t="str">
        <f t="shared" si="41"/>
        <v/>
      </c>
    </row>
    <row r="2690" spans="1:1" x14ac:dyDescent="0.35">
      <c r="A2690" t="str">
        <f t="shared" si="41"/>
        <v/>
      </c>
    </row>
    <row r="2691" spans="1:1" x14ac:dyDescent="0.35">
      <c r="A2691" t="str">
        <f t="shared" ref="A2691:A2754" si="42">C2691&amp;D2691&amp;E2691&amp;G2691&amp;H2691&amp;I2691</f>
        <v/>
      </c>
    </row>
    <row r="2692" spans="1:1" x14ac:dyDescent="0.35">
      <c r="A2692" t="str">
        <f t="shared" si="42"/>
        <v/>
      </c>
    </row>
    <row r="2693" spans="1:1" x14ac:dyDescent="0.35">
      <c r="A2693" t="str">
        <f t="shared" si="42"/>
        <v/>
      </c>
    </row>
    <row r="2694" spans="1:1" x14ac:dyDescent="0.35">
      <c r="A2694" t="str">
        <f t="shared" si="42"/>
        <v/>
      </c>
    </row>
    <row r="2695" spans="1:1" x14ac:dyDescent="0.35">
      <c r="A2695" t="str">
        <f t="shared" si="42"/>
        <v/>
      </c>
    </row>
    <row r="2696" spans="1:1" x14ac:dyDescent="0.35">
      <c r="A2696" t="str">
        <f t="shared" si="42"/>
        <v/>
      </c>
    </row>
    <row r="2697" spans="1:1" x14ac:dyDescent="0.35">
      <c r="A2697" t="str">
        <f t="shared" si="42"/>
        <v/>
      </c>
    </row>
    <row r="2698" spans="1:1" x14ac:dyDescent="0.35">
      <c r="A2698" t="str">
        <f t="shared" si="42"/>
        <v/>
      </c>
    </row>
    <row r="2699" spans="1:1" x14ac:dyDescent="0.35">
      <c r="A2699" t="str">
        <f t="shared" si="42"/>
        <v/>
      </c>
    </row>
    <row r="2700" spans="1:1" x14ac:dyDescent="0.35">
      <c r="A2700" t="str">
        <f t="shared" si="42"/>
        <v/>
      </c>
    </row>
    <row r="2701" spans="1:1" x14ac:dyDescent="0.35">
      <c r="A2701" t="str">
        <f t="shared" si="42"/>
        <v/>
      </c>
    </row>
    <row r="2702" spans="1:1" x14ac:dyDescent="0.35">
      <c r="A2702" t="str">
        <f t="shared" si="42"/>
        <v/>
      </c>
    </row>
    <row r="2703" spans="1:1" x14ac:dyDescent="0.35">
      <c r="A2703" t="str">
        <f t="shared" si="42"/>
        <v/>
      </c>
    </row>
    <row r="2704" spans="1:1" x14ac:dyDescent="0.35">
      <c r="A2704" t="str">
        <f t="shared" si="42"/>
        <v/>
      </c>
    </row>
    <row r="2705" spans="1:1" x14ac:dyDescent="0.35">
      <c r="A2705" t="str">
        <f t="shared" si="42"/>
        <v/>
      </c>
    </row>
    <row r="2706" spans="1:1" x14ac:dyDescent="0.35">
      <c r="A2706" t="str">
        <f t="shared" si="42"/>
        <v/>
      </c>
    </row>
    <row r="2707" spans="1:1" x14ac:dyDescent="0.35">
      <c r="A2707" t="str">
        <f t="shared" si="42"/>
        <v/>
      </c>
    </row>
    <row r="2708" spans="1:1" x14ac:dyDescent="0.35">
      <c r="A2708" t="str">
        <f t="shared" si="42"/>
        <v/>
      </c>
    </row>
    <row r="2709" spans="1:1" x14ac:dyDescent="0.35">
      <c r="A2709" t="str">
        <f t="shared" si="42"/>
        <v/>
      </c>
    </row>
    <row r="2710" spans="1:1" x14ac:dyDescent="0.35">
      <c r="A2710" t="str">
        <f t="shared" si="42"/>
        <v/>
      </c>
    </row>
    <row r="2711" spans="1:1" x14ac:dyDescent="0.35">
      <c r="A2711" t="str">
        <f t="shared" si="42"/>
        <v/>
      </c>
    </row>
    <row r="2712" spans="1:1" x14ac:dyDescent="0.35">
      <c r="A2712" t="str">
        <f t="shared" si="42"/>
        <v/>
      </c>
    </row>
    <row r="2713" spans="1:1" x14ac:dyDescent="0.35">
      <c r="A2713" t="str">
        <f t="shared" si="42"/>
        <v/>
      </c>
    </row>
    <row r="2714" spans="1:1" x14ac:dyDescent="0.35">
      <c r="A2714" t="str">
        <f t="shared" si="42"/>
        <v/>
      </c>
    </row>
    <row r="2715" spans="1:1" x14ac:dyDescent="0.35">
      <c r="A2715" t="str">
        <f t="shared" si="42"/>
        <v/>
      </c>
    </row>
    <row r="2716" spans="1:1" x14ac:dyDescent="0.35">
      <c r="A2716" t="str">
        <f t="shared" si="42"/>
        <v/>
      </c>
    </row>
    <row r="2717" spans="1:1" x14ac:dyDescent="0.35">
      <c r="A2717" t="str">
        <f t="shared" si="42"/>
        <v/>
      </c>
    </row>
    <row r="2718" spans="1:1" x14ac:dyDescent="0.35">
      <c r="A2718" t="str">
        <f t="shared" si="42"/>
        <v/>
      </c>
    </row>
    <row r="2719" spans="1:1" x14ac:dyDescent="0.35">
      <c r="A2719" t="str">
        <f t="shared" si="42"/>
        <v/>
      </c>
    </row>
    <row r="2720" spans="1:1" x14ac:dyDescent="0.35">
      <c r="A2720" t="str">
        <f t="shared" si="42"/>
        <v/>
      </c>
    </row>
    <row r="2721" spans="1:1" x14ac:dyDescent="0.35">
      <c r="A2721" t="str">
        <f t="shared" si="42"/>
        <v/>
      </c>
    </row>
    <row r="2722" spans="1:1" x14ac:dyDescent="0.35">
      <c r="A2722" t="str">
        <f t="shared" si="42"/>
        <v/>
      </c>
    </row>
    <row r="2723" spans="1:1" x14ac:dyDescent="0.35">
      <c r="A2723" t="str">
        <f t="shared" si="42"/>
        <v/>
      </c>
    </row>
    <row r="2724" spans="1:1" x14ac:dyDescent="0.35">
      <c r="A2724" t="str">
        <f t="shared" si="42"/>
        <v/>
      </c>
    </row>
    <row r="2725" spans="1:1" x14ac:dyDescent="0.35">
      <c r="A2725" t="str">
        <f t="shared" si="42"/>
        <v/>
      </c>
    </row>
    <row r="2726" spans="1:1" x14ac:dyDescent="0.35">
      <c r="A2726" t="str">
        <f t="shared" si="42"/>
        <v/>
      </c>
    </row>
    <row r="2727" spans="1:1" x14ac:dyDescent="0.35">
      <c r="A2727" t="str">
        <f t="shared" si="42"/>
        <v/>
      </c>
    </row>
    <row r="2728" spans="1:1" x14ac:dyDescent="0.35">
      <c r="A2728" t="str">
        <f t="shared" si="42"/>
        <v/>
      </c>
    </row>
    <row r="2729" spans="1:1" x14ac:dyDescent="0.35">
      <c r="A2729" t="str">
        <f t="shared" si="42"/>
        <v/>
      </c>
    </row>
    <row r="2730" spans="1:1" x14ac:dyDescent="0.35">
      <c r="A2730" t="str">
        <f t="shared" si="42"/>
        <v/>
      </c>
    </row>
    <row r="2731" spans="1:1" x14ac:dyDescent="0.35">
      <c r="A2731" t="str">
        <f t="shared" si="42"/>
        <v/>
      </c>
    </row>
    <row r="2732" spans="1:1" x14ac:dyDescent="0.35">
      <c r="A2732" t="str">
        <f t="shared" si="42"/>
        <v/>
      </c>
    </row>
    <row r="2733" spans="1:1" x14ac:dyDescent="0.35">
      <c r="A2733" t="str">
        <f t="shared" si="42"/>
        <v/>
      </c>
    </row>
    <row r="2734" spans="1:1" x14ac:dyDescent="0.35">
      <c r="A2734" t="str">
        <f t="shared" si="42"/>
        <v/>
      </c>
    </row>
    <row r="2735" spans="1:1" x14ac:dyDescent="0.35">
      <c r="A2735" t="str">
        <f t="shared" si="42"/>
        <v/>
      </c>
    </row>
    <row r="2736" spans="1:1" x14ac:dyDescent="0.35">
      <c r="A2736" t="str">
        <f t="shared" si="42"/>
        <v/>
      </c>
    </row>
    <row r="2737" spans="1:1" x14ac:dyDescent="0.35">
      <c r="A2737" t="str">
        <f t="shared" si="42"/>
        <v/>
      </c>
    </row>
    <row r="2738" spans="1:1" x14ac:dyDescent="0.35">
      <c r="A2738" t="str">
        <f t="shared" si="42"/>
        <v/>
      </c>
    </row>
    <row r="2739" spans="1:1" x14ac:dyDescent="0.35">
      <c r="A2739" t="str">
        <f t="shared" si="42"/>
        <v/>
      </c>
    </row>
    <row r="2740" spans="1:1" x14ac:dyDescent="0.35">
      <c r="A2740" t="str">
        <f t="shared" si="42"/>
        <v/>
      </c>
    </row>
    <row r="2741" spans="1:1" x14ac:dyDescent="0.35">
      <c r="A2741" t="str">
        <f t="shared" si="42"/>
        <v/>
      </c>
    </row>
    <row r="2742" spans="1:1" x14ac:dyDescent="0.35">
      <c r="A2742" t="str">
        <f t="shared" si="42"/>
        <v/>
      </c>
    </row>
    <row r="2743" spans="1:1" x14ac:dyDescent="0.35">
      <c r="A2743" t="str">
        <f t="shared" si="42"/>
        <v/>
      </c>
    </row>
    <row r="2744" spans="1:1" x14ac:dyDescent="0.35">
      <c r="A2744" t="str">
        <f t="shared" si="42"/>
        <v/>
      </c>
    </row>
    <row r="2745" spans="1:1" x14ac:dyDescent="0.35">
      <c r="A2745" t="str">
        <f t="shared" si="42"/>
        <v/>
      </c>
    </row>
    <row r="2746" spans="1:1" x14ac:dyDescent="0.35">
      <c r="A2746" t="str">
        <f t="shared" si="42"/>
        <v/>
      </c>
    </row>
    <row r="2747" spans="1:1" x14ac:dyDescent="0.35">
      <c r="A2747" t="str">
        <f t="shared" si="42"/>
        <v/>
      </c>
    </row>
    <row r="2748" spans="1:1" x14ac:dyDescent="0.35">
      <c r="A2748" t="str">
        <f t="shared" si="42"/>
        <v/>
      </c>
    </row>
    <row r="2749" spans="1:1" x14ac:dyDescent="0.35">
      <c r="A2749" t="str">
        <f t="shared" si="42"/>
        <v/>
      </c>
    </row>
    <row r="2750" spans="1:1" x14ac:dyDescent="0.35">
      <c r="A2750" t="str">
        <f t="shared" si="42"/>
        <v/>
      </c>
    </row>
    <row r="2751" spans="1:1" x14ac:dyDescent="0.35">
      <c r="A2751" t="str">
        <f t="shared" si="42"/>
        <v/>
      </c>
    </row>
    <row r="2752" spans="1:1" x14ac:dyDescent="0.35">
      <c r="A2752" t="str">
        <f t="shared" si="42"/>
        <v/>
      </c>
    </row>
    <row r="2753" spans="1:1" x14ac:dyDescent="0.35">
      <c r="A2753" t="str">
        <f t="shared" si="42"/>
        <v/>
      </c>
    </row>
    <row r="2754" spans="1:1" x14ac:dyDescent="0.35">
      <c r="A2754" t="str">
        <f t="shared" si="42"/>
        <v/>
      </c>
    </row>
    <row r="2755" spans="1:1" x14ac:dyDescent="0.35">
      <c r="A2755" t="str">
        <f t="shared" ref="A2755:A2818" si="43">C2755&amp;D2755&amp;E2755&amp;G2755&amp;H2755&amp;I2755</f>
        <v/>
      </c>
    </row>
    <row r="2756" spans="1:1" x14ac:dyDescent="0.35">
      <c r="A2756" t="str">
        <f t="shared" si="43"/>
        <v/>
      </c>
    </row>
    <row r="2757" spans="1:1" x14ac:dyDescent="0.35">
      <c r="A2757" t="str">
        <f t="shared" si="43"/>
        <v/>
      </c>
    </row>
    <row r="2758" spans="1:1" x14ac:dyDescent="0.35">
      <c r="A2758" t="str">
        <f t="shared" si="43"/>
        <v/>
      </c>
    </row>
    <row r="2759" spans="1:1" x14ac:dyDescent="0.35">
      <c r="A2759" t="str">
        <f t="shared" si="43"/>
        <v/>
      </c>
    </row>
    <row r="2760" spans="1:1" x14ac:dyDescent="0.35">
      <c r="A2760" t="str">
        <f t="shared" si="43"/>
        <v/>
      </c>
    </row>
    <row r="2761" spans="1:1" x14ac:dyDescent="0.35">
      <c r="A2761" t="str">
        <f t="shared" si="43"/>
        <v/>
      </c>
    </row>
    <row r="2762" spans="1:1" x14ac:dyDescent="0.35">
      <c r="A2762" t="str">
        <f t="shared" si="43"/>
        <v/>
      </c>
    </row>
    <row r="2763" spans="1:1" x14ac:dyDescent="0.35">
      <c r="A2763" t="str">
        <f t="shared" si="43"/>
        <v/>
      </c>
    </row>
    <row r="2764" spans="1:1" x14ac:dyDescent="0.35">
      <c r="A2764" t="str">
        <f t="shared" si="43"/>
        <v/>
      </c>
    </row>
    <row r="2765" spans="1:1" x14ac:dyDescent="0.35">
      <c r="A2765" t="str">
        <f t="shared" si="43"/>
        <v/>
      </c>
    </row>
    <row r="2766" spans="1:1" x14ac:dyDescent="0.35">
      <c r="A2766" t="str">
        <f t="shared" si="43"/>
        <v/>
      </c>
    </row>
    <row r="2767" spans="1:1" x14ac:dyDescent="0.35">
      <c r="A2767" t="str">
        <f t="shared" si="43"/>
        <v/>
      </c>
    </row>
    <row r="2768" spans="1:1" x14ac:dyDescent="0.35">
      <c r="A2768" t="str">
        <f t="shared" si="43"/>
        <v/>
      </c>
    </row>
    <row r="2769" spans="1:1" x14ac:dyDescent="0.35">
      <c r="A2769" t="str">
        <f t="shared" si="43"/>
        <v/>
      </c>
    </row>
    <row r="2770" spans="1:1" x14ac:dyDescent="0.35">
      <c r="A2770" t="str">
        <f t="shared" si="43"/>
        <v/>
      </c>
    </row>
    <row r="2771" spans="1:1" x14ac:dyDescent="0.35">
      <c r="A2771" t="str">
        <f t="shared" si="43"/>
        <v/>
      </c>
    </row>
    <row r="2772" spans="1:1" x14ac:dyDescent="0.35">
      <c r="A2772" t="str">
        <f t="shared" si="43"/>
        <v/>
      </c>
    </row>
    <row r="2773" spans="1:1" x14ac:dyDescent="0.35">
      <c r="A2773" t="str">
        <f t="shared" si="43"/>
        <v/>
      </c>
    </row>
    <row r="2774" spans="1:1" x14ac:dyDescent="0.35">
      <c r="A2774" t="str">
        <f t="shared" si="43"/>
        <v/>
      </c>
    </row>
    <row r="2775" spans="1:1" x14ac:dyDescent="0.35">
      <c r="A2775" t="str">
        <f t="shared" si="43"/>
        <v/>
      </c>
    </row>
    <row r="2776" spans="1:1" x14ac:dyDescent="0.35">
      <c r="A2776" t="str">
        <f t="shared" si="43"/>
        <v/>
      </c>
    </row>
    <row r="2777" spans="1:1" x14ac:dyDescent="0.35">
      <c r="A2777" t="str">
        <f t="shared" si="43"/>
        <v/>
      </c>
    </row>
    <row r="2778" spans="1:1" x14ac:dyDescent="0.35">
      <c r="A2778" t="str">
        <f t="shared" si="43"/>
        <v/>
      </c>
    </row>
    <row r="2779" spans="1:1" x14ac:dyDescent="0.35">
      <c r="A2779" t="str">
        <f t="shared" si="43"/>
        <v/>
      </c>
    </row>
    <row r="2780" spans="1:1" x14ac:dyDescent="0.35">
      <c r="A2780" t="str">
        <f t="shared" si="43"/>
        <v/>
      </c>
    </row>
    <row r="2781" spans="1:1" x14ac:dyDescent="0.35">
      <c r="A2781" t="str">
        <f t="shared" si="43"/>
        <v/>
      </c>
    </row>
    <row r="2782" spans="1:1" x14ac:dyDescent="0.35">
      <c r="A2782" t="str">
        <f t="shared" si="43"/>
        <v/>
      </c>
    </row>
    <row r="2783" spans="1:1" x14ac:dyDescent="0.35">
      <c r="A2783" t="str">
        <f t="shared" si="43"/>
        <v/>
      </c>
    </row>
    <row r="2784" spans="1:1" x14ac:dyDescent="0.35">
      <c r="A2784" t="str">
        <f t="shared" si="43"/>
        <v/>
      </c>
    </row>
    <row r="2785" spans="1:1" x14ac:dyDescent="0.35">
      <c r="A2785" t="str">
        <f t="shared" si="43"/>
        <v/>
      </c>
    </row>
    <row r="2786" spans="1:1" x14ac:dyDescent="0.35">
      <c r="A2786" t="str">
        <f t="shared" si="43"/>
        <v/>
      </c>
    </row>
    <row r="2787" spans="1:1" x14ac:dyDescent="0.35">
      <c r="A2787" t="str">
        <f t="shared" si="43"/>
        <v/>
      </c>
    </row>
    <row r="2788" spans="1:1" x14ac:dyDescent="0.35">
      <c r="A2788" t="str">
        <f t="shared" si="43"/>
        <v/>
      </c>
    </row>
    <row r="2789" spans="1:1" x14ac:dyDescent="0.35">
      <c r="A2789" t="str">
        <f t="shared" si="43"/>
        <v/>
      </c>
    </row>
    <row r="2790" spans="1:1" x14ac:dyDescent="0.35">
      <c r="A2790" t="str">
        <f t="shared" si="43"/>
        <v/>
      </c>
    </row>
    <row r="2791" spans="1:1" x14ac:dyDescent="0.35">
      <c r="A2791" t="str">
        <f t="shared" si="43"/>
        <v/>
      </c>
    </row>
    <row r="2792" spans="1:1" x14ac:dyDescent="0.35">
      <c r="A2792" t="str">
        <f t="shared" si="43"/>
        <v/>
      </c>
    </row>
    <row r="2793" spans="1:1" x14ac:dyDescent="0.35">
      <c r="A2793" t="str">
        <f t="shared" si="43"/>
        <v/>
      </c>
    </row>
    <row r="2794" spans="1:1" x14ac:dyDescent="0.35">
      <c r="A2794" t="str">
        <f t="shared" si="43"/>
        <v/>
      </c>
    </row>
    <row r="2795" spans="1:1" x14ac:dyDescent="0.35">
      <c r="A2795" t="str">
        <f t="shared" si="43"/>
        <v/>
      </c>
    </row>
    <row r="2796" spans="1:1" x14ac:dyDescent="0.35">
      <c r="A2796" t="str">
        <f t="shared" si="43"/>
        <v/>
      </c>
    </row>
    <row r="2797" spans="1:1" x14ac:dyDescent="0.35">
      <c r="A2797" t="str">
        <f t="shared" si="43"/>
        <v/>
      </c>
    </row>
    <row r="2798" spans="1:1" x14ac:dyDescent="0.35">
      <c r="A2798" t="str">
        <f t="shared" si="43"/>
        <v/>
      </c>
    </row>
    <row r="2799" spans="1:1" x14ac:dyDescent="0.35">
      <c r="A2799" t="str">
        <f t="shared" si="43"/>
        <v/>
      </c>
    </row>
    <row r="2800" spans="1:1" x14ac:dyDescent="0.35">
      <c r="A2800" t="str">
        <f t="shared" si="43"/>
        <v/>
      </c>
    </row>
    <row r="2801" spans="1:1" x14ac:dyDescent="0.35">
      <c r="A2801" t="str">
        <f t="shared" si="43"/>
        <v/>
      </c>
    </row>
    <row r="2802" spans="1:1" x14ac:dyDescent="0.35">
      <c r="A2802" t="str">
        <f t="shared" si="43"/>
        <v/>
      </c>
    </row>
    <row r="2803" spans="1:1" x14ac:dyDescent="0.35">
      <c r="A2803" t="str">
        <f t="shared" si="43"/>
        <v/>
      </c>
    </row>
    <row r="2804" spans="1:1" x14ac:dyDescent="0.35">
      <c r="A2804" t="str">
        <f t="shared" si="43"/>
        <v/>
      </c>
    </row>
    <row r="2805" spans="1:1" x14ac:dyDescent="0.35">
      <c r="A2805" t="str">
        <f t="shared" si="43"/>
        <v/>
      </c>
    </row>
    <row r="2806" spans="1:1" x14ac:dyDescent="0.35">
      <c r="A2806" t="str">
        <f t="shared" si="43"/>
        <v/>
      </c>
    </row>
    <row r="2807" spans="1:1" x14ac:dyDescent="0.35">
      <c r="A2807" t="str">
        <f t="shared" si="43"/>
        <v/>
      </c>
    </row>
    <row r="2808" spans="1:1" x14ac:dyDescent="0.35">
      <c r="A2808" t="str">
        <f t="shared" si="43"/>
        <v/>
      </c>
    </row>
    <row r="2809" spans="1:1" x14ac:dyDescent="0.35">
      <c r="A2809" t="str">
        <f t="shared" si="43"/>
        <v/>
      </c>
    </row>
    <row r="2810" spans="1:1" x14ac:dyDescent="0.35">
      <c r="A2810" t="str">
        <f t="shared" si="43"/>
        <v/>
      </c>
    </row>
    <row r="2811" spans="1:1" x14ac:dyDescent="0.35">
      <c r="A2811" t="str">
        <f t="shared" si="43"/>
        <v/>
      </c>
    </row>
    <row r="2812" spans="1:1" x14ac:dyDescent="0.35">
      <c r="A2812" t="str">
        <f t="shared" si="43"/>
        <v/>
      </c>
    </row>
    <row r="2813" spans="1:1" x14ac:dyDescent="0.35">
      <c r="A2813" t="str">
        <f t="shared" si="43"/>
        <v/>
      </c>
    </row>
    <row r="2814" spans="1:1" x14ac:dyDescent="0.35">
      <c r="A2814" t="str">
        <f t="shared" si="43"/>
        <v/>
      </c>
    </row>
    <row r="2815" spans="1:1" x14ac:dyDescent="0.35">
      <c r="A2815" t="str">
        <f t="shared" si="43"/>
        <v/>
      </c>
    </row>
    <row r="2816" spans="1:1" x14ac:dyDescent="0.35">
      <c r="A2816" t="str">
        <f t="shared" si="43"/>
        <v/>
      </c>
    </row>
    <row r="2817" spans="1:1" x14ac:dyDescent="0.35">
      <c r="A2817" t="str">
        <f t="shared" si="43"/>
        <v/>
      </c>
    </row>
    <row r="2818" spans="1:1" x14ac:dyDescent="0.35">
      <c r="A2818" t="str">
        <f t="shared" si="43"/>
        <v/>
      </c>
    </row>
    <row r="2819" spans="1:1" x14ac:dyDescent="0.35">
      <c r="A2819" t="str">
        <f t="shared" ref="A2819:A2882" si="44">C2819&amp;D2819&amp;E2819&amp;G2819&amp;H2819&amp;I2819</f>
        <v/>
      </c>
    </row>
    <row r="2820" spans="1:1" x14ac:dyDescent="0.35">
      <c r="A2820" t="str">
        <f t="shared" si="44"/>
        <v/>
      </c>
    </row>
    <row r="2821" spans="1:1" x14ac:dyDescent="0.35">
      <c r="A2821" t="str">
        <f t="shared" si="44"/>
        <v/>
      </c>
    </row>
    <row r="2822" spans="1:1" x14ac:dyDescent="0.35">
      <c r="A2822" t="str">
        <f t="shared" si="44"/>
        <v/>
      </c>
    </row>
    <row r="2823" spans="1:1" x14ac:dyDescent="0.35">
      <c r="A2823" t="str">
        <f t="shared" si="44"/>
        <v/>
      </c>
    </row>
    <row r="2824" spans="1:1" x14ac:dyDescent="0.35">
      <c r="A2824" t="str">
        <f t="shared" si="44"/>
        <v/>
      </c>
    </row>
    <row r="2825" spans="1:1" x14ac:dyDescent="0.35">
      <c r="A2825" t="str">
        <f t="shared" si="44"/>
        <v/>
      </c>
    </row>
    <row r="2826" spans="1:1" x14ac:dyDescent="0.35">
      <c r="A2826" t="str">
        <f t="shared" si="44"/>
        <v/>
      </c>
    </row>
    <row r="2827" spans="1:1" x14ac:dyDescent="0.35">
      <c r="A2827" t="str">
        <f t="shared" si="44"/>
        <v/>
      </c>
    </row>
    <row r="2828" spans="1:1" x14ac:dyDescent="0.35">
      <c r="A2828" t="str">
        <f t="shared" si="44"/>
        <v/>
      </c>
    </row>
    <row r="2829" spans="1:1" x14ac:dyDescent="0.35">
      <c r="A2829" t="str">
        <f t="shared" si="44"/>
        <v/>
      </c>
    </row>
    <row r="2830" spans="1:1" x14ac:dyDescent="0.35">
      <c r="A2830" t="str">
        <f t="shared" si="44"/>
        <v/>
      </c>
    </row>
    <row r="2831" spans="1:1" x14ac:dyDescent="0.35">
      <c r="A2831" t="str">
        <f t="shared" si="44"/>
        <v/>
      </c>
    </row>
    <row r="2832" spans="1:1" x14ac:dyDescent="0.35">
      <c r="A2832" t="str">
        <f t="shared" si="44"/>
        <v/>
      </c>
    </row>
    <row r="2833" spans="1:1" x14ac:dyDescent="0.35">
      <c r="A2833" t="str">
        <f t="shared" si="44"/>
        <v/>
      </c>
    </row>
    <row r="2834" spans="1:1" x14ac:dyDescent="0.35">
      <c r="A2834" t="str">
        <f t="shared" si="44"/>
        <v/>
      </c>
    </row>
    <row r="2835" spans="1:1" x14ac:dyDescent="0.35">
      <c r="A2835" t="str">
        <f t="shared" si="44"/>
        <v/>
      </c>
    </row>
    <row r="2836" spans="1:1" x14ac:dyDescent="0.35">
      <c r="A2836" t="str">
        <f t="shared" si="44"/>
        <v/>
      </c>
    </row>
    <row r="2837" spans="1:1" x14ac:dyDescent="0.35">
      <c r="A2837" t="str">
        <f t="shared" si="44"/>
        <v/>
      </c>
    </row>
    <row r="2838" spans="1:1" x14ac:dyDescent="0.35">
      <c r="A2838" t="str">
        <f t="shared" si="44"/>
        <v/>
      </c>
    </row>
    <row r="2839" spans="1:1" x14ac:dyDescent="0.35">
      <c r="A2839" t="str">
        <f t="shared" si="44"/>
        <v/>
      </c>
    </row>
    <row r="2840" spans="1:1" x14ac:dyDescent="0.35">
      <c r="A2840" t="str">
        <f t="shared" si="44"/>
        <v/>
      </c>
    </row>
    <row r="2841" spans="1:1" x14ac:dyDescent="0.35">
      <c r="A2841" t="str">
        <f t="shared" si="44"/>
        <v/>
      </c>
    </row>
    <row r="2842" spans="1:1" x14ac:dyDescent="0.35">
      <c r="A2842" t="str">
        <f t="shared" si="44"/>
        <v/>
      </c>
    </row>
    <row r="2843" spans="1:1" x14ac:dyDescent="0.35">
      <c r="A2843" t="str">
        <f t="shared" si="44"/>
        <v/>
      </c>
    </row>
    <row r="2844" spans="1:1" x14ac:dyDescent="0.35">
      <c r="A2844" t="str">
        <f t="shared" si="44"/>
        <v/>
      </c>
    </row>
    <row r="2845" spans="1:1" x14ac:dyDescent="0.35">
      <c r="A2845" t="str">
        <f t="shared" si="44"/>
        <v/>
      </c>
    </row>
    <row r="2846" spans="1:1" x14ac:dyDescent="0.35">
      <c r="A2846" t="str">
        <f t="shared" si="44"/>
        <v/>
      </c>
    </row>
    <row r="2847" spans="1:1" x14ac:dyDescent="0.35">
      <c r="A2847" t="str">
        <f t="shared" si="44"/>
        <v/>
      </c>
    </row>
    <row r="2848" spans="1:1" x14ac:dyDescent="0.35">
      <c r="A2848" t="str">
        <f t="shared" si="44"/>
        <v/>
      </c>
    </row>
    <row r="2849" spans="1:1" x14ac:dyDescent="0.35">
      <c r="A2849" t="str">
        <f t="shared" si="44"/>
        <v/>
      </c>
    </row>
    <row r="2850" spans="1:1" x14ac:dyDescent="0.35">
      <c r="A2850" t="str">
        <f t="shared" si="44"/>
        <v/>
      </c>
    </row>
    <row r="2851" spans="1:1" x14ac:dyDescent="0.35">
      <c r="A2851" t="str">
        <f t="shared" si="44"/>
        <v/>
      </c>
    </row>
    <row r="2852" spans="1:1" x14ac:dyDescent="0.35">
      <c r="A2852" t="str">
        <f t="shared" si="44"/>
        <v/>
      </c>
    </row>
    <row r="2853" spans="1:1" x14ac:dyDescent="0.35">
      <c r="A2853" t="str">
        <f t="shared" si="44"/>
        <v/>
      </c>
    </row>
    <row r="2854" spans="1:1" x14ac:dyDescent="0.35">
      <c r="A2854" t="str">
        <f t="shared" si="44"/>
        <v/>
      </c>
    </row>
    <row r="2855" spans="1:1" x14ac:dyDescent="0.35">
      <c r="A2855" t="str">
        <f t="shared" si="44"/>
        <v/>
      </c>
    </row>
    <row r="2856" spans="1:1" x14ac:dyDescent="0.35">
      <c r="A2856" t="str">
        <f t="shared" si="44"/>
        <v/>
      </c>
    </row>
    <row r="2857" spans="1:1" x14ac:dyDescent="0.35">
      <c r="A2857" t="str">
        <f t="shared" si="44"/>
        <v/>
      </c>
    </row>
    <row r="2858" spans="1:1" x14ac:dyDescent="0.35">
      <c r="A2858" t="str">
        <f t="shared" si="44"/>
        <v/>
      </c>
    </row>
    <row r="2859" spans="1:1" x14ac:dyDescent="0.35">
      <c r="A2859" t="str">
        <f t="shared" si="44"/>
        <v/>
      </c>
    </row>
    <row r="2860" spans="1:1" x14ac:dyDescent="0.35">
      <c r="A2860" t="str">
        <f t="shared" si="44"/>
        <v/>
      </c>
    </row>
    <row r="2861" spans="1:1" x14ac:dyDescent="0.35">
      <c r="A2861" t="str">
        <f t="shared" si="44"/>
        <v/>
      </c>
    </row>
    <row r="2862" spans="1:1" x14ac:dyDescent="0.35">
      <c r="A2862" t="str">
        <f t="shared" si="44"/>
        <v/>
      </c>
    </row>
    <row r="2863" spans="1:1" x14ac:dyDescent="0.35">
      <c r="A2863" t="str">
        <f t="shared" si="44"/>
        <v/>
      </c>
    </row>
    <row r="2864" spans="1:1" x14ac:dyDescent="0.35">
      <c r="A2864" t="str">
        <f t="shared" si="44"/>
        <v/>
      </c>
    </row>
    <row r="2865" spans="1:1" x14ac:dyDescent="0.35">
      <c r="A2865" t="str">
        <f t="shared" si="44"/>
        <v/>
      </c>
    </row>
    <row r="2866" spans="1:1" x14ac:dyDescent="0.35">
      <c r="A2866" t="str">
        <f t="shared" si="44"/>
        <v/>
      </c>
    </row>
    <row r="2867" spans="1:1" x14ac:dyDescent="0.35">
      <c r="A2867" t="str">
        <f t="shared" si="44"/>
        <v/>
      </c>
    </row>
    <row r="2868" spans="1:1" x14ac:dyDescent="0.35">
      <c r="A2868" t="str">
        <f t="shared" si="44"/>
        <v/>
      </c>
    </row>
    <row r="2869" spans="1:1" x14ac:dyDescent="0.35">
      <c r="A2869" t="str">
        <f t="shared" si="44"/>
        <v/>
      </c>
    </row>
    <row r="2870" spans="1:1" x14ac:dyDescent="0.35">
      <c r="A2870" t="str">
        <f t="shared" si="44"/>
        <v/>
      </c>
    </row>
    <row r="2871" spans="1:1" x14ac:dyDescent="0.35">
      <c r="A2871" t="str">
        <f t="shared" si="44"/>
        <v/>
      </c>
    </row>
    <row r="2872" spans="1:1" x14ac:dyDescent="0.35">
      <c r="A2872" t="str">
        <f t="shared" si="44"/>
        <v/>
      </c>
    </row>
    <row r="2873" spans="1:1" x14ac:dyDescent="0.35">
      <c r="A2873" t="str">
        <f t="shared" si="44"/>
        <v/>
      </c>
    </row>
    <row r="2874" spans="1:1" x14ac:dyDescent="0.35">
      <c r="A2874" t="str">
        <f t="shared" si="44"/>
        <v/>
      </c>
    </row>
    <row r="2875" spans="1:1" x14ac:dyDescent="0.35">
      <c r="A2875" t="str">
        <f t="shared" si="44"/>
        <v/>
      </c>
    </row>
    <row r="2876" spans="1:1" x14ac:dyDescent="0.35">
      <c r="A2876" t="str">
        <f t="shared" si="44"/>
        <v/>
      </c>
    </row>
    <row r="2877" spans="1:1" x14ac:dyDescent="0.35">
      <c r="A2877" t="str">
        <f t="shared" si="44"/>
        <v/>
      </c>
    </row>
    <row r="2878" spans="1:1" x14ac:dyDescent="0.35">
      <c r="A2878" t="str">
        <f t="shared" si="44"/>
        <v/>
      </c>
    </row>
    <row r="2879" spans="1:1" x14ac:dyDescent="0.35">
      <c r="A2879" t="str">
        <f t="shared" si="44"/>
        <v/>
      </c>
    </row>
    <row r="2880" spans="1:1" x14ac:dyDescent="0.35">
      <c r="A2880" t="str">
        <f t="shared" si="44"/>
        <v/>
      </c>
    </row>
    <row r="2881" spans="1:1" x14ac:dyDescent="0.35">
      <c r="A2881" t="str">
        <f t="shared" si="44"/>
        <v/>
      </c>
    </row>
    <row r="2882" spans="1:1" x14ac:dyDescent="0.35">
      <c r="A2882" t="str">
        <f t="shared" si="44"/>
        <v/>
      </c>
    </row>
    <row r="2883" spans="1:1" x14ac:dyDescent="0.35">
      <c r="A2883" t="str">
        <f t="shared" ref="A2883:A2946" si="45">C2883&amp;D2883&amp;E2883&amp;G2883&amp;H2883&amp;I2883</f>
        <v/>
      </c>
    </row>
    <row r="2884" spans="1:1" x14ac:dyDescent="0.35">
      <c r="A2884" t="str">
        <f t="shared" si="45"/>
        <v/>
      </c>
    </row>
    <row r="2885" spans="1:1" x14ac:dyDescent="0.35">
      <c r="A2885" t="str">
        <f t="shared" si="45"/>
        <v/>
      </c>
    </row>
    <row r="2886" spans="1:1" x14ac:dyDescent="0.35">
      <c r="A2886" t="str">
        <f t="shared" si="45"/>
        <v/>
      </c>
    </row>
    <row r="2887" spans="1:1" x14ac:dyDescent="0.35">
      <c r="A2887" t="str">
        <f t="shared" si="45"/>
        <v/>
      </c>
    </row>
    <row r="2888" spans="1:1" x14ac:dyDescent="0.35">
      <c r="A2888" t="str">
        <f t="shared" si="45"/>
        <v/>
      </c>
    </row>
    <row r="2889" spans="1:1" x14ac:dyDescent="0.35">
      <c r="A2889" t="str">
        <f t="shared" si="45"/>
        <v/>
      </c>
    </row>
    <row r="2890" spans="1:1" x14ac:dyDescent="0.35">
      <c r="A2890" t="str">
        <f t="shared" si="45"/>
        <v/>
      </c>
    </row>
    <row r="2891" spans="1:1" x14ac:dyDescent="0.35">
      <c r="A2891" t="str">
        <f t="shared" si="45"/>
        <v/>
      </c>
    </row>
    <row r="2892" spans="1:1" x14ac:dyDescent="0.35">
      <c r="A2892" t="str">
        <f t="shared" si="45"/>
        <v/>
      </c>
    </row>
    <row r="2893" spans="1:1" x14ac:dyDescent="0.35">
      <c r="A2893" t="str">
        <f t="shared" si="45"/>
        <v/>
      </c>
    </row>
    <row r="2894" spans="1:1" x14ac:dyDescent="0.35">
      <c r="A2894" t="str">
        <f t="shared" si="45"/>
        <v/>
      </c>
    </row>
    <row r="2895" spans="1:1" x14ac:dyDescent="0.35">
      <c r="A2895" t="str">
        <f t="shared" si="45"/>
        <v/>
      </c>
    </row>
    <row r="2896" spans="1:1" x14ac:dyDescent="0.35">
      <c r="A2896" t="str">
        <f t="shared" si="45"/>
        <v/>
      </c>
    </row>
    <row r="2897" spans="1:1" x14ac:dyDescent="0.35">
      <c r="A2897" t="str">
        <f t="shared" si="45"/>
        <v/>
      </c>
    </row>
    <row r="2898" spans="1:1" x14ac:dyDescent="0.35">
      <c r="A2898" t="str">
        <f t="shared" si="45"/>
        <v/>
      </c>
    </row>
    <row r="2899" spans="1:1" x14ac:dyDescent="0.35">
      <c r="A2899" t="str">
        <f t="shared" si="45"/>
        <v/>
      </c>
    </row>
    <row r="2900" spans="1:1" x14ac:dyDescent="0.35">
      <c r="A2900" t="str">
        <f t="shared" si="45"/>
        <v/>
      </c>
    </row>
    <row r="2901" spans="1:1" x14ac:dyDescent="0.35">
      <c r="A2901" t="str">
        <f t="shared" si="45"/>
        <v/>
      </c>
    </row>
    <row r="2902" spans="1:1" x14ac:dyDescent="0.35">
      <c r="A2902" t="str">
        <f t="shared" si="45"/>
        <v/>
      </c>
    </row>
    <row r="2903" spans="1:1" x14ac:dyDescent="0.35">
      <c r="A2903" t="str">
        <f t="shared" si="45"/>
        <v/>
      </c>
    </row>
    <row r="2904" spans="1:1" x14ac:dyDescent="0.35">
      <c r="A2904" t="str">
        <f t="shared" si="45"/>
        <v/>
      </c>
    </row>
    <row r="2905" spans="1:1" x14ac:dyDescent="0.35">
      <c r="A2905" t="str">
        <f t="shared" si="45"/>
        <v/>
      </c>
    </row>
    <row r="2906" spans="1:1" x14ac:dyDescent="0.35">
      <c r="A2906" t="str">
        <f t="shared" si="45"/>
        <v/>
      </c>
    </row>
    <row r="2907" spans="1:1" x14ac:dyDescent="0.35">
      <c r="A2907" t="str">
        <f t="shared" si="45"/>
        <v/>
      </c>
    </row>
    <row r="2908" spans="1:1" x14ac:dyDescent="0.35">
      <c r="A2908" t="str">
        <f t="shared" si="45"/>
        <v/>
      </c>
    </row>
    <row r="2909" spans="1:1" x14ac:dyDescent="0.35">
      <c r="A2909" t="str">
        <f t="shared" si="45"/>
        <v/>
      </c>
    </row>
    <row r="2910" spans="1:1" x14ac:dyDescent="0.35">
      <c r="A2910" t="str">
        <f t="shared" si="45"/>
        <v/>
      </c>
    </row>
    <row r="2911" spans="1:1" x14ac:dyDescent="0.35">
      <c r="A2911" t="str">
        <f t="shared" si="45"/>
        <v/>
      </c>
    </row>
    <row r="2912" spans="1:1" x14ac:dyDescent="0.35">
      <c r="A2912" t="str">
        <f t="shared" si="45"/>
        <v/>
      </c>
    </row>
    <row r="2913" spans="1:1" x14ac:dyDescent="0.35">
      <c r="A2913" t="str">
        <f t="shared" si="45"/>
        <v/>
      </c>
    </row>
    <row r="2914" spans="1:1" x14ac:dyDescent="0.35">
      <c r="A2914" t="str">
        <f t="shared" si="45"/>
        <v/>
      </c>
    </row>
    <row r="2915" spans="1:1" x14ac:dyDescent="0.35">
      <c r="A2915" t="str">
        <f t="shared" si="45"/>
        <v/>
      </c>
    </row>
    <row r="2916" spans="1:1" x14ac:dyDescent="0.35">
      <c r="A2916" t="str">
        <f t="shared" si="45"/>
        <v/>
      </c>
    </row>
    <row r="2917" spans="1:1" x14ac:dyDescent="0.35">
      <c r="A2917" t="str">
        <f t="shared" si="45"/>
        <v/>
      </c>
    </row>
    <row r="2918" spans="1:1" x14ac:dyDescent="0.35">
      <c r="A2918" t="str">
        <f t="shared" si="45"/>
        <v/>
      </c>
    </row>
    <row r="2919" spans="1:1" x14ac:dyDescent="0.35">
      <c r="A2919" t="str">
        <f t="shared" si="45"/>
        <v/>
      </c>
    </row>
    <row r="2920" spans="1:1" x14ac:dyDescent="0.35">
      <c r="A2920" t="str">
        <f t="shared" si="45"/>
        <v/>
      </c>
    </row>
    <row r="2921" spans="1:1" x14ac:dyDescent="0.35">
      <c r="A2921" t="str">
        <f t="shared" si="45"/>
        <v/>
      </c>
    </row>
    <row r="2922" spans="1:1" x14ac:dyDescent="0.35">
      <c r="A2922" t="str">
        <f t="shared" si="45"/>
        <v/>
      </c>
    </row>
    <row r="2923" spans="1:1" x14ac:dyDescent="0.35">
      <c r="A2923" t="str">
        <f t="shared" si="45"/>
        <v/>
      </c>
    </row>
    <row r="2924" spans="1:1" x14ac:dyDescent="0.35">
      <c r="A2924" t="str">
        <f t="shared" si="45"/>
        <v/>
      </c>
    </row>
    <row r="2925" spans="1:1" x14ac:dyDescent="0.35">
      <c r="A2925" t="str">
        <f t="shared" si="45"/>
        <v/>
      </c>
    </row>
    <row r="2926" spans="1:1" x14ac:dyDescent="0.35">
      <c r="A2926" t="str">
        <f t="shared" si="45"/>
        <v/>
      </c>
    </row>
    <row r="2927" spans="1:1" x14ac:dyDescent="0.35">
      <c r="A2927" t="str">
        <f t="shared" si="45"/>
        <v/>
      </c>
    </row>
    <row r="2928" spans="1:1" x14ac:dyDescent="0.35">
      <c r="A2928" t="str">
        <f t="shared" si="45"/>
        <v/>
      </c>
    </row>
    <row r="2929" spans="1:1" x14ac:dyDescent="0.35">
      <c r="A2929" t="str">
        <f t="shared" si="45"/>
        <v/>
      </c>
    </row>
    <row r="2930" spans="1:1" x14ac:dyDescent="0.35">
      <c r="A2930" t="str">
        <f t="shared" si="45"/>
        <v/>
      </c>
    </row>
    <row r="2931" spans="1:1" x14ac:dyDescent="0.35">
      <c r="A2931" t="str">
        <f t="shared" si="45"/>
        <v/>
      </c>
    </row>
    <row r="2932" spans="1:1" x14ac:dyDescent="0.35">
      <c r="A2932" t="str">
        <f t="shared" si="45"/>
        <v/>
      </c>
    </row>
    <row r="2933" spans="1:1" x14ac:dyDescent="0.35">
      <c r="A2933" t="str">
        <f t="shared" si="45"/>
        <v/>
      </c>
    </row>
    <row r="2934" spans="1:1" x14ac:dyDescent="0.35">
      <c r="A2934" t="str">
        <f t="shared" si="45"/>
        <v/>
      </c>
    </row>
    <row r="2935" spans="1:1" x14ac:dyDescent="0.35">
      <c r="A2935" t="str">
        <f t="shared" si="45"/>
        <v/>
      </c>
    </row>
    <row r="2936" spans="1:1" x14ac:dyDescent="0.35">
      <c r="A2936" t="str">
        <f t="shared" si="45"/>
        <v/>
      </c>
    </row>
    <row r="2937" spans="1:1" x14ac:dyDescent="0.35">
      <c r="A2937" t="str">
        <f t="shared" si="45"/>
        <v/>
      </c>
    </row>
    <row r="2938" spans="1:1" x14ac:dyDescent="0.35">
      <c r="A2938" t="str">
        <f t="shared" si="45"/>
        <v/>
      </c>
    </row>
    <row r="2939" spans="1:1" x14ac:dyDescent="0.35">
      <c r="A2939" t="str">
        <f t="shared" si="45"/>
        <v/>
      </c>
    </row>
    <row r="2940" spans="1:1" x14ac:dyDescent="0.35">
      <c r="A2940" t="str">
        <f t="shared" si="45"/>
        <v/>
      </c>
    </row>
    <row r="2941" spans="1:1" x14ac:dyDescent="0.35">
      <c r="A2941" t="str">
        <f t="shared" si="45"/>
        <v/>
      </c>
    </row>
    <row r="2942" spans="1:1" x14ac:dyDescent="0.35">
      <c r="A2942" t="str">
        <f t="shared" si="45"/>
        <v/>
      </c>
    </row>
    <row r="2943" spans="1:1" x14ac:dyDescent="0.35">
      <c r="A2943" t="str">
        <f t="shared" si="45"/>
        <v/>
      </c>
    </row>
    <row r="2944" spans="1:1" x14ac:dyDescent="0.35">
      <c r="A2944" t="str">
        <f t="shared" si="45"/>
        <v/>
      </c>
    </row>
    <row r="2945" spans="1:1" x14ac:dyDescent="0.35">
      <c r="A2945" t="str">
        <f t="shared" si="45"/>
        <v/>
      </c>
    </row>
    <row r="2946" spans="1:1" x14ac:dyDescent="0.35">
      <c r="A2946" t="str">
        <f t="shared" si="45"/>
        <v/>
      </c>
    </row>
    <row r="2947" spans="1:1" x14ac:dyDescent="0.35">
      <c r="A2947" t="str">
        <f t="shared" ref="A2947:A3010" si="46">C2947&amp;D2947&amp;E2947&amp;G2947&amp;H2947&amp;I2947</f>
        <v/>
      </c>
    </row>
    <row r="2948" spans="1:1" x14ac:dyDescent="0.35">
      <c r="A2948" t="str">
        <f t="shared" si="46"/>
        <v/>
      </c>
    </row>
    <row r="2949" spans="1:1" x14ac:dyDescent="0.35">
      <c r="A2949" t="str">
        <f t="shared" si="46"/>
        <v/>
      </c>
    </row>
    <row r="2950" spans="1:1" x14ac:dyDescent="0.35">
      <c r="A2950" t="str">
        <f t="shared" si="46"/>
        <v/>
      </c>
    </row>
    <row r="2951" spans="1:1" x14ac:dyDescent="0.35">
      <c r="A2951" t="str">
        <f t="shared" si="46"/>
        <v/>
      </c>
    </row>
    <row r="2952" spans="1:1" x14ac:dyDescent="0.35">
      <c r="A2952" t="str">
        <f t="shared" si="46"/>
        <v/>
      </c>
    </row>
    <row r="2953" spans="1:1" x14ac:dyDescent="0.35">
      <c r="A2953" t="str">
        <f t="shared" si="46"/>
        <v/>
      </c>
    </row>
    <row r="2954" spans="1:1" x14ac:dyDescent="0.35">
      <c r="A2954" t="str">
        <f t="shared" si="46"/>
        <v/>
      </c>
    </row>
    <row r="2955" spans="1:1" x14ac:dyDescent="0.35">
      <c r="A2955" t="str">
        <f t="shared" si="46"/>
        <v/>
      </c>
    </row>
    <row r="2956" spans="1:1" x14ac:dyDescent="0.35">
      <c r="A2956" t="str">
        <f t="shared" si="46"/>
        <v/>
      </c>
    </row>
    <row r="2957" spans="1:1" x14ac:dyDescent="0.35">
      <c r="A2957" t="str">
        <f t="shared" si="46"/>
        <v/>
      </c>
    </row>
    <row r="2958" spans="1:1" x14ac:dyDescent="0.35">
      <c r="A2958" t="str">
        <f t="shared" si="46"/>
        <v/>
      </c>
    </row>
    <row r="2959" spans="1:1" x14ac:dyDescent="0.35">
      <c r="A2959" t="str">
        <f t="shared" si="46"/>
        <v/>
      </c>
    </row>
    <row r="2960" spans="1:1" x14ac:dyDescent="0.35">
      <c r="A2960" t="str">
        <f t="shared" si="46"/>
        <v/>
      </c>
    </row>
    <row r="2961" spans="1:1" x14ac:dyDescent="0.35">
      <c r="A2961" t="str">
        <f t="shared" si="46"/>
        <v/>
      </c>
    </row>
    <row r="2962" spans="1:1" x14ac:dyDescent="0.35">
      <c r="A2962" t="str">
        <f t="shared" si="46"/>
        <v/>
      </c>
    </row>
    <row r="2963" spans="1:1" x14ac:dyDescent="0.35">
      <c r="A2963" t="str">
        <f t="shared" si="46"/>
        <v/>
      </c>
    </row>
    <row r="2964" spans="1:1" x14ac:dyDescent="0.35">
      <c r="A2964" t="str">
        <f t="shared" si="46"/>
        <v/>
      </c>
    </row>
    <row r="2965" spans="1:1" x14ac:dyDescent="0.35">
      <c r="A2965" t="str">
        <f t="shared" si="46"/>
        <v/>
      </c>
    </row>
    <row r="2966" spans="1:1" x14ac:dyDescent="0.35">
      <c r="A2966" t="str">
        <f t="shared" si="46"/>
        <v/>
      </c>
    </row>
    <row r="2967" spans="1:1" x14ac:dyDescent="0.35">
      <c r="A2967" t="str">
        <f t="shared" si="46"/>
        <v/>
      </c>
    </row>
    <row r="2968" spans="1:1" x14ac:dyDescent="0.35">
      <c r="A2968" t="str">
        <f t="shared" si="46"/>
        <v/>
      </c>
    </row>
    <row r="2969" spans="1:1" x14ac:dyDescent="0.35">
      <c r="A2969" t="str">
        <f t="shared" si="46"/>
        <v/>
      </c>
    </row>
    <row r="2970" spans="1:1" x14ac:dyDescent="0.35">
      <c r="A2970" t="str">
        <f t="shared" si="46"/>
        <v/>
      </c>
    </row>
    <row r="2971" spans="1:1" x14ac:dyDescent="0.35">
      <c r="A2971" t="str">
        <f t="shared" si="46"/>
        <v/>
      </c>
    </row>
    <row r="2972" spans="1:1" x14ac:dyDescent="0.35">
      <c r="A2972" t="str">
        <f t="shared" si="46"/>
        <v/>
      </c>
    </row>
    <row r="2973" spans="1:1" x14ac:dyDescent="0.35">
      <c r="A2973" t="str">
        <f t="shared" si="46"/>
        <v/>
      </c>
    </row>
    <row r="2974" spans="1:1" x14ac:dyDescent="0.35">
      <c r="A2974" t="str">
        <f t="shared" si="46"/>
        <v/>
      </c>
    </row>
    <row r="2975" spans="1:1" x14ac:dyDescent="0.35">
      <c r="A2975" t="str">
        <f t="shared" si="46"/>
        <v/>
      </c>
    </row>
    <row r="2976" spans="1:1" x14ac:dyDescent="0.35">
      <c r="A2976" t="str">
        <f t="shared" si="46"/>
        <v/>
      </c>
    </row>
    <row r="2977" spans="1:1" x14ac:dyDescent="0.35">
      <c r="A2977" t="str">
        <f t="shared" si="46"/>
        <v/>
      </c>
    </row>
    <row r="2978" spans="1:1" x14ac:dyDescent="0.35">
      <c r="A2978" t="str">
        <f t="shared" si="46"/>
        <v/>
      </c>
    </row>
    <row r="2979" spans="1:1" x14ac:dyDescent="0.35">
      <c r="A2979" t="str">
        <f t="shared" si="46"/>
        <v/>
      </c>
    </row>
    <row r="2980" spans="1:1" x14ac:dyDescent="0.35">
      <c r="A2980" t="str">
        <f t="shared" si="46"/>
        <v/>
      </c>
    </row>
    <row r="2981" spans="1:1" x14ac:dyDescent="0.35">
      <c r="A2981" t="str">
        <f t="shared" si="46"/>
        <v/>
      </c>
    </row>
    <row r="2982" spans="1:1" x14ac:dyDescent="0.35">
      <c r="A2982" t="str">
        <f t="shared" si="46"/>
        <v/>
      </c>
    </row>
    <row r="2983" spans="1:1" x14ac:dyDescent="0.35">
      <c r="A2983" t="str">
        <f t="shared" si="46"/>
        <v/>
      </c>
    </row>
    <row r="2984" spans="1:1" x14ac:dyDescent="0.35">
      <c r="A2984" t="str">
        <f t="shared" si="46"/>
        <v/>
      </c>
    </row>
    <row r="2985" spans="1:1" x14ac:dyDescent="0.35">
      <c r="A2985" t="str">
        <f t="shared" si="46"/>
        <v/>
      </c>
    </row>
    <row r="2986" spans="1:1" x14ac:dyDescent="0.35">
      <c r="A2986" t="str">
        <f t="shared" si="46"/>
        <v/>
      </c>
    </row>
    <row r="2987" spans="1:1" x14ac:dyDescent="0.35">
      <c r="A2987" t="str">
        <f t="shared" si="46"/>
        <v/>
      </c>
    </row>
    <row r="2988" spans="1:1" x14ac:dyDescent="0.35">
      <c r="A2988" t="str">
        <f t="shared" si="46"/>
        <v/>
      </c>
    </row>
    <row r="2989" spans="1:1" x14ac:dyDescent="0.35">
      <c r="A2989" t="str">
        <f t="shared" si="46"/>
        <v/>
      </c>
    </row>
    <row r="2990" spans="1:1" x14ac:dyDescent="0.35">
      <c r="A2990" t="str">
        <f t="shared" si="46"/>
        <v/>
      </c>
    </row>
    <row r="2991" spans="1:1" x14ac:dyDescent="0.35">
      <c r="A2991" t="str">
        <f t="shared" si="46"/>
        <v/>
      </c>
    </row>
    <row r="2992" spans="1:1" x14ac:dyDescent="0.35">
      <c r="A2992" t="str">
        <f t="shared" si="46"/>
        <v/>
      </c>
    </row>
    <row r="2993" spans="1:1" x14ac:dyDescent="0.35">
      <c r="A2993" t="str">
        <f t="shared" si="46"/>
        <v/>
      </c>
    </row>
    <row r="2994" spans="1:1" x14ac:dyDescent="0.35">
      <c r="A2994" t="str">
        <f t="shared" si="46"/>
        <v/>
      </c>
    </row>
    <row r="2995" spans="1:1" x14ac:dyDescent="0.35">
      <c r="A2995" t="str">
        <f t="shared" si="46"/>
        <v/>
      </c>
    </row>
    <row r="2996" spans="1:1" x14ac:dyDescent="0.35">
      <c r="A2996" t="str">
        <f t="shared" si="46"/>
        <v/>
      </c>
    </row>
    <row r="2997" spans="1:1" x14ac:dyDescent="0.35">
      <c r="A2997" t="str">
        <f t="shared" si="46"/>
        <v/>
      </c>
    </row>
    <row r="2998" spans="1:1" x14ac:dyDescent="0.35">
      <c r="A2998" t="str">
        <f t="shared" si="46"/>
        <v/>
      </c>
    </row>
    <row r="2999" spans="1:1" x14ac:dyDescent="0.35">
      <c r="A2999" t="str">
        <f t="shared" si="46"/>
        <v/>
      </c>
    </row>
    <row r="3000" spans="1:1" x14ac:dyDescent="0.35">
      <c r="A3000" t="str">
        <f t="shared" si="46"/>
        <v/>
      </c>
    </row>
    <row r="3001" spans="1:1" x14ac:dyDescent="0.35">
      <c r="A3001" t="str">
        <f t="shared" si="46"/>
        <v/>
      </c>
    </row>
    <row r="3002" spans="1:1" x14ac:dyDescent="0.35">
      <c r="A3002" t="str">
        <f t="shared" si="46"/>
        <v/>
      </c>
    </row>
    <row r="3003" spans="1:1" x14ac:dyDescent="0.35">
      <c r="A3003" t="str">
        <f t="shared" si="46"/>
        <v/>
      </c>
    </row>
    <row r="3004" spans="1:1" x14ac:dyDescent="0.35">
      <c r="A3004" t="str">
        <f t="shared" si="46"/>
        <v/>
      </c>
    </row>
    <row r="3005" spans="1:1" x14ac:dyDescent="0.35">
      <c r="A3005" t="str">
        <f t="shared" si="46"/>
        <v/>
      </c>
    </row>
    <row r="3006" spans="1:1" x14ac:dyDescent="0.35">
      <c r="A3006" t="str">
        <f t="shared" si="46"/>
        <v/>
      </c>
    </row>
    <row r="3007" spans="1:1" x14ac:dyDescent="0.35">
      <c r="A3007" t="str">
        <f t="shared" si="46"/>
        <v/>
      </c>
    </row>
    <row r="3008" spans="1:1" x14ac:dyDescent="0.35">
      <c r="A3008" t="str">
        <f t="shared" si="46"/>
        <v/>
      </c>
    </row>
    <row r="3009" spans="1:1" x14ac:dyDescent="0.35">
      <c r="A3009" t="str">
        <f t="shared" si="46"/>
        <v/>
      </c>
    </row>
    <row r="3010" spans="1:1" x14ac:dyDescent="0.35">
      <c r="A3010" t="str">
        <f t="shared" si="46"/>
        <v/>
      </c>
    </row>
    <row r="3011" spans="1:1" x14ac:dyDescent="0.35">
      <c r="A3011" t="str">
        <f t="shared" ref="A3011:A3074" si="47">C3011&amp;D3011&amp;E3011&amp;G3011&amp;H3011&amp;I3011</f>
        <v/>
      </c>
    </row>
    <row r="3012" spans="1:1" x14ac:dyDescent="0.35">
      <c r="A3012" t="str">
        <f t="shared" si="47"/>
        <v/>
      </c>
    </row>
    <row r="3013" spans="1:1" x14ac:dyDescent="0.35">
      <c r="A3013" t="str">
        <f t="shared" si="47"/>
        <v/>
      </c>
    </row>
    <row r="3014" spans="1:1" x14ac:dyDescent="0.35">
      <c r="A3014" t="str">
        <f t="shared" si="47"/>
        <v/>
      </c>
    </row>
    <row r="3015" spans="1:1" x14ac:dyDescent="0.35">
      <c r="A3015" t="str">
        <f t="shared" si="47"/>
        <v/>
      </c>
    </row>
    <row r="3016" spans="1:1" x14ac:dyDescent="0.35">
      <c r="A3016" t="str">
        <f t="shared" si="47"/>
        <v/>
      </c>
    </row>
    <row r="3017" spans="1:1" x14ac:dyDescent="0.35">
      <c r="A3017" t="str">
        <f t="shared" si="47"/>
        <v/>
      </c>
    </row>
    <row r="3018" spans="1:1" x14ac:dyDescent="0.35">
      <c r="A3018" t="str">
        <f t="shared" si="47"/>
        <v/>
      </c>
    </row>
    <row r="3019" spans="1:1" x14ac:dyDescent="0.35">
      <c r="A3019" t="str">
        <f t="shared" si="47"/>
        <v/>
      </c>
    </row>
    <row r="3020" spans="1:1" x14ac:dyDescent="0.35">
      <c r="A3020" t="str">
        <f t="shared" si="47"/>
        <v/>
      </c>
    </row>
    <row r="3021" spans="1:1" x14ac:dyDescent="0.35">
      <c r="A3021" t="str">
        <f t="shared" si="47"/>
        <v/>
      </c>
    </row>
    <row r="3022" spans="1:1" x14ac:dyDescent="0.35">
      <c r="A3022" t="str">
        <f t="shared" si="47"/>
        <v/>
      </c>
    </row>
    <row r="3023" spans="1:1" x14ac:dyDescent="0.35">
      <c r="A3023" t="str">
        <f t="shared" si="47"/>
        <v/>
      </c>
    </row>
    <row r="3024" spans="1:1" x14ac:dyDescent="0.35">
      <c r="A3024" t="str">
        <f t="shared" si="47"/>
        <v/>
      </c>
    </row>
    <row r="3025" spans="1:1" x14ac:dyDescent="0.35">
      <c r="A3025" t="str">
        <f t="shared" si="47"/>
        <v/>
      </c>
    </row>
    <row r="3026" spans="1:1" x14ac:dyDescent="0.35">
      <c r="A3026" t="str">
        <f t="shared" si="47"/>
        <v/>
      </c>
    </row>
    <row r="3027" spans="1:1" x14ac:dyDescent="0.35">
      <c r="A3027" t="str">
        <f t="shared" si="47"/>
        <v/>
      </c>
    </row>
    <row r="3028" spans="1:1" x14ac:dyDescent="0.35">
      <c r="A3028" t="str">
        <f t="shared" si="47"/>
        <v/>
      </c>
    </row>
    <row r="3029" spans="1:1" x14ac:dyDescent="0.35">
      <c r="A3029" t="str">
        <f t="shared" si="47"/>
        <v/>
      </c>
    </row>
    <row r="3030" spans="1:1" x14ac:dyDescent="0.35">
      <c r="A3030" t="str">
        <f t="shared" si="47"/>
        <v/>
      </c>
    </row>
    <row r="3031" spans="1:1" x14ac:dyDescent="0.35">
      <c r="A3031" t="str">
        <f t="shared" si="47"/>
        <v/>
      </c>
    </row>
    <row r="3032" spans="1:1" x14ac:dyDescent="0.35">
      <c r="A3032" t="str">
        <f t="shared" si="47"/>
        <v/>
      </c>
    </row>
    <row r="3033" spans="1:1" x14ac:dyDescent="0.35">
      <c r="A3033" t="str">
        <f t="shared" si="47"/>
        <v/>
      </c>
    </row>
    <row r="3034" spans="1:1" x14ac:dyDescent="0.35">
      <c r="A3034" t="str">
        <f t="shared" si="47"/>
        <v/>
      </c>
    </row>
    <row r="3035" spans="1:1" x14ac:dyDescent="0.35">
      <c r="A3035" t="str">
        <f t="shared" si="47"/>
        <v/>
      </c>
    </row>
    <row r="3036" spans="1:1" x14ac:dyDescent="0.35">
      <c r="A3036" t="str">
        <f t="shared" si="47"/>
        <v/>
      </c>
    </row>
    <row r="3037" spans="1:1" x14ac:dyDescent="0.35">
      <c r="A3037" t="str">
        <f t="shared" si="47"/>
        <v/>
      </c>
    </row>
    <row r="3038" spans="1:1" x14ac:dyDescent="0.35">
      <c r="A3038" t="str">
        <f t="shared" si="47"/>
        <v/>
      </c>
    </row>
    <row r="3039" spans="1:1" x14ac:dyDescent="0.35">
      <c r="A3039" t="str">
        <f t="shared" si="47"/>
        <v/>
      </c>
    </row>
    <row r="3040" spans="1:1" x14ac:dyDescent="0.35">
      <c r="A3040" t="str">
        <f t="shared" si="47"/>
        <v/>
      </c>
    </row>
    <row r="3041" spans="1:1" x14ac:dyDescent="0.35">
      <c r="A3041" t="str">
        <f t="shared" si="47"/>
        <v/>
      </c>
    </row>
    <row r="3042" spans="1:1" x14ac:dyDescent="0.35">
      <c r="A3042" t="str">
        <f t="shared" si="47"/>
        <v/>
      </c>
    </row>
    <row r="3043" spans="1:1" x14ac:dyDescent="0.35">
      <c r="A3043" t="str">
        <f t="shared" si="47"/>
        <v/>
      </c>
    </row>
    <row r="3044" spans="1:1" x14ac:dyDescent="0.35">
      <c r="A3044" t="str">
        <f t="shared" si="47"/>
        <v/>
      </c>
    </row>
    <row r="3045" spans="1:1" x14ac:dyDescent="0.35">
      <c r="A3045" t="str">
        <f t="shared" si="47"/>
        <v/>
      </c>
    </row>
    <row r="3046" spans="1:1" x14ac:dyDescent="0.35">
      <c r="A3046" t="str">
        <f t="shared" si="47"/>
        <v/>
      </c>
    </row>
    <row r="3047" spans="1:1" x14ac:dyDescent="0.35">
      <c r="A3047" t="str">
        <f t="shared" si="47"/>
        <v/>
      </c>
    </row>
    <row r="3048" spans="1:1" x14ac:dyDescent="0.35">
      <c r="A3048" t="str">
        <f t="shared" si="47"/>
        <v/>
      </c>
    </row>
    <row r="3049" spans="1:1" x14ac:dyDescent="0.35">
      <c r="A3049" t="str">
        <f t="shared" si="47"/>
        <v/>
      </c>
    </row>
    <row r="3050" spans="1:1" x14ac:dyDescent="0.35">
      <c r="A3050" t="str">
        <f t="shared" si="47"/>
        <v/>
      </c>
    </row>
    <row r="3051" spans="1:1" x14ac:dyDescent="0.35">
      <c r="A3051" t="str">
        <f t="shared" si="47"/>
        <v/>
      </c>
    </row>
    <row r="3052" spans="1:1" x14ac:dyDescent="0.35">
      <c r="A3052" t="str">
        <f t="shared" si="47"/>
        <v/>
      </c>
    </row>
    <row r="3053" spans="1:1" x14ac:dyDescent="0.35">
      <c r="A3053" t="str">
        <f t="shared" si="47"/>
        <v/>
      </c>
    </row>
    <row r="3054" spans="1:1" x14ac:dyDescent="0.35">
      <c r="A3054" t="str">
        <f t="shared" si="47"/>
        <v/>
      </c>
    </row>
    <row r="3055" spans="1:1" x14ac:dyDescent="0.35">
      <c r="A3055" t="str">
        <f t="shared" si="47"/>
        <v/>
      </c>
    </row>
    <row r="3056" spans="1:1" x14ac:dyDescent="0.35">
      <c r="A3056" t="str">
        <f t="shared" si="47"/>
        <v/>
      </c>
    </row>
    <row r="3057" spans="1:1" x14ac:dyDescent="0.35">
      <c r="A3057" t="str">
        <f t="shared" si="47"/>
        <v/>
      </c>
    </row>
    <row r="3058" spans="1:1" x14ac:dyDescent="0.35">
      <c r="A3058" t="str">
        <f t="shared" si="47"/>
        <v/>
      </c>
    </row>
    <row r="3059" spans="1:1" x14ac:dyDescent="0.35">
      <c r="A3059" t="str">
        <f t="shared" si="47"/>
        <v/>
      </c>
    </row>
    <row r="3060" spans="1:1" x14ac:dyDescent="0.35">
      <c r="A3060" t="str">
        <f t="shared" si="47"/>
        <v/>
      </c>
    </row>
    <row r="3061" spans="1:1" x14ac:dyDescent="0.35">
      <c r="A3061" t="str">
        <f t="shared" si="47"/>
        <v/>
      </c>
    </row>
    <row r="3062" spans="1:1" x14ac:dyDescent="0.35">
      <c r="A3062" t="str">
        <f t="shared" si="47"/>
        <v/>
      </c>
    </row>
    <row r="3063" spans="1:1" x14ac:dyDescent="0.35">
      <c r="A3063" t="str">
        <f t="shared" si="47"/>
        <v/>
      </c>
    </row>
    <row r="3064" spans="1:1" x14ac:dyDescent="0.35">
      <c r="A3064" t="str">
        <f t="shared" si="47"/>
        <v/>
      </c>
    </row>
    <row r="3065" spans="1:1" x14ac:dyDescent="0.35">
      <c r="A3065" t="str">
        <f t="shared" si="47"/>
        <v/>
      </c>
    </row>
    <row r="3066" spans="1:1" x14ac:dyDescent="0.35">
      <c r="A3066" t="str">
        <f t="shared" si="47"/>
        <v/>
      </c>
    </row>
    <row r="3067" spans="1:1" x14ac:dyDescent="0.35">
      <c r="A3067" t="str">
        <f t="shared" si="47"/>
        <v/>
      </c>
    </row>
    <row r="3068" spans="1:1" x14ac:dyDescent="0.35">
      <c r="A3068" t="str">
        <f t="shared" si="47"/>
        <v/>
      </c>
    </row>
    <row r="3069" spans="1:1" x14ac:dyDescent="0.35">
      <c r="A3069" t="str">
        <f t="shared" si="47"/>
        <v/>
      </c>
    </row>
    <row r="3070" spans="1:1" x14ac:dyDescent="0.35">
      <c r="A3070" t="str">
        <f t="shared" si="47"/>
        <v/>
      </c>
    </row>
    <row r="3071" spans="1:1" x14ac:dyDescent="0.35">
      <c r="A3071" t="str">
        <f t="shared" si="47"/>
        <v/>
      </c>
    </row>
    <row r="3072" spans="1:1" x14ac:dyDescent="0.35">
      <c r="A3072" t="str">
        <f t="shared" si="47"/>
        <v/>
      </c>
    </row>
    <row r="3073" spans="1:1" x14ac:dyDescent="0.35">
      <c r="A3073" t="str">
        <f t="shared" si="47"/>
        <v/>
      </c>
    </row>
    <row r="3074" spans="1:1" x14ac:dyDescent="0.35">
      <c r="A3074" t="str">
        <f t="shared" si="47"/>
        <v/>
      </c>
    </row>
    <row r="3075" spans="1:1" x14ac:dyDescent="0.35">
      <c r="A3075" t="str">
        <f t="shared" ref="A3075:A3138" si="48">C3075&amp;D3075&amp;E3075&amp;G3075&amp;H3075&amp;I3075</f>
        <v/>
      </c>
    </row>
    <row r="3076" spans="1:1" x14ac:dyDescent="0.35">
      <c r="A3076" t="str">
        <f t="shared" si="48"/>
        <v/>
      </c>
    </row>
    <row r="3077" spans="1:1" x14ac:dyDescent="0.35">
      <c r="A3077" t="str">
        <f t="shared" si="48"/>
        <v/>
      </c>
    </row>
    <row r="3078" spans="1:1" x14ac:dyDescent="0.35">
      <c r="A3078" t="str">
        <f t="shared" si="48"/>
        <v/>
      </c>
    </row>
    <row r="3079" spans="1:1" x14ac:dyDescent="0.35">
      <c r="A3079" t="str">
        <f t="shared" si="48"/>
        <v/>
      </c>
    </row>
    <row r="3080" spans="1:1" x14ac:dyDescent="0.35">
      <c r="A3080" t="str">
        <f t="shared" si="48"/>
        <v/>
      </c>
    </row>
    <row r="3081" spans="1:1" x14ac:dyDescent="0.35">
      <c r="A3081" t="str">
        <f t="shared" si="48"/>
        <v/>
      </c>
    </row>
    <row r="3082" spans="1:1" x14ac:dyDescent="0.35">
      <c r="A3082" t="str">
        <f t="shared" si="48"/>
        <v/>
      </c>
    </row>
    <row r="3083" spans="1:1" x14ac:dyDescent="0.35">
      <c r="A3083" t="str">
        <f t="shared" si="48"/>
        <v/>
      </c>
    </row>
    <row r="3084" spans="1:1" x14ac:dyDescent="0.35">
      <c r="A3084" t="str">
        <f t="shared" si="48"/>
        <v/>
      </c>
    </row>
    <row r="3085" spans="1:1" x14ac:dyDescent="0.35">
      <c r="A3085" t="str">
        <f t="shared" si="48"/>
        <v/>
      </c>
    </row>
    <row r="3086" spans="1:1" x14ac:dyDescent="0.35">
      <c r="A3086" t="str">
        <f t="shared" si="48"/>
        <v/>
      </c>
    </row>
    <row r="3087" spans="1:1" x14ac:dyDescent="0.35">
      <c r="A3087" t="str">
        <f t="shared" si="48"/>
        <v/>
      </c>
    </row>
    <row r="3088" spans="1:1" x14ac:dyDescent="0.35">
      <c r="A3088" t="str">
        <f t="shared" si="48"/>
        <v/>
      </c>
    </row>
    <row r="3089" spans="1:1" x14ac:dyDescent="0.35">
      <c r="A3089" t="str">
        <f t="shared" si="48"/>
        <v/>
      </c>
    </row>
    <row r="3090" spans="1:1" x14ac:dyDescent="0.35">
      <c r="A3090" t="str">
        <f t="shared" si="48"/>
        <v/>
      </c>
    </row>
    <row r="3091" spans="1:1" x14ac:dyDescent="0.35">
      <c r="A3091" t="str">
        <f t="shared" si="48"/>
        <v/>
      </c>
    </row>
    <row r="3092" spans="1:1" x14ac:dyDescent="0.35">
      <c r="A3092" t="str">
        <f t="shared" si="48"/>
        <v/>
      </c>
    </row>
    <row r="3093" spans="1:1" x14ac:dyDescent="0.35">
      <c r="A3093" t="str">
        <f t="shared" si="48"/>
        <v/>
      </c>
    </row>
    <row r="3094" spans="1:1" x14ac:dyDescent="0.35">
      <c r="A3094" t="str">
        <f t="shared" si="48"/>
        <v/>
      </c>
    </row>
    <row r="3095" spans="1:1" x14ac:dyDescent="0.35">
      <c r="A3095" t="str">
        <f t="shared" si="48"/>
        <v/>
      </c>
    </row>
    <row r="3096" spans="1:1" x14ac:dyDescent="0.35">
      <c r="A3096" t="str">
        <f t="shared" si="48"/>
        <v/>
      </c>
    </row>
    <row r="3097" spans="1:1" x14ac:dyDescent="0.35">
      <c r="A3097" t="str">
        <f t="shared" si="48"/>
        <v/>
      </c>
    </row>
    <row r="3098" spans="1:1" x14ac:dyDescent="0.35">
      <c r="A3098" t="str">
        <f t="shared" si="48"/>
        <v/>
      </c>
    </row>
    <row r="3099" spans="1:1" x14ac:dyDescent="0.35">
      <c r="A3099" t="str">
        <f t="shared" si="48"/>
        <v/>
      </c>
    </row>
    <row r="3100" spans="1:1" x14ac:dyDescent="0.35">
      <c r="A3100" t="str">
        <f t="shared" si="48"/>
        <v/>
      </c>
    </row>
    <row r="3101" spans="1:1" x14ac:dyDescent="0.35">
      <c r="A3101" t="str">
        <f t="shared" si="48"/>
        <v/>
      </c>
    </row>
    <row r="3102" spans="1:1" x14ac:dyDescent="0.35">
      <c r="A3102" t="str">
        <f t="shared" si="48"/>
        <v/>
      </c>
    </row>
    <row r="3103" spans="1:1" x14ac:dyDescent="0.35">
      <c r="A3103" t="str">
        <f t="shared" si="48"/>
        <v/>
      </c>
    </row>
    <row r="3104" spans="1:1" x14ac:dyDescent="0.35">
      <c r="A3104" t="str">
        <f t="shared" si="48"/>
        <v/>
      </c>
    </row>
    <row r="3105" spans="1:1" x14ac:dyDescent="0.35">
      <c r="A3105" t="str">
        <f t="shared" si="48"/>
        <v/>
      </c>
    </row>
    <row r="3106" spans="1:1" x14ac:dyDescent="0.35">
      <c r="A3106" t="str">
        <f t="shared" si="48"/>
        <v/>
      </c>
    </row>
    <row r="3107" spans="1:1" x14ac:dyDescent="0.35">
      <c r="A3107" t="str">
        <f t="shared" si="48"/>
        <v/>
      </c>
    </row>
    <row r="3108" spans="1:1" x14ac:dyDescent="0.35">
      <c r="A3108" t="str">
        <f t="shared" si="48"/>
        <v/>
      </c>
    </row>
    <row r="3109" spans="1:1" x14ac:dyDescent="0.35">
      <c r="A3109" t="str">
        <f t="shared" si="48"/>
        <v/>
      </c>
    </row>
    <row r="3110" spans="1:1" x14ac:dyDescent="0.35">
      <c r="A3110" t="str">
        <f t="shared" si="48"/>
        <v/>
      </c>
    </row>
    <row r="3111" spans="1:1" x14ac:dyDescent="0.35">
      <c r="A3111" t="str">
        <f t="shared" si="48"/>
        <v/>
      </c>
    </row>
    <row r="3112" spans="1:1" x14ac:dyDescent="0.35">
      <c r="A3112" t="str">
        <f t="shared" si="48"/>
        <v/>
      </c>
    </row>
    <row r="3113" spans="1:1" x14ac:dyDescent="0.35">
      <c r="A3113" t="str">
        <f t="shared" si="48"/>
        <v/>
      </c>
    </row>
    <row r="3114" spans="1:1" x14ac:dyDescent="0.35">
      <c r="A3114" t="str">
        <f t="shared" si="48"/>
        <v/>
      </c>
    </row>
    <row r="3115" spans="1:1" x14ac:dyDescent="0.35">
      <c r="A3115" t="str">
        <f t="shared" si="48"/>
        <v/>
      </c>
    </row>
    <row r="3116" spans="1:1" x14ac:dyDescent="0.35">
      <c r="A3116" t="str">
        <f t="shared" si="48"/>
        <v/>
      </c>
    </row>
    <row r="3117" spans="1:1" x14ac:dyDescent="0.35">
      <c r="A3117" t="str">
        <f t="shared" si="48"/>
        <v/>
      </c>
    </row>
    <row r="3118" spans="1:1" x14ac:dyDescent="0.35">
      <c r="A3118" t="str">
        <f t="shared" si="48"/>
        <v/>
      </c>
    </row>
    <row r="3119" spans="1:1" x14ac:dyDescent="0.35">
      <c r="A3119" t="str">
        <f t="shared" si="48"/>
        <v/>
      </c>
    </row>
    <row r="3120" spans="1:1" x14ac:dyDescent="0.35">
      <c r="A3120" t="str">
        <f t="shared" si="48"/>
        <v/>
      </c>
    </row>
    <row r="3121" spans="1:1" x14ac:dyDescent="0.35">
      <c r="A3121" t="str">
        <f t="shared" si="48"/>
        <v/>
      </c>
    </row>
    <row r="3122" spans="1:1" x14ac:dyDescent="0.35">
      <c r="A3122" t="str">
        <f t="shared" si="48"/>
        <v/>
      </c>
    </row>
    <row r="3123" spans="1:1" x14ac:dyDescent="0.35">
      <c r="A3123" t="str">
        <f t="shared" si="48"/>
        <v/>
      </c>
    </row>
    <row r="3124" spans="1:1" x14ac:dyDescent="0.35">
      <c r="A3124" t="str">
        <f t="shared" si="48"/>
        <v/>
      </c>
    </row>
    <row r="3125" spans="1:1" x14ac:dyDescent="0.35">
      <c r="A3125" t="str">
        <f t="shared" si="48"/>
        <v/>
      </c>
    </row>
    <row r="3126" spans="1:1" x14ac:dyDescent="0.35">
      <c r="A3126" t="str">
        <f t="shared" si="48"/>
        <v/>
      </c>
    </row>
    <row r="3127" spans="1:1" x14ac:dyDescent="0.35">
      <c r="A3127" t="str">
        <f t="shared" si="48"/>
        <v/>
      </c>
    </row>
    <row r="3128" spans="1:1" x14ac:dyDescent="0.35">
      <c r="A3128" t="str">
        <f t="shared" si="48"/>
        <v/>
      </c>
    </row>
    <row r="3129" spans="1:1" x14ac:dyDescent="0.35">
      <c r="A3129" t="str">
        <f t="shared" si="48"/>
        <v/>
      </c>
    </row>
    <row r="3130" spans="1:1" x14ac:dyDescent="0.35">
      <c r="A3130" t="str">
        <f t="shared" si="48"/>
        <v/>
      </c>
    </row>
    <row r="3131" spans="1:1" x14ac:dyDescent="0.35">
      <c r="A3131" t="str">
        <f t="shared" si="48"/>
        <v/>
      </c>
    </row>
    <row r="3132" spans="1:1" x14ac:dyDescent="0.35">
      <c r="A3132" t="str">
        <f t="shared" si="48"/>
        <v/>
      </c>
    </row>
    <row r="3133" spans="1:1" x14ac:dyDescent="0.35">
      <c r="A3133" t="str">
        <f t="shared" si="48"/>
        <v/>
      </c>
    </row>
    <row r="3134" spans="1:1" x14ac:dyDescent="0.35">
      <c r="A3134" t="str">
        <f t="shared" si="48"/>
        <v/>
      </c>
    </row>
    <row r="3135" spans="1:1" x14ac:dyDescent="0.35">
      <c r="A3135" t="str">
        <f t="shared" si="48"/>
        <v/>
      </c>
    </row>
    <row r="3136" spans="1:1" x14ac:dyDescent="0.35">
      <c r="A3136" t="str">
        <f t="shared" si="48"/>
        <v/>
      </c>
    </row>
    <row r="3137" spans="1:1" x14ac:dyDescent="0.35">
      <c r="A3137" t="str">
        <f t="shared" si="48"/>
        <v/>
      </c>
    </row>
    <row r="3138" spans="1:1" x14ac:dyDescent="0.35">
      <c r="A3138" t="str">
        <f t="shared" si="48"/>
        <v/>
      </c>
    </row>
    <row r="3139" spans="1:1" x14ac:dyDescent="0.35">
      <c r="A3139" t="str">
        <f t="shared" ref="A3139:A3202" si="49">C3139&amp;D3139&amp;E3139&amp;G3139&amp;H3139&amp;I3139</f>
        <v/>
      </c>
    </row>
    <row r="3140" spans="1:1" x14ac:dyDescent="0.35">
      <c r="A3140" t="str">
        <f t="shared" si="49"/>
        <v/>
      </c>
    </row>
    <row r="3141" spans="1:1" x14ac:dyDescent="0.35">
      <c r="A3141" t="str">
        <f t="shared" si="49"/>
        <v/>
      </c>
    </row>
    <row r="3142" spans="1:1" x14ac:dyDescent="0.35">
      <c r="A3142" t="str">
        <f t="shared" si="49"/>
        <v/>
      </c>
    </row>
    <row r="3143" spans="1:1" x14ac:dyDescent="0.35">
      <c r="A3143" t="str">
        <f t="shared" si="49"/>
        <v/>
      </c>
    </row>
    <row r="3144" spans="1:1" x14ac:dyDescent="0.35">
      <c r="A3144" t="str">
        <f t="shared" si="49"/>
        <v/>
      </c>
    </row>
    <row r="3145" spans="1:1" x14ac:dyDescent="0.35">
      <c r="A3145" t="str">
        <f t="shared" si="49"/>
        <v/>
      </c>
    </row>
    <row r="3146" spans="1:1" x14ac:dyDescent="0.35">
      <c r="A3146" t="str">
        <f t="shared" si="49"/>
        <v/>
      </c>
    </row>
    <row r="3147" spans="1:1" x14ac:dyDescent="0.35">
      <c r="A3147" t="str">
        <f t="shared" si="49"/>
        <v/>
      </c>
    </row>
    <row r="3148" spans="1:1" x14ac:dyDescent="0.35">
      <c r="A3148" t="str">
        <f t="shared" si="49"/>
        <v/>
      </c>
    </row>
    <row r="3149" spans="1:1" x14ac:dyDescent="0.35">
      <c r="A3149" t="str">
        <f t="shared" si="49"/>
        <v/>
      </c>
    </row>
    <row r="3150" spans="1:1" x14ac:dyDescent="0.35">
      <c r="A3150" t="str">
        <f t="shared" si="49"/>
        <v/>
      </c>
    </row>
    <row r="3151" spans="1:1" x14ac:dyDescent="0.35">
      <c r="A3151" t="str">
        <f t="shared" si="49"/>
        <v/>
      </c>
    </row>
    <row r="3152" spans="1:1" x14ac:dyDescent="0.35">
      <c r="A3152" t="str">
        <f t="shared" si="49"/>
        <v/>
      </c>
    </row>
    <row r="3153" spans="1:1" x14ac:dyDescent="0.35">
      <c r="A3153" t="str">
        <f t="shared" si="49"/>
        <v/>
      </c>
    </row>
    <row r="3154" spans="1:1" x14ac:dyDescent="0.35">
      <c r="A3154" t="str">
        <f t="shared" si="49"/>
        <v/>
      </c>
    </row>
    <row r="3155" spans="1:1" x14ac:dyDescent="0.35">
      <c r="A3155" t="str">
        <f t="shared" si="49"/>
        <v/>
      </c>
    </row>
    <row r="3156" spans="1:1" x14ac:dyDescent="0.35">
      <c r="A3156" t="str">
        <f t="shared" si="49"/>
        <v/>
      </c>
    </row>
    <row r="3157" spans="1:1" x14ac:dyDescent="0.35">
      <c r="A3157" t="str">
        <f t="shared" si="49"/>
        <v/>
      </c>
    </row>
    <row r="3158" spans="1:1" x14ac:dyDescent="0.35">
      <c r="A3158" t="str">
        <f t="shared" si="49"/>
        <v/>
      </c>
    </row>
    <row r="3159" spans="1:1" x14ac:dyDescent="0.35">
      <c r="A3159" t="str">
        <f t="shared" si="49"/>
        <v/>
      </c>
    </row>
    <row r="3160" spans="1:1" x14ac:dyDescent="0.35">
      <c r="A3160" t="str">
        <f t="shared" si="49"/>
        <v/>
      </c>
    </row>
    <row r="3161" spans="1:1" x14ac:dyDescent="0.35">
      <c r="A3161" t="str">
        <f t="shared" si="49"/>
        <v/>
      </c>
    </row>
    <row r="3162" spans="1:1" x14ac:dyDescent="0.35">
      <c r="A3162" t="str">
        <f t="shared" si="49"/>
        <v/>
      </c>
    </row>
    <row r="3163" spans="1:1" x14ac:dyDescent="0.35">
      <c r="A3163" t="str">
        <f t="shared" si="49"/>
        <v/>
      </c>
    </row>
    <row r="3164" spans="1:1" x14ac:dyDescent="0.35">
      <c r="A3164" t="str">
        <f t="shared" si="49"/>
        <v/>
      </c>
    </row>
    <row r="3165" spans="1:1" x14ac:dyDescent="0.35">
      <c r="A3165" t="str">
        <f t="shared" si="49"/>
        <v/>
      </c>
    </row>
    <row r="3166" spans="1:1" x14ac:dyDescent="0.35">
      <c r="A3166" t="str">
        <f t="shared" si="49"/>
        <v/>
      </c>
    </row>
    <row r="3167" spans="1:1" x14ac:dyDescent="0.35">
      <c r="A3167" t="str">
        <f t="shared" si="49"/>
        <v/>
      </c>
    </row>
    <row r="3168" spans="1:1" x14ac:dyDescent="0.35">
      <c r="A3168" t="str">
        <f t="shared" si="49"/>
        <v/>
      </c>
    </row>
    <row r="3169" spans="1:1" x14ac:dyDescent="0.35">
      <c r="A3169" t="str">
        <f t="shared" si="49"/>
        <v/>
      </c>
    </row>
    <row r="3170" spans="1:1" x14ac:dyDescent="0.35">
      <c r="A3170" t="str">
        <f t="shared" si="49"/>
        <v/>
      </c>
    </row>
    <row r="3171" spans="1:1" x14ac:dyDescent="0.35">
      <c r="A3171" t="str">
        <f t="shared" si="49"/>
        <v/>
      </c>
    </row>
    <row r="3172" spans="1:1" x14ac:dyDescent="0.35">
      <c r="A3172" t="str">
        <f t="shared" si="49"/>
        <v/>
      </c>
    </row>
    <row r="3173" spans="1:1" x14ac:dyDescent="0.35">
      <c r="A3173" t="str">
        <f t="shared" si="49"/>
        <v/>
      </c>
    </row>
    <row r="3174" spans="1:1" x14ac:dyDescent="0.35">
      <c r="A3174" t="str">
        <f t="shared" si="49"/>
        <v/>
      </c>
    </row>
    <row r="3175" spans="1:1" x14ac:dyDescent="0.35">
      <c r="A3175" t="str">
        <f t="shared" si="49"/>
        <v/>
      </c>
    </row>
    <row r="3176" spans="1:1" x14ac:dyDescent="0.35">
      <c r="A3176" t="str">
        <f t="shared" si="49"/>
        <v/>
      </c>
    </row>
    <row r="3177" spans="1:1" x14ac:dyDescent="0.35">
      <c r="A3177" t="str">
        <f t="shared" si="49"/>
        <v/>
      </c>
    </row>
    <row r="3178" spans="1:1" x14ac:dyDescent="0.35">
      <c r="A3178" t="str">
        <f t="shared" si="49"/>
        <v/>
      </c>
    </row>
    <row r="3179" spans="1:1" x14ac:dyDescent="0.35">
      <c r="A3179" t="str">
        <f t="shared" si="49"/>
        <v/>
      </c>
    </row>
    <row r="3180" spans="1:1" x14ac:dyDescent="0.35">
      <c r="A3180" t="str">
        <f t="shared" si="49"/>
        <v/>
      </c>
    </row>
    <row r="3181" spans="1:1" x14ac:dyDescent="0.35">
      <c r="A3181" t="str">
        <f t="shared" si="49"/>
        <v/>
      </c>
    </row>
    <row r="3182" spans="1:1" x14ac:dyDescent="0.35">
      <c r="A3182" t="str">
        <f t="shared" si="49"/>
        <v/>
      </c>
    </row>
    <row r="3183" spans="1:1" x14ac:dyDescent="0.35">
      <c r="A3183" t="str">
        <f t="shared" si="49"/>
        <v/>
      </c>
    </row>
    <row r="3184" spans="1:1" x14ac:dyDescent="0.35">
      <c r="A3184" t="str">
        <f t="shared" si="49"/>
        <v/>
      </c>
    </row>
    <row r="3185" spans="1:1" x14ac:dyDescent="0.35">
      <c r="A3185" t="str">
        <f t="shared" si="49"/>
        <v/>
      </c>
    </row>
    <row r="3186" spans="1:1" x14ac:dyDescent="0.35">
      <c r="A3186" t="str">
        <f t="shared" si="49"/>
        <v/>
      </c>
    </row>
    <row r="3187" spans="1:1" x14ac:dyDescent="0.35">
      <c r="A3187" t="str">
        <f t="shared" si="49"/>
        <v/>
      </c>
    </row>
    <row r="3188" spans="1:1" x14ac:dyDescent="0.35">
      <c r="A3188" t="str">
        <f t="shared" si="49"/>
        <v/>
      </c>
    </row>
    <row r="3189" spans="1:1" x14ac:dyDescent="0.35">
      <c r="A3189" t="str">
        <f t="shared" si="49"/>
        <v/>
      </c>
    </row>
    <row r="3190" spans="1:1" x14ac:dyDescent="0.35">
      <c r="A3190" t="str">
        <f t="shared" si="49"/>
        <v/>
      </c>
    </row>
    <row r="3191" spans="1:1" x14ac:dyDescent="0.35">
      <c r="A3191" t="str">
        <f t="shared" si="49"/>
        <v/>
      </c>
    </row>
    <row r="3192" spans="1:1" x14ac:dyDescent="0.35">
      <c r="A3192" t="str">
        <f t="shared" si="49"/>
        <v/>
      </c>
    </row>
    <row r="3193" spans="1:1" x14ac:dyDescent="0.35">
      <c r="A3193" t="str">
        <f t="shared" si="49"/>
        <v/>
      </c>
    </row>
    <row r="3194" spans="1:1" x14ac:dyDescent="0.35">
      <c r="A3194" t="str">
        <f t="shared" si="49"/>
        <v/>
      </c>
    </row>
    <row r="3195" spans="1:1" x14ac:dyDescent="0.35">
      <c r="A3195" t="str">
        <f t="shared" si="49"/>
        <v/>
      </c>
    </row>
    <row r="3196" spans="1:1" x14ac:dyDescent="0.35">
      <c r="A3196" t="str">
        <f t="shared" si="49"/>
        <v/>
      </c>
    </row>
    <row r="3197" spans="1:1" x14ac:dyDescent="0.35">
      <c r="A3197" t="str">
        <f t="shared" si="49"/>
        <v/>
      </c>
    </row>
    <row r="3198" spans="1:1" x14ac:dyDescent="0.35">
      <c r="A3198" t="str">
        <f t="shared" si="49"/>
        <v/>
      </c>
    </row>
    <row r="3199" spans="1:1" x14ac:dyDescent="0.35">
      <c r="A3199" t="str">
        <f t="shared" si="49"/>
        <v/>
      </c>
    </row>
    <row r="3200" spans="1:1" x14ac:dyDescent="0.35">
      <c r="A3200" t="str">
        <f t="shared" si="49"/>
        <v/>
      </c>
    </row>
    <row r="3201" spans="1:1" x14ac:dyDescent="0.35">
      <c r="A3201" t="str">
        <f t="shared" si="49"/>
        <v/>
      </c>
    </row>
    <row r="3202" spans="1:1" x14ac:dyDescent="0.35">
      <c r="A3202" t="str">
        <f t="shared" si="49"/>
        <v/>
      </c>
    </row>
    <row r="3203" spans="1:1" x14ac:dyDescent="0.35">
      <c r="A3203" t="str">
        <f t="shared" ref="A3203:A3266" si="50">C3203&amp;D3203&amp;E3203&amp;G3203&amp;H3203&amp;I3203</f>
        <v/>
      </c>
    </row>
    <row r="3204" spans="1:1" x14ac:dyDescent="0.35">
      <c r="A3204" t="str">
        <f t="shared" si="50"/>
        <v/>
      </c>
    </row>
    <row r="3205" spans="1:1" x14ac:dyDescent="0.35">
      <c r="A3205" t="str">
        <f t="shared" si="50"/>
        <v/>
      </c>
    </row>
    <row r="3206" spans="1:1" x14ac:dyDescent="0.35">
      <c r="A3206" t="str">
        <f t="shared" si="50"/>
        <v/>
      </c>
    </row>
    <row r="3207" spans="1:1" x14ac:dyDescent="0.35">
      <c r="A3207" t="str">
        <f t="shared" si="50"/>
        <v/>
      </c>
    </row>
    <row r="3208" spans="1:1" x14ac:dyDescent="0.35">
      <c r="A3208" t="str">
        <f t="shared" si="50"/>
        <v/>
      </c>
    </row>
    <row r="3209" spans="1:1" x14ac:dyDescent="0.35">
      <c r="A3209" t="str">
        <f t="shared" si="50"/>
        <v/>
      </c>
    </row>
    <row r="3210" spans="1:1" x14ac:dyDescent="0.35">
      <c r="A3210" t="str">
        <f t="shared" si="50"/>
        <v/>
      </c>
    </row>
    <row r="3211" spans="1:1" x14ac:dyDescent="0.35">
      <c r="A3211" t="str">
        <f t="shared" si="50"/>
        <v/>
      </c>
    </row>
    <row r="3212" spans="1:1" x14ac:dyDescent="0.35">
      <c r="A3212" t="str">
        <f t="shared" si="50"/>
        <v/>
      </c>
    </row>
    <row r="3213" spans="1:1" x14ac:dyDescent="0.35">
      <c r="A3213" t="str">
        <f t="shared" si="50"/>
        <v/>
      </c>
    </row>
    <row r="3214" spans="1:1" x14ac:dyDescent="0.35">
      <c r="A3214" t="str">
        <f t="shared" si="50"/>
        <v/>
      </c>
    </row>
    <row r="3215" spans="1:1" x14ac:dyDescent="0.35">
      <c r="A3215" t="str">
        <f t="shared" si="50"/>
        <v/>
      </c>
    </row>
    <row r="3216" spans="1:1" x14ac:dyDescent="0.35">
      <c r="A3216" t="str">
        <f t="shared" si="50"/>
        <v/>
      </c>
    </row>
    <row r="3217" spans="1:1" x14ac:dyDescent="0.35">
      <c r="A3217" t="str">
        <f t="shared" si="50"/>
        <v/>
      </c>
    </row>
    <row r="3218" spans="1:1" x14ac:dyDescent="0.35">
      <c r="A3218" t="str">
        <f t="shared" si="50"/>
        <v/>
      </c>
    </row>
    <row r="3219" spans="1:1" x14ac:dyDescent="0.35">
      <c r="A3219" t="str">
        <f t="shared" si="50"/>
        <v/>
      </c>
    </row>
    <row r="3220" spans="1:1" x14ac:dyDescent="0.35">
      <c r="A3220" t="str">
        <f t="shared" si="50"/>
        <v/>
      </c>
    </row>
    <row r="3221" spans="1:1" x14ac:dyDescent="0.35">
      <c r="A3221" t="str">
        <f t="shared" si="50"/>
        <v/>
      </c>
    </row>
    <row r="3222" spans="1:1" x14ac:dyDescent="0.35">
      <c r="A3222" t="str">
        <f t="shared" si="50"/>
        <v/>
      </c>
    </row>
    <row r="3223" spans="1:1" x14ac:dyDescent="0.35">
      <c r="A3223" t="str">
        <f t="shared" si="50"/>
        <v/>
      </c>
    </row>
    <row r="3224" spans="1:1" x14ac:dyDescent="0.35">
      <c r="A3224" t="str">
        <f t="shared" si="50"/>
        <v/>
      </c>
    </row>
    <row r="3225" spans="1:1" x14ac:dyDescent="0.35">
      <c r="A3225" t="str">
        <f t="shared" si="50"/>
        <v/>
      </c>
    </row>
    <row r="3226" spans="1:1" x14ac:dyDescent="0.35">
      <c r="A3226" t="str">
        <f t="shared" si="50"/>
        <v/>
      </c>
    </row>
    <row r="3227" spans="1:1" x14ac:dyDescent="0.35">
      <c r="A3227" t="str">
        <f t="shared" si="50"/>
        <v/>
      </c>
    </row>
    <row r="3228" spans="1:1" x14ac:dyDescent="0.35">
      <c r="A3228" t="str">
        <f t="shared" si="50"/>
        <v/>
      </c>
    </row>
    <row r="3229" spans="1:1" x14ac:dyDescent="0.35">
      <c r="A3229" t="str">
        <f t="shared" si="50"/>
        <v/>
      </c>
    </row>
    <row r="3230" spans="1:1" x14ac:dyDescent="0.35">
      <c r="A3230" t="str">
        <f t="shared" si="50"/>
        <v/>
      </c>
    </row>
    <row r="3231" spans="1:1" x14ac:dyDescent="0.35">
      <c r="A3231" t="str">
        <f t="shared" si="50"/>
        <v/>
      </c>
    </row>
    <row r="3232" spans="1:1" x14ac:dyDescent="0.35">
      <c r="A3232" t="str">
        <f t="shared" si="50"/>
        <v/>
      </c>
    </row>
    <row r="3233" spans="1:1" x14ac:dyDescent="0.35">
      <c r="A3233" t="str">
        <f t="shared" si="50"/>
        <v/>
      </c>
    </row>
    <row r="3234" spans="1:1" x14ac:dyDescent="0.35">
      <c r="A3234" t="str">
        <f t="shared" si="50"/>
        <v/>
      </c>
    </row>
    <row r="3235" spans="1:1" x14ac:dyDescent="0.35">
      <c r="A3235" t="str">
        <f t="shared" si="50"/>
        <v/>
      </c>
    </row>
    <row r="3236" spans="1:1" x14ac:dyDescent="0.35">
      <c r="A3236" t="str">
        <f t="shared" si="50"/>
        <v/>
      </c>
    </row>
    <row r="3237" spans="1:1" x14ac:dyDescent="0.35">
      <c r="A3237" t="str">
        <f t="shared" si="50"/>
        <v/>
      </c>
    </row>
    <row r="3238" spans="1:1" x14ac:dyDescent="0.35">
      <c r="A3238" t="str">
        <f t="shared" si="50"/>
        <v/>
      </c>
    </row>
    <row r="3239" spans="1:1" x14ac:dyDescent="0.35">
      <c r="A3239" t="str">
        <f t="shared" si="50"/>
        <v/>
      </c>
    </row>
    <row r="3240" spans="1:1" x14ac:dyDescent="0.35">
      <c r="A3240" t="str">
        <f t="shared" si="50"/>
        <v/>
      </c>
    </row>
    <row r="3241" spans="1:1" x14ac:dyDescent="0.35">
      <c r="A3241" t="str">
        <f t="shared" si="50"/>
        <v/>
      </c>
    </row>
    <row r="3242" spans="1:1" x14ac:dyDescent="0.35">
      <c r="A3242" t="str">
        <f t="shared" si="50"/>
        <v/>
      </c>
    </row>
    <row r="3243" spans="1:1" x14ac:dyDescent="0.35">
      <c r="A3243" t="str">
        <f t="shared" si="50"/>
        <v/>
      </c>
    </row>
    <row r="3244" spans="1:1" x14ac:dyDescent="0.35">
      <c r="A3244" t="str">
        <f t="shared" si="50"/>
        <v/>
      </c>
    </row>
    <row r="3245" spans="1:1" x14ac:dyDescent="0.35">
      <c r="A3245" t="str">
        <f t="shared" si="50"/>
        <v/>
      </c>
    </row>
    <row r="3246" spans="1:1" x14ac:dyDescent="0.35">
      <c r="A3246" t="str">
        <f t="shared" si="50"/>
        <v/>
      </c>
    </row>
    <row r="3247" spans="1:1" x14ac:dyDescent="0.35">
      <c r="A3247" t="str">
        <f t="shared" si="50"/>
        <v/>
      </c>
    </row>
    <row r="3248" spans="1:1" x14ac:dyDescent="0.35">
      <c r="A3248" t="str">
        <f t="shared" si="50"/>
        <v/>
      </c>
    </row>
    <row r="3249" spans="1:1" x14ac:dyDescent="0.35">
      <c r="A3249" t="str">
        <f t="shared" si="50"/>
        <v/>
      </c>
    </row>
    <row r="3250" spans="1:1" x14ac:dyDescent="0.35">
      <c r="A3250" t="str">
        <f t="shared" si="50"/>
        <v/>
      </c>
    </row>
    <row r="3251" spans="1:1" x14ac:dyDescent="0.35">
      <c r="A3251" t="str">
        <f t="shared" si="50"/>
        <v/>
      </c>
    </row>
    <row r="3252" spans="1:1" x14ac:dyDescent="0.35">
      <c r="A3252" t="str">
        <f t="shared" si="50"/>
        <v/>
      </c>
    </row>
    <row r="3253" spans="1:1" x14ac:dyDescent="0.35">
      <c r="A3253" t="str">
        <f t="shared" si="50"/>
        <v/>
      </c>
    </row>
    <row r="3254" spans="1:1" x14ac:dyDescent="0.35">
      <c r="A3254" t="str">
        <f t="shared" si="50"/>
        <v/>
      </c>
    </row>
    <row r="3255" spans="1:1" x14ac:dyDescent="0.35">
      <c r="A3255" t="str">
        <f t="shared" si="50"/>
        <v/>
      </c>
    </row>
    <row r="3256" spans="1:1" x14ac:dyDescent="0.35">
      <c r="A3256" t="str">
        <f t="shared" si="50"/>
        <v/>
      </c>
    </row>
    <row r="3257" spans="1:1" x14ac:dyDescent="0.35">
      <c r="A3257" t="str">
        <f t="shared" si="50"/>
        <v/>
      </c>
    </row>
    <row r="3258" spans="1:1" x14ac:dyDescent="0.35">
      <c r="A3258" t="str">
        <f t="shared" si="50"/>
        <v/>
      </c>
    </row>
    <row r="3259" spans="1:1" x14ac:dyDescent="0.35">
      <c r="A3259" t="str">
        <f t="shared" si="50"/>
        <v/>
      </c>
    </row>
    <row r="3260" spans="1:1" x14ac:dyDescent="0.35">
      <c r="A3260" t="str">
        <f t="shared" si="50"/>
        <v/>
      </c>
    </row>
    <row r="3261" spans="1:1" x14ac:dyDescent="0.35">
      <c r="A3261" t="str">
        <f t="shared" si="50"/>
        <v/>
      </c>
    </row>
    <row r="3262" spans="1:1" x14ac:dyDescent="0.35">
      <c r="A3262" t="str">
        <f t="shared" si="50"/>
        <v/>
      </c>
    </row>
    <row r="3263" spans="1:1" x14ac:dyDescent="0.35">
      <c r="A3263" t="str">
        <f t="shared" si="50"/>
        <v/>
      </c>
    </row>
    <row r="3264" spans="1:1" x14ac:dyDescent="0.35">
      <c r="A3264" t="str">
        <f t="shared" si="50"/>
        <v/>
      </c>
    </row>
    <row r="3265" spans="1:1" x14ac:dyDescent="0.35">
      <c r="A3265" t="str">
        <f t="shared" si="50"/>
        <v/>
      </c>
    </row>
    <row r="3266" spans="1:1" x14ac:dyDescent="0.35">
      <c r="A3266" t="str">
        <f t="shared" si="50"/>
        <v/>
      </c>
    </row>
    <row r="3267" spans="1:1" x14ac:dyDescent="0.35">
      <c r="A3267" t="str">
        <f t="shared" ref="A3267:A3330" si="51">C3267&amp;D3267&amp;E3267&amp;G3267&amp;H3267&amp;I3267</f>
        <v/>
      </c>
    </row>
    <row r="3268" spans="1:1" x14ac:dyDescent="0.35">
      <c r="A3268" t="str">
        <f t="shared" si="51"/>
        <v/>
      </c>
    </row>
    <row r="3269" spans="1:1" x14ac:dyDescent="0.35">
      <c r="A3269" t="str">
        <f t="shared" si="51"/>
        <v/>
      </c>
    </row>
    <row r="3270" spans="1:1" x14ac:dyDescent="0.35">
      <c r="A3270" t="str">
        <f t="shared" si="51"/>
        <v/>
      </c>
    </row>
    <row r="3271" spans="1:1" x14ac:dyDescent="0.35">
      <c r="A3271" t="str">
        <f t="shared" si="51"/>
        <v/>
      </c>
    </row>
    <row r="3272" spans="1:1" x14ac:dyDescent="0.35">
      <c r="A3272" t="str">
        <f t="shared" si="51"/>
        <v/>
      </c>
    </row>
    <row r="3273" spans="1:1" x14ac:dyDescent="0.35">
      <c r="A3273" t="str">
        <f t="shared" si="51"/>
        <v/>
      </c>
    </row>
    <row r="3274" spans="1:1" x14ac:dyDescent="0.35">
      <c r="A3274" t="str">
        <f t="shared" si="51"/>
        <v/>
      </c>
    </row>
    <row r="3275" spans="1:1" x14ac:dyDescent="0.35">
      <c r="A3275" t="str">
        <f t="shared" si="51"/>
        <v/>
      </c>
    </row>
    <row r="3276" spans="1:1" x14ac:dyDescent="0.35">
      <c r="A3276" t="str">
        <f t="shared" si="51"/>
        <v/>
      </c>
    </row>
    <row r="3277" spans="1:1" x14ac:dyDescent="0.35">
      <c r="A3277" t="str">
        <f t="shared" si="51"/>
        <v/>
      </c>
    </row>
    <row r="3278" spans="1:1" x14ac:dyDescent="0.35">
      <c r="A3278" t="str">
        <f t="shared" si="51"/>
        <v/>
      </c>
    </row>
    <row r="3279" spans="1:1" x14ac:dyDescent="0.35">
      <c r="A3279" t="str">
        <f t="shared" si="51"/>
        <v/>
      </c>
    </row>
    <row r="3280" spans="1:1" x14ac:dyDescent="0.35">
      <c r="A3280" t="str">
        <f t="shared" si="51"/>
        <v/>
      </c>
    </row>
    <row r="3281" spans="1:1" x14ac:dyDescent="0.35">
      <c r="A3281" t="str">
        <f t="shared" si="51"/>
        <v/>
      </c>
    </row>
    <row r="3282" spans="1:1" x14ac:dyDescent="0.35">
      <c r="A3282" t="str">
        <f t="shared" si="51"/>
        <v/>
      </c>
    </row>
    <row r="3283" spans="1:1" x14ac:dyDescent="0.35">
      <c r="A3283" t="str">
        <f t="shared" si="51"/>
        <v/>
      </c>
    </row>
    <row r="3284" spans="1:1" x14ac:dyDescent="0.35">
      <c r="A3284" t="str">
        <f t="shared" si="51"/>
        <v/>
      </c>
    </row>
    <row r="3285" spans="1:1" x14ac:dyDescent="0.35">
      <c r="A3285" t="str">
        <f t="shared" si="51"/>
        <v/>
      </c>
    </row>
    <row r="3286" spans="1:1" x14ac:dyDescent="0.35">
      <c r="A3286" t="str">
        <f t="shared" si="51"/>
        <v/>
      </c>
    </row>
    <row r="3287" spans="1:1" x14ac:dyDescent="0.35">
      <c r="A3287" t="str">
        <f t="shared" si="51"/>
        <v/>
      </c>
    </row>
    <row r="3288" spans="1:1" x14ac:dyDescent="0.35">
      <c r="A3288" t="str">
        <f t="shared" si="51"/>
        <v/>
      </c>
    </row>
    <row r="3289" spans="1:1" x14ac:dyDescent="0.35">
      <c r="A3289" t="str">
        <f t="shared" si="51"/>
        <v/>
      </c>
    </row>
    <row r="3290" spans="1:1" x14ac:dyDescent="0.35">
      <c r="A3290" t="str">
        <f t="shared" si="51"/>
        <v/>
      </c>
    </row>
    <row r="3291" spans="1:1" x14ac:dyDescent="0.35">
      <c r="A3291" t="str">
        <f t="shared" si="51"/>
        <v/>
      </c>
    </row>
    <row r="3292" spans="1:1" x14ac:dyDescent="0.35">
      <c r="A3292" t="str">
        <f t="shared" si="51"/>
        <v/>
      </c>
    </row>
    <row r="3293" spans="1:1" x14ac:dyDescent="0.35">
      <c r="A3293" t="str">
        <f t="shared" si="51"/>
        <v/>
      </c>
    </row>
    <row r="3294" spans="1:1" x14ac:dyDescent="0.35">
      <c r="A3294" t="str">
        <f t="shared" si="51"/>
        <v/>
      </c>
    </row>
    <row r="3295" spans="1:1" x14ac:dyDescent="0.35">
      <c r="A3295" t="str">
        <f t="shared" si="51"/>
        <v/>
      </c>
    </row>
    <row r="3296" spans="1:1" x14ac:dyDescent="0.35">
      <c r="A3296" t="str">
        <f t="shared" si="51"/>
        <v/>
      </c>
    </row>
    <row r="3297" spans="1:1" x14ac:dyDescent="0.35">
      <c r="A3297" t="str">
        <f t="shared" si="51"/>
        <v/>
      </c>
    </row>
    <row r="3298" spans="1:1" x14ac:dyDescent="0.35">
      <c r="A3298" t="str">
        <f t="shared" si="51"/>
        <v/>
      </c>
    </row>
    <row r="3299" spans="1:1" x14ac:dyDescent="0.35">
      <c r="A3299" t="str">
        <f t="shared" si="51"/>
        <v/>
      </c>
    </row>
    <row r="3300" spans="1:1" x14ac:dyDescent="0.35">
      <c r="A3300" t="str">
        <f t="shared" si="51"/>
        <v/>
      </c>
    </row>
    <row r="3301" spans="1:1" x14ac:dyDescent="0.35">
      <c r="A3301" t="str">
        <f t="shared" si="51"/>
        <v/>
      </c>
    </row>
    <row r="3302" spans="1:1" x14ac:dyDescent="0.35">
      <c r="A3302" t="str">
        <f t="shared" si="51"/>
        <v/>
      </c>
    </row>
    <row r="3303" spans="1:1" x14ac:dyDescent="0.35">
      <c r="A3303" t="str">
        <f t="shared" si="51"/>
        <v/>
      </c>
    </row>
    <row r="3304" spans="1:1" x14ac:dyDescent="0.35">
      <c r="A3304" t="str">
        <f t="shared" si="51"/>
        <v/>
      </c>
    </row>
    <row r="3305" spans="1:1" x14ac:dyDescent="0.35">
      <c r="A3305" t="str">
        <f t="shared" si="51"/>
        <v/>
      </c>
    </row>
    <row r="3306" spans="1:1" x14ac:dyDescent="0.35">
      <c r="A3306" t="str">
        <f t="shared" si="51"/>
        <v/>
      </c>
    </row>
    <row r="3307" spans="1:1" x14ac:dyDescent="0.35">
      <c r="A3307" t="str">
        <f t="shared" si="51"/>
        <v/>
      </c>
    </row>
    <row r="3308" spans="1:1" x14ac:dyDescent="0.35">
      <c r="A3308" t="str">
        <f t="shared" si="51"/>
        <v/>
      </c>
    </row>
    <row r="3309" spans="1:1" x14ac:dyDescent="0.35">
      <c r="A3309" t="str">
        <f t="shared" si="51"/>
        <v/>
      </c>
    </row>
    <row r="3310" spans="1:1" x14ac:dyDescent="0.35">
      <c r="A3310" t="str">
        <f t="shared" si="51"/>
        <v/>
      </c>
    </row>
    <row r="3311" spans="1:1" x14ac:dyDescent="0.35">
      <c r="A3311" t="str">
        <f t="shared" si="51"/>
        <v/>
      </c>
    </row>
    <row r="3312" spans="1:1" x14ac:dyDescent="0.35">
      <c r="A3312" t="str">
        <f t="shared" si="51"/>
        <v/>
      </c>
    </row>
    <row r="3313" spans="1:1" x14ac:dyDescent="0.35">
      <c r="A3313" t="str">
        <f t="shared" si="51"/>
        <v/>
      </c>
    </row>
    <row r="3314" spans="1:1" x14ac:dyDescent="0.35">
      <c r="A3314" t="str">
        <f t="shared" si="51"/>
        <v/>
      </c>
    </row>
    <row r="3315" spans="1:1" x14ac:dyDescent="0.35">
      <c r="A3315" t="str">
        <f t="shared" si="51"/>
        <v/>
      </c>
    </row>
    <row r="3316" spans="1:1" x14ac:dyDescent="0.35">
      <c r="A3316" t="str">
        <f t="shared" si="51"/>
        <v/>
      </c>
    </row>
    <row r="3317" spans="1:1" x14ac:dyDescent="0.35">
      <c r="A3317" t="str">
        <f t="shared" si="51"/>
        <v/>
      </c>
    </row>
    <row r="3318" spans="1:1" x14ac:dyDescent="0.35">
      <c r="A3318" t="str">
        <f t="shared" si="51"/>
        <v/>
      </c>
    </row>
    <row r="3319" spans="1:1" x14ac:dyDescent="0.35">
      <c r="A3319" t="str">
        <f t="shared" si="51"/>
        <v/>
      </c>
    </row>
    <row r="3320" spans="1:1" x14ac:dyDescent="0.35">
      <c r="A3320" t="str">
        <f t="shared" si="51"/>
        <v/>
      </c>
    </row>
    <row r="3321" spans="1:1" x14ac:dyDescent="0.35">
      <c r="A3321" t="str">
        <f t="shared" si="51"/>
        <v/>
      </c>
    </row>
    <row r="3322" spans="1:1" x14ac:dyDescent="0.35">
      <c r="A3322" t="str">
        <f t="shared" si="51"/>
        <v/>
      </c>
    </row>
    <row r="3323" spans="1:1" x14ac:dyDescent="0.35">
      <c r="A3323" t="str">
        <f t="shared" si="51"/>
        <v/>
      </c>
    </row>
    <row r="3324" spans="1:1" x14ac:dyDescent="0.35">
      <c r="A3324" t="str">
        <f t="shared" si="51"/>
        <v/>
      </c>
    </row>
    <row r="3325" spans="1:1" x14ac:dyDescent="0.35">
      <c r="A3325" t="str">
        <f t="shared" si="51"/>
        <v/>
      </c>
    </row>
    <row r="3326" spans="1:1" x14ac:dyDescent="0.35">
      <c r="A3326" t="str">
        <f t="shared" si="51"/>
        <v/>
      </c>
    </row>
    <row r="3327" spans="1:1" x14ac:dyDescent="0.35">
      <c r="A3327" t="str">
        <f t="shared" si="51"/>
        <v/>
      </c>
    </row>
    <row r="3328" spans="1:1" x14ac:dyDescent="0.35">
      <c r="A3328" t="str">
        <f t="shared" si="51"/>
        <v/>
      </c>
    </row>
    <row r="3329" spans="1:1" x14ac:dyDescent="0.35">
      <c r="A3329" t="str">
        <f t="shared" si="51"/>
        <v/>
      </c>
    </row>
    <row r="3330" spans="1:1" x14ac:dyDescent="0.35">
      <c r="A3330" t="str">
        <f t="shared" si="51"/>
        <v/>
      </c>
    </row>
    <row r="3331" spans="1:1" x14ac:dyDescent="0.35">
      <c r="A3331" t="str">
        <f t="shared" ref="A3331:A3394" si="52">C3331&amp;D3331&amp;E3331&amp;G3331&amp;H3331&amp;I3331</f>
        <v/>
      </c>
    </row>
    <row r="3332" spans="1:1" x14ac:dyDescent="0.35">
      <c r="A3332" t="str">
        <f t="shared" si="52"/>
        <v/>
      </c>
    </row>
    <row r="3333" spans="1:1" x14ac:dyDescent="0.35">
      <c r="A3333" t="str">
        <f t="shared" si="52"/>
        <v/>
      </c>
    </row>
    <row r="3334" spans="1:1" x14ac:dyDescent="0.35">
      <c r="A3334" t="str">
        <f t="shared" si="52"/>
        <v/>
      </c>
    </row>
    <row r="3335" spans="1:1" x14ac:dyDescent="0.35">
      <c r="A3335" t="str">
        <f t="shared" si="52"/>
        <v/>
      </c>
    </row>
    <row r="3336" spans="1:1" x14ac:dyDescent="0.35">
      <c r="A3336" t="str">
        <f t="shared" si="52"/>
        <v/>
      </c>
    </row>
    <row r="3337" spans="1:1" x14ac:dyDescent="0.35">
      <c r="A3337" t="str">
        <f t="shared" si="52"/>
        <v/>
      </c>
    </row>
    <row r="3338" spans="1:1" x14ac:dyDescent="0.35">
      <c r="A3338" t="str">
        <f t="shared" si="52"/>
        <v/>
      </c>
    </row>
    <row r="3339" spans="1:1" x14ac:dyDescent="0.35">
      <c r="A3339" t="str">
        <f t="shared" si="52"/>
        <v/>
      </c>
    </row>
    <row r="3340" spans="1:1" x14ac:dyDescent="0.35">
      <c r="A3340" t="str">
        <f t="shared" si="52"/>
        <v/>
      </c>
    </row>
    <row r="3341" spans="1:1" x14ac:dyDescent="0.35">
      <c r="A3341" t="str">
        <f t="shared" si="52"/>
        <v/>
      </c>
    </row>
    <row r="3342" spans="1:1" x14ac:dyDescent="0.35">
      <c r="A3342" t="str">
        <f t="shared" si="52"/>
        <v/>
      </c>
    </row>
    <row r="3343" spans="1:1" x14ac:dyDescent="0.35">
      <c r="A3343" t="str">
        <f t="shared" si="52"/>
        <v/>
      </c>
    </row>
    <row r="3344" spans="1:1" x14ac:dyDescent="0.35">
      <c r="A3344" t="str">
        <f t="shared" si="52"/>
        <v/>
      </c>
    </row>
    <row r="3345" spans="1:1" x14ac:dyDescent="0.35">
      <c r="A3345" t="str">
        <f t="shared" si="52"/>
        <v/>
      </c>
    </row>
    <row r="3346" spans="1:1" x14ac:dyDescent="0.35">
      <c r="A3346" t="str">
        <f t="shared" si="52"/>
        <v/>
      </c>
    </row>
    <row r="3347" spans="1:1" x14ac:dyDescent="0.35">
      <c r="A3347" t="str">
        <f t="shared" si="52"/>
        <v/>
      </c>
    </row>
    <row r="3348" spans="1:1" x14ac:dyDescent="0.35">
      <c r="A3348" t="str">
        <f t="shared" si="52"/>
        <v/>
      </c>
    </row>
    <row r="3349" spans="1:1" x14ac:dyDescent="0.35">
      <c r="A3349" t="str">
        <f t="shared" si="52"/>
        <v/>
      </c>
    </row>
    <row r="3350" spans="1:1" x14ac:dyDescent="0.35">
      <c r="A3350" t="str">
        <f t="shared" si="52"/>
        <v/>
      </c>
    </row>
    <row r="3351" spans="1:1" x14ac:dyDescent="0.35">
      <c r="A3351" t="str">
        <f t="shared" si="52"/>
        <v/>
      </c>
    </row>
    <row r="3352" spans="1:1" x14ac:dyDescent="0.35">
      <c r="A3352" t="str">
        <f t="shared" si="52"/>
        <v/>
      </c>
    </row>
    <row r="3353" spans="1:1" x14ac:dyDescent="0.35">
      <c r="A3353" t="str">
        <f t="shared" si="52"/>
        <v/>
      </c>
    </row>
    <row r="3354" spans="1:1" x14ac:dyDescent="0.35">
      <c r="A3354" t="str">
        <f t="shared" si="52"/>
        <v/>
      </c>
    </row>
    <row r="3355" spans="1:1" x14ac:dyDescent="0.35">
      <c r="A3355" t="str">
        <f t="shared" si="52"/>
        <v/>
      </c>
    </row>
    <row r="3356" spans="1:1" x14ac:dyDescent="0.35">
      <c r="A3356" t="str">
        <f t="shared" si="52"/>
        <v/>
      </c>
    </row>
    <row r="3357" spans="1:1" x14ac:dyDescent="0.35">
      <c r="A3357" t="str">
        <f t="shared" si="52"/>
        <v/>
      </c>
    </row>
    <row r="3358" spans="1:1" x14ac:dyDescent="0.35">
      <c r="A3358" t="str">
        <f t="shared" si="52"/>
        <v/>
      </c>
    </row>
    <row r="3359" spans="1:1" x14ac:dyDescent="0.35">
      <c r="A3359" t="str">
        <f t="shared" si="52"/>
        <v/>
      </c>
    </row>
    <row r="3360" spans="1:1" x14ac:dyDescent="0.35">
      <c r="A3360" t="str">
        <f t="shared" si="52"/>
        <v/>
      </c>
    </row>
    <row r="3361" spans="1:1" x14ac:dyDescent="0.35">
      <c r="A3361" t="str">
        <f t="shared" si="52"/>
        <v/>
      </c>
    </row>
    <row r="3362" spans="1:1" x14ac:dyDescent="0.35">
      <c r="A3362" t="str">
        <f t="shared" si="52"/>
        <v/>
      </c>
    </row>
    <row r="3363" spans="1:1" x14ac:dyDescent="0.35">
      <c r="A3363" t="str">
        <f t="shared" si="52"/>
        <v/>
      </c>
    </row>
    <row r="3364" spans="1:1" x14ac:dyDescent="0.35">
      <c r="A3364" t="str">
        <f t="shared" si="52"/>
        <v/>
      </c>
    </row>
    <row r="3365" spans="1:1" x14ac:dyDescent="0.35">
      <c r="A3365" t="str">
        <f t="shared" si="52"/>
        <v/>
      </c>
    </row>
    <row r="3366" spans="1:1" x14ac:dyDescent="0.35">
      <c r="A3366" t="str">
        <f t="shared" si="52"/>
        <v/>
      </c>
    </row>
    <row r="3367" spans="1:1" x14ac:dyDescent="0.35">
      <c r="A3367" t="str">
        <f t="shared" si="52"/>
        <v/>
      </c>
    </row>
    <row r="3368" spans="1:1" x14ac:dyDescent="0.35">
      <c r="A3368" t="str">
        <f t="shared" si="52"/>
        <v/>
      </c>
    </row>
    <row r="3369" spans="1:1" x14ac:dyDescent="0.35">
      <c r="A3369" t="str">
        <f t="shared" si="52"/>
        <v/>
      </c>
    </row>
    <row r="3370" spans="1:1" x14ac:dyDescent="0.35">
      <c r="A3370" t="str">
        <f t="shared" si="52"/>
        <v/>
      </c>
    </row>
    <row r="3371" spans="1:1" x14ac:dyDescent="0.35">
      <c r="A3371" t="str">
        <f t="shared" si="52"/>
        <v/>
      </c>
    </row>
    <row r="3372" spans="1:1" x14ac:dyDescent="0.35">
      <c r="A3372" t="str">
        <f t="shared" si="52"/>
        <v/>
      </c>
    </row>
    <row r="3373" spans="1:1" x14ac:dyDescent="0.35">
      <c r="A3373" t="str">
        <f t="shared" si="52"/>
        <v/>
      </c>
    </row>
    <row r="3374" spans="1:1" x14ac:dyDescent="0.35">
      <c r="A3374" t="str">
        <f t="shared" si="52"/>
        <v/>
      </c>
    </row>
    <row r="3375" spans="1:1" x14ac:dyDescent="0.35">
      <c r="A3375" t="str">
        <f t="shared" si="52"/>
        <v/>
      </c>
    </row>
    <row r="3376" spans="1:1" x14ac:dyDescent="0.35">
      <c r="A3376" t="str">
        <f t="shared" si="52"/>
        <v/>
      </c>
    </row>
    <row r="3377" spans="1:1" x14ac:dyDescent="0.35">
      <c r="A3377" t="str">
        <f t="shared" si="52"/>
        <v/>
      </c>
    </row>
    <row r="3378" spans="1:1" x14ac:dyDescent="0.35">
      <c r="A3378" t="str">
        <f t="shared" si="52"/>
        <v/>
      </c>
    </row>
    <row r="3379" spans="1:1" x14ac:dyDescent="0.35">
      <c r="A3379" t="str">
        <f t="shared" si="52"/>
        <v/>
      </c>
    </row>
    <row r="3380" spans="1:1" x14ac:dyDescent="0.35">
      <c r="A3380" t="str">
        <f t="shared" si="52"/>
        <v/>
      </c>
    </row>
    <row r="3381" spans="1:1" x14ac:dyDescent="0.35">
      <c r="A3381" t="str">
        <f t="shared" si="52"/>
        <v/>
      </c>
    </row>
    <row r="3382" spans="1:1" x14ac:dyDescent="0.35">
      <c r="A3382" t="str">
        <f t="shared" si="52"/>
        <v/>
      </c>
    </row>
    <row r="3383" spans="1:1" x14ac:dyDescent="0.35">
      <c r="A3383" t="str">
        <f t="shared" si="52"/>
        <v/>
      </c>
    </row>
    <row r="3384" spans="1:1" x14ac:dyDescent="0.35">
      <c r="A3384" t="str">
        <f t="shared" si="52"/>
        <v/>
      </c>
    </row>
    <row r="3385" spans="1:1" x14ac:dyDescent="0.35">
      <c r="A3385" t="str">
        <f t="shared" si="52"/>
        <v/>
      </c>
    </row>
    <row r="3386" spans="1:1" x14ac:dyDescent="0.35">
      <c r="A3386" t="str">
        <f t="shared" si="52"/>
        <v/>
      </c>
    </row>
    <row r="3387" spans="1:1" x14ac:dyDescent="0.35">
      <c r="A3387" t="str">
        <f t="shared" si="52"/>
        <v/>
      </c>
    </row>
    <row r="3388" spans="1:1" x14ac:dyDescent="0.35">
      <c r="A3388" t="str">
        <f t="shared" si="52"/>
        <v/>
      </c>
    </row>
    <row r="3389" spans="1:1" x14ac:dyDescent="0.35">
      <c r="A3389" t="str">
        <f t="shared" si="52"/>
        <v/>
      </c>
    </row>
    <row r="3390" spans="1:1" x14ac:dyDescent="0.35">
      <c r="A3390" t="str">
        <f t="shared" si="52"/>
        <v/>
      </c>
    </row>
    <row r="3391" spans="1:1" x14ac:dyDescent="0.35">
      <c r="A3391" t="str">
        <f t="shared" si="52"/>
        <v/>
      </c>
    </row>
    <row r="3392" spans="1:1" x14ac:dyDescent="0.35">
      <c r="A3392" t="str">
        <f t="shared" si="52"/>
        <v/>
      </c>
    </row>
    <row r="3393" spans="1:1" x14ac:dyDescent="0.35">
      <c r="A3393" t="str">
        <f t="shared" si="52"/>
        <v/>
      </c>
    </row>
    <row r="3394" spans="1:1" x14ac:dyDescent="0.35">
      <c r="A3394" t="str">
        <f t="shared" si="52"/>
        <v/>
      </c>
    </row>
    <row r="3395" spans="1:1" x14ac:dyDescent="0.35">
      <c r="A3395" t="str">
        <f t="shared" ref="A3395:A3458" si="53">C3395&amp;D3395&amp;E3395&amp;G3395&amp;H3395&amp;I3395</f>
        <v/>
      </c>
    </row>
    <row r="3396" spans="1:1" x14ac:dyDescent="0.35">
      <c r="A3396" t="str">
        <f t="shared" si="53"/>
        <v/>
      </c>
    </row>
    <row r="3397" spans="1:1" x14ac:dyDescent="0.35">
      <c r="A3397" t="str">
        <f t="shared" si="53"/>
        <v/>
      </c>
    </row>
    <row r="3398" spans="1:1" x14ac:dyDescent="0.35">
      <c r="A3398" t="str">
        <f t="shared" si="53"/>
        <v/>
      </c>
    </row>
    <row r="3399" spans="1:1" x14ac:dyDescent="0.35">
      <c r="A3399" t="str">
        <f t="shared" si="53"/>
        <v/>
      </c>
    </row>
    <row r="3400" spans="1:1" x14ac:dyDescent="0.35">
      <c r="A3400" t="str">
        <f t="shared" si="53"/>
        <v/>
      </c>
    </row>
    <row r="3401" spans="1:1" x14ac:dyDescent="0.35">
      <c r="A3401" t="str">
        <f t="shared" si="53"/>
        <v/>
      </c>
    </row>
    <row r="3402" spans="1:1" x14ac:dyDescent="0.35">
      <c r="A3402" t="str">
        <f t="shared" si="53"/>
        <v/>
      </c>
    </row>
    <row r="3403" spans="1:1" x14ac:dyDescent="0.35">
      <c r="A3403" t="str">
        <f t="shared" si="53"/>
        <v/>
      </c>
    </row>
    <row r="3404" spans="1:1" x14ac:dyDescent="0.35">
      <c r="A3404" t="str">
        <f t="shared" si="53"/>
        <v/>
      </c>
    </row>
    <row r="3405" spans="1:1" x14ac:dyDescent="0.35">
      <c r="A3405" t="str">
        <f t="shared" si="53"/>
        <v/>
      </c>
    </row>
    <row r="3406" spans="1:1" x14ac:dyDescent="0.35">
      <c r="A3406" t="str">
        <f t="shared" si="53"/>
        <v/>
      </c>
    </row>
    <row r="3407" spans="1:1" x14ac:dyDescent="0.35">
      <c r="A3407" t="str">
        <f t="shared" si="53"/>
        <v/>
      </c>
    </row>
    <row r="3408" spans="1:1" x14ac:dyDescent="0.35">
      <c r="A3408" t="str">
        <f t="shared" si="53"/>
        <v/>
      </c>
    </row>
    <row r="3409" spans="1:1" x14ac:dyDescent="0.35">
      <c r="A3409" t="str">
        <f t="shared" si="53"/>
        <v/>
      </c>
    </row>
    <row r="3410" spans="1:1" x14ac:dyDescent="0.35">
      <c r="A3410" t="str">
        <f t="shared" si="53"/>
        <v/>
      </c>
    </row>
    <row r="3411" spans="1:1" x14ac:dyDescent="0.35">
      <c r="A3411" t="str">
        <f t="shared" si="53"/>
        <v/>
      </c>
    </row>
    <row r="3412" spans="1:1" x14ac:dyDescent="0.35">
      <c r="A3412" t="str">
        <f t="shared" si="53"/>
        <v/>
      </c>
    </row>
    <row r="3413" spans="1:1" x14ac:dyDescent="0.35">
      <c r="A3413" t="str">
        <f t="shared" si="53"/>
        <v/>
      </c>
    </row>
    <row r="3414" spans="1:1" x14ac:dyDescent="0.35">
      <c r="A3414" t="str">
        <f t="shared" si="53"/>
        <v/>
      </c>
    </row>
    <row r="3415" spans="1:1" x14ac:dyDescent="0.35">
      <c r="A3415" t="str">
        <f t="shared" si="53"/>
        <v/>
      </c>
    </row>
    <row r="3416" spans="1:1" x14ac:dyDescent="0.35">
      <c r="A3416" t="str">
        <f t="shared" si="53"/>
        <v/>
      </c>
    </row>
    <row r="3417" spans="1:1" x14ac:dyDescent="0.35">
      <c r="A3417" t="str">
        <f t="shared" si="53"/>
        <v/>
      </c>
    </row>
    <row r="3418" spans="1:1" x14ac:dyDescent="0.35">
      <c r="A3418" t="str">
        <f t="shared" si="53"/>
        <v/>
      </c>
    </row>
    <row r="3419" spans="1:1" x14ac:dyDescent="0.35">
      <c r="A3419" t="str">
        <f t="shared" si="53"/>
        <v/>
      </c>
    </row>
    <row r="3420" spans="1:1" x14ac:dyDescent="0.35">
      <c r="A3420" t="str">
        <f t="shared" si="53"/>
        <v/>
      </c>
    </row>
    <row r="3421" spans="1:1" x14ac:dyDescent="0.35">
      <c r="A3421" t="str">
        <f t="shared" si="53"/>
        <v/>
      </c>
    </row>
    <row r="3422" spans="1:1" x14ac:dyDescent="0.35">
      <c r="A3422" t="str">
        <f t="shared" si="53"/>
        <v/>
      </c>
    </row>
    <row r="3423" spans="1:1" x14ac:dyDescent="0.35">
      <c r="A3423" t="str">
        <f t="shared" si="53"/>
        <v/>
      </c>
    </row>
    <row r="3424" spans="1:1" x14ac:dyDescent="0.35">
      <c r="A3424" t="str">
        <f t="shared" si="53"/>
        <v/>
      </c>
    </row>
    <row r="3425" spans="1:1" x14ac:dyDescent="0.35">
      <c r="A3425" t="str">
        <f t="shared" si="53"/>
        <v/>
      </c>
    </row>
    <row r="3426" spans="1:1" x14ac:dyDescent="0.35">
      <c r="A3426" t="str">
        <f t="shared" si="53"/>
        <v/>
      </c>
    </row>
    <row r="3427" spans="1:1" x14ac:dyDescent="0.35">
      <c r="A3427" t="str">
        <f t="shared" si="53"/>
        <v/>
      </c>
    </row>
    <row r="3428" spans="1:1" x14ac:dyDescent="0.35">
      <c r="A3428" t="str">
        <f t="shared" si="53"/>
        <v/>
      </c>
    </row>
    <row r="3429" spans="1:1" x14ac:dyDescent="0.35">
      <c r="A3429" t="str">
        <f t="shared" si="53"/>
        <v/>
      </c>
    </row>
    <row r="3430" spans="1:1" x14ac:dyDescent="0.35">
      <c r="A3430" t="str">
        <f t="shared" si="53"/>
        <v/>
      </c>
    </row>
    <row r="3431" spans="1:1" x14ac:dyDescent="0.35">
      <c r="A3431" t="str">
        <f t="shared" si="53"/>
        <v/>
      </c>
    </row>
    <row r="3432" spans="1:1" x14ac:dyDescent="0.35">
      <c r="A3432" t="str">
        <f t="shared" si="53"/>
        <v/>
      </c>
    </row>
    <row r="3433" spans="1:1" x14ac:dyDescent="0.35">
      <c r="A3433" t="str">
        <f t="shared" si="53"/>
        <v/>
      </c>
    </row>
    <row r="3434" spans="1:1" x14ac:dyDescent="0.35">
      <c r="A3434" t="str">
        <f t="shared" si="53"/>
        <v/>
      </c>
    </row>
    <row r="3435" spans="1:1" x14ac:dyDescent="0.35">
      <c r="A3435" t="str">
        <f t="shared" si="53"/>
        <v/>
      </c>
    </row>
    <row r="3436" spans="1:1" x14ac:dyDescent="0.35">
      <c r="A3436" t="str">
        <f t="shared" si="53"/>
        <v/>
      </c>
    </row>
    <row r="3437" spans="1:1" x14ac:dyDescent="0.35">
      <c r="A3437" t="str">
        <f t="shared" si="53"/>
        <v/>
      </c>
    </row>
    <row r="3438" spans="1:1" x14ac:dyDescent="0.35">
      <c r="A3438" t="str">
        <f t="shared" si="53"/>
        <v/>
      </c>
    </row>
    <row r="3439" spans="1:1" x14ac:dyDescent="0.35">
      <c r="A3439" t="str">
        <f t="shared" si="53"/>
        <v/>
      </c>
    </row>
    <row r="3440" spans="1:1" x14ac:dyDescent="0.35">
      <c r="A3440" t="str">
        <f t="shared" si="53"/>
        <v/>
      </c>
    </row>
    <row r="3441" spans="1:1" x14ac:dyDescent="0.35">
      <c r="A3441" t="str">
        <f t="shared" si="53"/>
        <v/>
      </c>
    </row>
    <row r="3442" spans="1:1" x14ac:dyDescent="0.35">
      <c r="A3442" t="str">
        <f t="shared" si="53"/>
        <v/>
      </c>
    </row>
    <row r="3443" spans="1:1" x14ac:dyDescent="0.35">
      <c r="A3443" t="str">
        <f t="shared" si="53"/>
        <v/>
      </c>
    </row>
    <row r="3444" spans="1:1" x14ac:dyDescent="0.35">
      <c r="A3444" t="str">
        <f t="shared" si="53"/>
        <v/>
      </c>
    </row>
    <row r="3445" spans="1:1" x14ac:dyDescent="0.35">
      <c r="A3445" t="str">
        <f t="shared" si="53"/>
        <v/>
      </c>
    </row>
    <row r="3446" spans="1:1" x14ac:dyDescent="0.35">
      <c r="A3446" t="str">
        <f t="shared" si="53"/>
        <v/>
      </c>
    </row>
    <row r="3447" spans="1:1" x14ac:dyDescent="0.35">
      <c r="A3447" t="str">
        <f t="shared" si="53"/>
        <v/>
      </c>
    </row>
    <row r="3448" spans="1:1" x14ac:dyDescent="0.35">
      <c r="A3448" t="str">
        <f t="shared" si="53"/>
        <v/>
      </c>
    </row>
    <row r="3449" spans="1:1" x14ac:dyDescent="0.35">
      <c r="A3449" t="str">
        <f t="shared" si="53"/>
        <v/>
      </c>
    </row>
    <row r="3450" spans="1:1" x14ac:dyDescent="0.35">
      <c r="A3450" t="str">
        <f t="shared" si="53"/>
        <v/>
      </c>
    </row>
    <row r="3451" spans="1:1" x14ac:dyDescent="0.35">
      <c r="A3451" t="str">
        <f t="shared" si="53"/>
        <v/>
      </c>
    </row>
    <row r="3452" spans="1:1" x14ac:dyDescent="0.35">
      <c r="A3452" t="str">
        <f t="shared" si="53"/>
        <v/>
      </c>
    </row>
    <row r="3453" spans="1:1" x14ac:dyDescent="0.35">
      <c r="A3453" t="str">
        <f t="shared" si="53"/>
        <v/>
      </c>
    </row>
    <row r="3454" spans="1:1" x14ac:dyDescent="0.35">
      <c r="A3454" t="str">
        <f t="shared" si="53"/>
        <v/>
      </c>
    </row>
    <row r="3455" spans="1:1" x14ac:dyDescent="0.35">
      <c r="A3455" t="str">
        <f t="shared" si="53"/>
        <v/>
      </c>
    </row>
    <row r="3456" spans="1:1" x14ac:dyDescent="0.35">
      <c r="A3456" t="str">
        <f t="shared" si="53"/>
        <v/>
      </c>
    </row>
    <row r="3457" spans="1:1" x14ac:dyDescent="0.35">
      <c r="A3457" t="str">
        <f t="shared" si="53"/>
        <v/>
      </c>
    </row>
    <row r="3458" spans="1:1" x14ac:dyDescent="0.35">
      <c r="A3458" t="str">
        <f t="shared" si="53"/>
        <v/>
      </c>
    </row>
    <row r="3459" spans="1:1" x14ac:dyDescent="0.35">
      <c r="A3459" t="str">
        <f t="shared" ref="A3459:A3522" si="54">C3459&amp;D3459&amp;E3459&amp;G3459&amp;H3459&amp;I3459</f>
        <v/>
      </c>
    </row>
    <row r="3460" spans="1:1" x14ac:dyDescent="0.35">
      <c r="A3460" t="str">
        <f t="shared" si="54"/>
        <v/>
      </c>
    </row>
    <row r="3461" spans="1:1" x14ac:dyDescent="0.35">
      <c r="A3461" t="str">
        <f t="shared" si="54"/>
        <v/>
      </c>
    </row>
    <row r="3462" spans="1:1" x14ac:dyDescent="0.35">
      <c r="A3462" t="str">
        <f t="shared" si="54"/>
        <v/>
      </c>
    </row>
    <row r="3463" spans="1:1" x14ac:dyDescent="0.35">
      <c r="A3463" t="str">
        <f t="shared" si="54"/>
        <v/>
      </c>
    </row>
    <row r="3464" spans="1:1" x14ac:dyDescent="0.35">
      <c r="A3464" t="str">
        <f t="shared" si="54"/>
        <v/>
      </c>
    </row>
    <row r="3465" spans="1:1" x14ac:dyDescent="0.35">
      <c r="A3465" t="str">
        <f t="shared" si="54"/>
        <v/>
      </c>
    </row>
    <row r="3466" spans="1:1" x14ac:dyDescent="0.35">
      <c r="A3466" t="str">
        <f t="shared" si="54"/>
        <v/>
      </c>
    </row>
    <row r="3467" spans="1:1" x14ac:dyDescent="0.35">
      <c r="A3467" t="str">
        <f t="shared" si="54"/>
        <v/>
      </c>
    </row>
    <row r="3468" spans="1:1" x14ac:dyDescent="0.35">
      <c r="A3468" t="str">
        <f t="shared" si="54"/>
        <v/>
      </c>
    </row>
    <row r="3469" spans="1:1" x14ac:dyDescent="0.35">
      <c r="A3469" t="str">
        <f t="shared" si="54"/>
        <v/>
      </c>
    </row>
    <row r="3470" spans="1:1" x14ac:dyDescent="0.35">
      <c r="A3470" t="str">
        <f t="shared" si="54"/>
        <v/>
      </c>
    </row>
    <row r="3471" spans="1:1" x14ac:dyDescent="0.35">
      <c r="A3471" t="str">
        <f t="shared" si="54"/>
        <v/>
      </c>
    </row>
    <row r="3472" spans="1:1" x14ac:dyDescent="0.35">
      <c r="A3472" t="str">
        <f t="shared" si="54"/>
        <v/>
      </c>
    </row>
    <row r="3473" spans="1:1" x14ac:dyDescent="0.35">
      <c r="A3473" t="str">
        <f t="shared" si="54"/>
        <v/>
      </c>
    </row>
    <row r="3474" spans="1:1" x14ac:dyDescent="0.35">
      <c r="A3474" t="str">
        <f t="shared" si="54"/>
        <v/>
      </c>
    </row>
    <row r="3475" spans="1:1" x14ac:dyDescent="0.35">
      <c r="A3475" t="str">
        <f t="shared" si="54"/>
        <v/>
      </c>
    </row>
    <row r="3476" spans="1:1" x14ac:dyDescent="0.35">
      <c r="A3476" t="str">
        <f t="shared" si="54"/>
        <v/>
      </c>
    </row>
    <row r="3477" spans="1:1" x14ac:dyDescent="0.35">
      <c r="A3477" t="str">
        <f t="shared" si="54"/>
        <v/>
      </c>
    </row>
    <row r="3478" spans="1:1" x14ac:dyDescent="0.35">
      <c r="A3478" t="str">
        <f t="shared" si="54"/>
        <v/>
      </c>
    </row>
    <row r="3479" spans="1:1" x14ac:dyDescent="0.35">
      <c r="A3479" t="str">
        <f t="shared" si="54"/>
        <v/>
      </c>
    </row>
    <row r="3480" spans="1:1" x14ac:dyDescent="0.35">
      <c r="A3480" t="str">
        <f t="shared" si="54"/>
        <v/>
      </c>
    </row>
    <row r="3481" spans="1:1" x14ac:dyDescent="0.35">
      <c r="A3481" t="str">
        <f t="shared" si="54"/>
        <v/>
      </c>
    </row>
    <row r="3482" spans="1:1" x14ac:dyDescent="0.35">
      <c r="A3482" t="str">
        <f t="shared" si="54"/>
        <v/>
      </c>
    </row>
    <row r="3483" spans="1:1" x14ac:dyDescent="0.35">
      <c r="A3483" t="str">
        <f t="shared" si="54"/>
        <v/>
      </c>
    </row>
    <row r="3484" spans="1:1" x14ac:dyDescent="0.35">
      <c r="A3484" t="str">
        <f t="shared" si="54"/>
        <v/>
      </c>
    </row>
    <row r="3485" spans="1:1" x14ac:dyDescent="0.35">
      <c r="A3485" t="str">
        <f t="shared" si="54"/>
        <v/>
      </c>
    </row>
    <row r="3486" spans="1:1" x14ac:dyDescent="0.35">
      <c r="A3486" t="str">
        <f t="shared" si="54"/>
        <v/>
      </c>
    </row>
    <row r="3487" spans="1:1" x14ac:dyDescent="0.35">
      <c r="A3487" t="str">
        <f t="shared" si="54"/>
        <v/>
      </c>
    </row>
    <row r="3488" spans="1:1" x14ac:dyDescent="0.35">
      <c r="A3488" t="str">
        <f t="shared" si="54"/>
        <v/>
      </c>
    </row>
    <row r="3489" spans="1:1" x14ac:dyDescent="0.35">
      <c r="A3489" t="str">
        <f t="shared" si="54"/>
        <v/>
      </c>
    </row>
    <row r="3490" spans="1:1" x14ac:dyDescent="0.35">
      <c r="A3490" t="str">
        <f t="shared" si="54"/>
        <v/>
      </c>
    </row>
    <row r="3491" spans="1:1" x14ac:dyDescent="0.35">
      <c r="A3491" t="str">
        <f t="shared" si="54"/>
        <v/>
      </c>
    </row>
    <row r="3492" spans="1:1" x14ac:dyDescent="0.35">
      <c r="A3492" t="str">
        <f t="shared" si="54"/>
        <v/>
      </c>
    </row>
    <row r="3493" spans="1:1" x14ac:dyDescent="0.35">
      <c r="A3493" t="str">
        <f t="shared" si="54"/>
        <v/>
      </c>
    </row>
    <row r="3494" spans="1:1" x14ac:dyDescent="0.35">
      <c r="A3494" t="str">
        <f t="shared" si="54"/>
        <v/>
      </c>
    </row>
    <row r="3495" spans="1:1" x14ac:dyDescent="0.35">
      <c r="A3495" t="str">
        <f t="shared" si="54"/>
        <v/>
      </c>
    </row>
    <row r="3496" spans="1:1" x14ac:dyDescent="0.35">
      <c r="A3496" t="str">
        <f t="shared" si="54"/>
        <v/>
      </c>
    </row>
    <row r="3497" spans="1:1" x14ac:dyDescent="0.35">
      <c r="A3497" t="str">
        <f t="shared" si="54"/>
        <v/>
      </c>
    </row>
    <row r="3498" spans="1:1" x14ac:dyDescent="0.35">
      <c r="A3498" t="str">
        <f t="shared" si="54"/>
        <v/>
      </c>
    </row>
    <row r="3499" spans="1:1" x14ac:dyDescent="0.35">
      <c r="A3499" t="str">
        <f t="shared" si="54"/>
        <v/>
      </c>
    </row>
    <row r="3500" spans="1:1" x14ac:dyDescent="0.35">
      <c r="A3500" t="str">
        <f t="shared" si="54"/>
        <v/>
      </c>
    </row>
    <row r="3501" spans="1:1" x14ac:dyDescent="0.35">
      <c r="A3501" t="str">
        <f t="shared" si="54"/>
        <v/>
      </c>
    </row>
    <row r="3502" spans="1:1" x14ac:dyDescent="0.35">
      <c r="A3502" t="str">
        <f t="shared" si="54"/>
        <v/>
      </c>
    </row>
    <row r="3503" spans="1:1" x14ac:dyDescent="0.35">
      <c r="A3503" t="str">
        <f t="shared" si="54"/>
        <v/>
      </c>
    </row>
    <row r="3504" spans="1:1" x14ac:dyDescent="0.35">
      <c r="A3504" t="str">
        <f t="shared" si="54"/>
        <v/>
      </c>
    </row>
    <row r="3505" spans="1:1" x14ac:dyDescent="0.35">
      <c r="A3505" t="str">
        <f t="shared" si="54"/>
        <v/>
      </c>
    </row>
    <row r="3506" spans="1:1" x14ac:dyDescent="0.35">
      <c r="A3506" t="str">
        <f t="shared" si="54"/>
        <v/>
      </c>
    </row>
    <row r="3507" spans="1:1" x14ac:dyDescent="0.35">
      <c r="A3507" t="str">
        <f t="shared" si="54"/>
        <v/>
      </c>
    </row>
    <row r="3508" spans="1:1" x14ac:dyDescent="0.35">
      <c r="A3508" t="str">
        <f t="shared" si="54"/>
        <v/>
      </c>
    </row>
    <row r="3509" spans="1:1" x14ac:dyDescent="0.35">
      <c r="A3509" t="str">
        <f t="shared" si="54"/>
        <v/>
      </c>
    </row>
    <row r="3510" spans="1:1" x14ac:dyDescent="0.35">
      <c r="A3510" t="str">
        <f t="shared" si="54"/>
        <v/>
      </c>
    </row>
    <row r="3511" spans="1:1" x14ac:dyDescent="0.35">
      <c r="A3511" t="str">
        <f t="shared" si="54"/>
        <v/>
      </c>
    </row>
    <row r="3512" spans="1:1" x14ac:dyDescent="0.35">
      <c r="A3512" t="str">
        <f t="shared" si="54"/>
        <v/>
      </c>
    </row>
    <row r="3513" spans="1:1" x14ac:dyDescent="0.35">
      <c r="A3513" t="str">
        <f t="shared" si="54"/>
        <v/>
      </c>
    </row>
    <row r="3514" spans="1:1" x14ac:dyDescent="0.35">
      <c r="A3514" t="str">
        <f t="shared" si="54"/>
        <v/>
      </c>
    </row>
    <row r="3515" spans="1:1" x14ac:dyDescent="0.35">
      <c r="A3515" t="str">
        <f t="shared" si="54"/>
        <v/>
      </c>
    </row>
    <row r="3516" spans="1:1" x14ac:dyDescent="0.35">
      <c r="A3516" t="str">
        <f t="shared" si="54"/>
        <v/>
      </c>
    </row>
    <row r="3517" spans="1:1" x14ac:dyDescent="0.35">
      <c r="A3517" t="str">
        <f t="shared" si="54"/>
        <v/>
      </c>
    </row>
    <row r="3518" spans="1:1" x14ac:dyDescent="0.35">
      <c r="A3518" t="str">
        <f t="shared" si="54"/>
        <v/>
      </c>
    </row>
    <row r="3519" spans="1:1" x14ac:dyDescent="0.35">
      <c r="A3519" t="str">
        <f t="shared" si="54"/>
        <v/>
      </c>
    </row>
    <row r="3520" spans="1:1" x14ac:dyDescent="0.35">
      <c r="A3520" t="str">
        <f t="shared" si="54"/>
        <v/>
      </c>
    </row>
    <row r="3521" spans="1:1" x14ac:dyDescent="0.35">
      <c r="A3521" t="str">
        <f t="shared" si="54"/>
        <v/>
      </c>
    </row>
    <row r="3522" spans="1:1" x14ac:dyDescent="0.35">
      <c r="A3522" t="str">
        <f t="shared" si="54"/>
        <v/>
      </c>
    </row>
    <row r="3523" spans="1:1" x14ac:dyDescent="0.35">
      <c r="A3523" t="str">
        <f t="shared" ref="A3523:A3537" si="55">C3523&amp;D3523&amp;E3523&amp;G3523&amp;H3523&amp;I3523</f>
        <v/>
      </c>
    </row>
    <row r="3524" spans="1:1" x14ac:dyDescent="0.35">
      <c r="A3524" t="str">
        <f t="shared" si="55"/>
        <v/>
      </c>
    </row>
    <row r="3525" spans="1:1" x14ac:dyDescent="0.35">
      <c r="A3525" t="str">
        <f t="shared" si="55"/>
        <v/>
      </c>
    </row>
    <row r="3526" spans="1:1" x14ac:dyDescent="0.35">
      <c r="A3526" t="str">
        <f t="shared" si="55"/>
        <v/>
      </c>
    </row>
    <row r="3527" spans="1:1" x14ac:dyDescent="0.35">
      <c r="A3527" t="str">
        <f t="shared" si="55"/>
        <v/>
      </c>
    </row>
    <row r="3528" spans="1:1" x14ac:dyDescent="0.35">
      <c r="A3528" t="str">
        <f t="shared" si="55"/>
        <v/>
      </c>
    </row>
    <row r="3529" spans="1:1" x14ac:dyDescent="0.35">
      <c r="A3529" t="str">
        <f t="shared" si="55"/>
        <v/>
      </c>
    </row>
    <row r="3530" spans="1:1" x14ac:dyDescent="0.35">
      <c r="A3530" t="str">
        <f t="shared" si="55"/>
        <v/>
      </c>
    </row>
    <row r="3531" spans="1:1" x14ac:dyDescent="0.35">
      <c r="A3531" t="str">
        <f t="shared" si="55"/>
        <v/>
      </c>
    </row>
    <row r="3532" spans="1:1" x14ac:dyDescent="0.35">
      <c r="A3532" t="str">
        <f t="shared" si="55"/>
        <v/>
      </c>
    </row>
    <row r="3533" spans="1:1" x14ac:dyDescent="0.35">
      <c r="A3533" t="str">
        <f t="shared" si="55"/>
        <v/>
      </c>
    </row>
    <row r="3534" spans="1:1" x14ac:dyDescent="0.35">
      <c r="A3534" t="str">
        <f t="shared" si="55"/>
        <v/>
      </c>
    </row>
    <row r="3535" spans="1:1" x14ac:dyDescent="0.35">
      <c r="A3535" t="str">
        <f t="shared" si="55"/>
        <v/>
      </c>
    </row>
    <row r="3536" spans="1:1" x14ac:dyDescent="0.35">
      <c r="A3536" t="str">
        <f t="shared" si="55"/>
        <v/>
      </c>
    </row>
    <row r="3537" spans="1:1" x14ac:dyDescent="0.35">
      <c r="A3537" t="str">
        <f t="shared" si="5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1EDCA-ED5C-4425-A377-B82B46978496}">
  <sheetPr codeName="Feuil7"/>
  <dimension ref="A1:B3"/>
  <sheetViews>
    <sheetView workbookViewId="0">
      <selection activeCell="E7" sqref="E7"/>
    </sheetView>
  </sheetViews>
  <sheetFormatPr baseColWidth="10" defaultRowHeight="14.5" x14ac:dyDescent="0.35"/>
  <cols>
    <col min="1" max="1" width="15.6328125" bestFit="1" customWidth="1"/>
  </cols>
  <sheetData>
    <row r="1" spans="1:2" x14ac:dyDescent="0.35">
      <c r="A1" t="str">
        <f>versys!H1</f>
        <v>Battery power (MW)</v>
      </c>
      <c r="B1" t="str">
        <f>versys!I1</f>
        <v>Battery duration (h)</v>
      </c>
    </row>
    <row r="2" spans="1:2" x14ac:dyDescent="0.35">
      <c r="A2" cm="1">
        <f t="array" ref="A2:A3">_xlfn._xlws.SORT(_xlfn.UNIQUE(_xlfn._xlws.FILTER(versys!H2:H1048576,NOT(ISBLANK(versys!H2:H1048576)))))</f>
        <v>5.0000000000000009</v>
      </c>
      <c r="B2" cm="1">
        <f t="array" ref="B2:B3">_xlfn._xlws.SORT(_xlfn.UNIQUE(_xlfn._xlws.FILTER(versys!I2:I1048576,NOT(ISBLANK(versys!I2:I1048576)))))</f>
        <v>1</v>
      </c>
    </row>
    <row r="3" spans="1:2" x14ac:dyDescent="0.35">
      <c r="A3">
        <v>6.0000000000000009</v>
      </c>
      <c r="B3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a2a4914-658d-42d2-90e7-5bd7d0f4239d">
      <Terms xmlns="http://schemas.microsoft.com/office/infopath/2007/PartnerControls"/>
    </lcf76f155ced4ddcb4097134ff3c332f>
    <TaxCatchAll xmlns="e46a36f1-79e1-459a-8738-4c8e5443ac0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C5D2E1B07F8D044BB41D6F9A34DD512" ma:contentTypeVersion="14" ma:contentTypeDescription="Create a new document." ma:contentTypeScope="" ma:versionID="707bd19da3b2ca03442c8bfb39998b06">
  <xsd:schema xmlns:xsd="http://www.w3.org/2001/XMLSchema" xmlns:xs="http://www.w3.org/2001/XMLSchema" xmlns:p="http://schemas.microsoft.com/office/2006/metadata/properties" xmlns:ns2="1a2a4914-658d-42d2-90e7-5bd7d0f4239d" xmlns:ns3="e46a36f1-79e1-459a-8738-4c8e5443ac0f" targetNamespace="http://schemas.microsoft.com/office/2006/metadata/properties" ma:root="true" ma:fieldsID="bc7c9bd64c6c11dec623831b54b80a00" ns2:_="" ns3:_="">
    <xsd:import namespace="1a2a4914-658d-42d2-90e7-5bd7d0f4239d"/>
    <xsd:import namespace="e46a36f1-79e1-459a-8738-4c8e5443ac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2a4914-658d-42d2-90e7-5bd7d0f42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fe0f9064-9556-4499-90c2-9deb3b38ca9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6a36f1-79e1-459a-8738-4c8e5443ac0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906a80f-2367-4b16-923b-d7190db300fe}" ma:internalName="TaxCatchAll" ma:showField="CatchAllData" ma:web="e46a36f1-79e1-459a-8738-4c8e5443ac0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292996-8E2C-45F9-B9FD-AAD5BF14EA24}">
  <ds:schemaRefs>
    <ds:schemaRef ds:uri="http://schemas.microsoft.com/office/2006/metadata/properties"/>
    <ds:schemaRef ds:uri="http://schemas.microsoft.com/office/infopath/2007/PartnerControls"/>
    <ds:schemaRef ds:uri="1a2a4914-658d-42d2-90e7-5bd7d0f4239d"/>
    <ds:schemaRef ds:uri="e46a36f1-79e1-459a-8738-4c8e5443ac0f"/>
  </ds:schemaRefs>
</ds:datastoreItem>
</file>

<file path=customXml/itemProps2.xml><?xml version="1.0" encoding="utf-8"?>
<ds:datastoreItem xmlns:ds="http://schemas.openxmlformats.org/officeDocument/2006/customXml" ds:itemID="{7E5A67B3-D8D4-4EE2-8912-B6C07DE9FB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2a4914-658d-42d2-90e7-5bd7d0f4239d"/>
    <ds:schemaRef ds:uri="e46a36f1-79e1-459a-8738-4c8e5443ac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63C259-DDE7-4103-A051-69D1CB99BC5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Hypothèses</vt:lpstr>
      <vt:lpstr>BP</vt:lpstr>
      <vt:lpstr>Dimensionnement</vt:lpstr>
      <vt:lpstr>Figures</vt:lpstr>
      <vt:lpstr>Sensibilité</vt:lpstr>
      <vt:lpstr>versys</vt:lpstr>
      <vt:lpstr>aux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Raphaël d’Oliveira</dc:creator>
  <cp:keywords/>
  <dc:description/>
  <cp:lastModifiedBy>Hugo Radet</cp:lastModifiedBy>
  <cp:revision/>
  <dcterms:created xsi:type="dcterms:W3CDTF">2014-03-13T16:25:19Z</dcterms:created>
  <dcterms:modified xsi:type="dcterms:W3CDTF">2023-08-24T16:49:05Z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0x0101004C5D2E1B07F8D044BB41D6F9A34DD512</vt:lpwstr>
  </property>
  <property fmtid="{D5CDD505-2E9C-101B-9397-08002B2CF9AE}" pid="3" name="Order">
    <vt:r8>23474400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</Properties>
</file>